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brinquedos" sheetId="1" r:id="rId1"/>
    <sheet name="livros" sheetId="2" r:id="rId2"/>
    <sheet name="fabricantes" sheetId="3" r:id="rId3"/>
    <sheet name="Estatísticas" sheetId="4" r:id="rId4"/>
  </sheets>
  <definedNames>
    <definedName name="_xlnm._FilterDatabase" localSheetId="0" hidden="1">'brinquedos'!A1:Z666</definedName>
    <definedName name="_xlnm._FilterDatabase" localSheetId="2" hidden="1">'fabricantes'!A1:K158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Photos\PB190383.JPG" TargetMode="External"/><Relationship Id="rId2" Type="http://schemas.openxmlformats.org/officeDocument/2006/relationships/hyperlink" Target="Photos\PB190384.JPG" TargetMode="External"/><Relationship Id="rId3" Type="http://schemas.openxmlformats.org/officeDocument/2006/relationships/hyperlink" Target="Photos\PB190385.JPG" TargetMode="External"/><Relationship Id="rId4" Type="http://schemas.openxmlformats.org/officeDocument/2006/relationships/hyperlink" Target="Photos\PB200001.JPG" TargetMode="External"/><Relationship Id="rId5" Type="http://schemas.openxmlformats.org/officeDocument/2006/relationships/hyperlink" Target="Photos\PB200002.JPG" TargetMode="External"/><Relationship Id="rId6" Type="http://schemas.openxmlformats.org/officeDocument/2006/relationships/hyperlink" Target="Photos\PB200003.JPG" TargetMode="External"/><Relationship Id="rId7" Type="http://schemas.openxmlformats.org/officeDocument/2006/relationships/hyperlink" Target="Photos\PB200004.JPG" TargetMode="External"/><Relationship Id="rId8" Type="http://schemas.openxmlformats.org/officeDocument/2006/relationships/hyperlink" Target="Photos\PB200005.JPG" TargetMode="External"/><Relationship Id="rId9" Type="http://schemas.openxmlformats.org/officeDocument/2006/relationships/hyperlink" Target="Photos\PB200006.JPG" TargetMode="External"/><Relationship Id="rId10" Type="http://schemas.openxmlformats.org/officeDocument/2006/relationships/hyperlink" Target="Photos\PB200007.JPG" TargetMode="External"/><Relationship Id="rId11" Type="http://schemas.openxmlformats.org/officeDocument/2006/relationships/hyperlink" Target="Photos\PB200008.JPG" TargetMode="External"/><Relationship Id="rId12" Type="http://schemas.openxmlformats.org/officeDocument/2006/relationships/hyperlink" Target="Photos\PB200009.JPG" TargetMode="External"/><Relationship Id="rId13" Type="http://schemas.openxmlformats.org/officeDocument/2006/relationships/hyperlink" Target="Photos\PB200010.JPG" TargetMode="External"/><Relationship Id="rId14" Type="http://schemas.openxmlformats.org/officeDocument/2006/relationships/hyperlink" Target="Photos\PB200011.JPG" TargetMode="External"/><Relationship Id="rId15" Type="http://schemas.openxmlformats.org/officeDocument/2006/relationships/hyperlink" Target="Photos\PB190357.JPG" TargetMode="External"/><Relationship Id="rId16" Type="http://schemas.openxmlformats.org/officeDocument/2006/relationships/hyperlink" Target="Photos\PB190358.JPG" TargetMode="External"/><Relationship Id="rId17" Type="http://schemas.openxmlformats.org/officeDocument/2006/relationships/hyperlink" Target="Photos\PB190359.JPG" TargetMode="External"/><Relationship Id="rId18" Type="http://schemas.openxmlformats.org/officeDocument/2006/relationships/hyperlink" Target="Photos\PB190366.JPG" TargetMode="External"/><Relationship Id="rId19" Type="http://schemas.openxmlformats.org/officeDocument/2006/relationships/hyperlink" Target="Photos\PB190367.JPG" TargetMode="External"/><Relationship Id="rId20" Type="http://schemas.openxmlformats.org/officeDocument/2006/relationships/hyperlink" Target="Photos\PB190368.JPG" TargetMode="External"/><Relationship Id="rId21" Type="http://schemas.openxmlformats.org/officeDocument/2006/relationships/hyperlink" Target="Photos\PB190369.JPG" TargetMode="External"/><Relationship Id="rId22" Type="http://schemas.openxmlformats.org/officeDocument/2006/relationships/hyperlink" Target="Photos\PB190370.JPG" TargetMode="External"/><Relationship Id="rId23" Type="http://schemas.openxmlformats.org/officeDocument/2006/relationships/hyperlink" Target="Photos\PB190371.JPG" TargetMode="External"/><Relationship Id="rId24" Type="http://schemas.openxmlformats.org/officeDocument/2006/relationships/hyperlink" Target="Photos\PB190372.JPG" TargetMode="External"/><Relationship Id="rId25" Type="http://schemas.openxmlformats.org/officeDocument/2006/relationships/hyperlink" Target="Photos\PB190373.JPG" TargetMode="External"/><Relationship Id="rId26" Type="http://schemas.openxmlformats.org/officeDocument/2006/relationships/hyperlink" Target="Photos\PB190374.JPG" TargetMode="External"/><Relationship Id="rId27" Type="http://schemas.openxmlformats.org/officeDocument/2006/relationships/hyperlink" Target="Photos\PB190375.JPG" TargetMode="External"/><Relationship Id="rId28" Type="http://schemas.openxmlformats.org/officeDocument/2006/relationships/hyperlink" Target="Photos\PB190376.JPG" TargetMode="External"/><Relationship Id="rId29" Type="http://schemas.openxmlformats.org/officeDocument/2006/relationships/hyperlink" Target="Photos\PB190377.JPG" TargetMode="External"/><Relationship Id="rId30" Type="http://schemas.openxmlformats.org/officeDocument/2006/relationships/hyperlink" Target="Photos\PB190378.JPG" TargetMode="External"/><Relationship Id="rId31" Type="http://schemas.openxmlformats.org/officeDocument/2006/relationships/hyperlink" Target="Photos\PB190379.JPG" TargetMode="External"/><Relationship Id="rId32" Type="http://schemas.openxmlformats.org/officeDocument/2006/relationships/hyperlink" Target="Photos\PB190380.JPG" TargetMode="External"/><Relationship Id="rId33" Type="http://schemas.openxmlformats.org/officeDocument/2006/relationships/hyperlink" Target="Photos\PB190381.JPG" TargetMode="External"/><Relationship Id="rId34" Type="http://schemas.openxmlformats.org/officeDocument/2006/relationships/hyperlink" Target="Photos\PB190382.JPG" TargetMode="External"/><Relationship Id="rId35" Type="http://schemas.openxmlformats.org/officeDocument/2006/relationships/hyperlink" Target="Photos\PB200019.JPG" TargetMode="External"/><Relationship Id="rId36" Type="http://schemas.openxmlformats.org/officeDocument/2006/relationships/hyperlink" Target="Photos\PB200020.JPG" TargetMode="External"/><Relationship Id="rId37" Type="http://schemas.openxmlformats.org/officeDocument/2006/relationships/hyperlink" Target="Photos\PB200022.JPG" TargetMode="External"/><Relationship Id="rId38" Type="http://schemas.openxmlformats.org/officeDocument/2006/relationships/hyperlink" Target="Photos\PB200023.JPG" TargetMode="External"/><Relationship Id="rId39" Type="http://schemas.openxmlformats.org/officeDocument/2006/relationships/hyperlink" Target="Photos\PB200013.JPG" TargetMode="External"/><Relationship Id="rId40" Type="http://schemas.openxmlformats.org/officeDocument/2006/relationships/hyperlink" Target="Photos\PB200014.JPG" TargetMode="External"/><Relationship Id="rId41" Type="http://schemas.openxmlformats.org/officeDocument/2006/relationships/hyperlink" Target="Photos\PB200015.JPG" TargetMode="External"/><Relationship Id="rId42" Type="http://schemas.openxmlformats.org/officeDocument/2006/relationships/hyperlink" Target="Photos\PB200016.JPG" TargetMode="External"/><Relationship Id="rId43" Type="http://schemas.openxmlformats.org/officeDocument/2006/relationships/hyperlink" Target="Photos\PB200031.JPG" TargetMode="External"/><Relationship Id="rId44" Type="http://schemas.openxmlformats.org/officeDocument/2006/relationships/hyperlink" Target="Photos\PB200032.JPG" TargetMode="External"/><Relationship Id="rId45" Type="http://schemas.openxmlformats.org/officeDocument/2006/relationships/hyperlink" Target="Photos\PB200033.JPG" TargetMode="External"/><Relationship Id="rId46" Type="http://schemas.openxmlformats.org/officeDocument/2006/relationships/hyperlink" Target="Photos\PB200027.JPG" TargetMode="External"/><Relationship Id="rId47" Type="http://schemas.openxmlformats.org/officeDocument/2006/relationships/hyperlink" Target="Photos\PB200028.JPG" TargetMode="External"/><Relationship Id="rId48" Type="http://schemas.openxmlformats.org/officeDocument/2006/relationships/hyperlink" Target="Photos\PB200029.JPG" TargetMode="External"/><Relationship Id="rId49" Type="http://schemas.openxmlformats.org/officeDocument/2006/relationships/hyperlink" Target="Photos\PB200030.JPG" TargetMode="External"/><Relationship Id="rId50" Type="http://schemas.openxmlformats.org/officeDocument/2006/relationships/hyperlink" Target="Photos\PB210037.JPG" TargetMode="External"/><Relationship Id="rId51" Type="http://schemas.openxmlformats.org/officeDocument/2006/relationships/hyperlink" Target="Photos\PB210038.JPG" TargetMode="External"/><Relationship Id="rId52" Type="http://schemas.openxmlformats.org/officeDocument/2006/relationships/hyperlink" Target="Photos\PB210039.JPG" TargetMode="External"/><Relationship Id="rId53" Type="http://schemas.openxmlformats.org/officeDocument/2006/relationships/hyperlink" Target="Photos\PB210040.JPG" TargetMode="External"/><Relationship Id="rId54" Type="http://schemas.openxmlformats.org/officeDocument/2006/relationships/hyperlink" Target="Photos\PB210049.JPG" TargetMode="External"/><Relationship Id="rId55" Type="http://schemas.openxmlformats.org/officeDocument/2006/relationships/hyperlink" Target="Photos\PB210050.JPG" TargetMode="External"/><Relationship Id="rId56" Type="http://schemas.openxmlformats.org/officeDocument/2006/relationships/hyperlink" Target="Photos\PB210054.JPG" TargetMode="External"/><Relationship Id="rId57" Type="http://schemas.openxmlformats.org/officeDocument/2006/relationships/hyperlink" Target="Photos\PB210056.JPG" TargetMode="External"/><Relationship Id="rId58" Type="http://schemas.openxmlformats.org/officeDocument/2006/relationships/hyperlink" Target="Photos\PB210057.JPG" TargetMode="External"/><Relationship Id="rId59" Type="http://schemas.openxmlformats.org/officeDocument/2006/relationships/hyperlink" Target="Photos\PB210058.JPG" TargetMode="External"/><Relationship Id="rId60" Type="http://schemas.openxmlformats.org/officeDocument/2006/relationships/hyperlink" Target="Photos\PB210060.JPG" TargetMode="External"/><Relationship Id="rId61" Type="http://schemas.openxmlformats.org/officeDocument/2006/relationships/hyperlink" Target="Photos\PB210061.JPG" TargetMode="External"/><Relationship Id="rId62" Type="http://schemas.openxmlformats.org/officeDocument/2006/relationships/hyperlink" Target="Photos\PB210063.JPG" TargetMode="External"/><Relationship Id="rId63" Type="http://schemas.openxmlformats.org/officeDocument/2006/relationships/hyperlink" Target="Photos\PB210065.JPG" TargetMode="External"/><Relationship Id="rId64" Type="http://schemas.openxmlformats.org/officeDocument/2006/relationships/hyperlink" Target="Photos\PB210066.JPG" TargetMode="External"/><Relationship Id="rId65" Type="http://schemas.openxmlformats.org/officeDocument/2006/relationships/hyperlink" Target="Photos\PB210067.JPG" TargetMode="External"/><Relationship Id="rId66" Type="http://schemas.openxmlformats.org/officeDocument/2006/relationships/hyperlink" Target="Photos\PB210068.JPG" TargetMode="External"/><Relationship Id="rId67" Type="http://schemas.openxmlformats.org/officeDocument/2006/relationships/hyperlink" Target="Photos\PB230023.JPG" TargetMode="External"/><Relationship Id="rId68" Type="http://schemas.openxmlformats.org/officeDocument/2006/relationships/hyperlink" Target="Photos\PB230025.JPG" TargetMode="External"/><Relationship Id="rId69" Type="http://schemas.openxmlformats.org/officeDocument/2006/relationships/hyperlink" Target="Photos\PB230026.JPG" TargetMode="External"/><Relationship Id="rId70" Type="http://schemas.openxmlformats.org/officeDocument/2006/relationships/hyperlink" Target="Photos\PB230028.JPG" TargetMode="External"/><Relationship Id="rId71" Type="http://schemas.openxmlformats.org/officeDocument/2006/relationships/hyperlink" Target="Photos\PB230029.JPG" TargetMode="External"/><Relationship Id="rId72" Type="http://schemas.openxmlformats.org/officeDocument/2006/relationships/hyperlink" Target="Photos\PB230030.JPG" TargetMode="External"/><Relationship Id="rId73" Type="http://schemas.openxmlformats.org/officeDocument/2006/relationships/hyperlink" Target="Photos\PB230031.JPG" TargetMode="External"/><Relationship Id="rId74" Type="http://schemas.openxmlformats.org/officeDocument/2006/relationships/hyperlink" Target="Photos\PB230032.JPG" TargetMode="External"/><Relationship Id="rId75" Type="http://schemas.openxmlformats.org/officeDocument/2006/relationships/hyperlink" Target="Photos\PB230034.JPG" TargetMode="External"/><Relationship Id="rId76" Type="http://schemas.openxmlformats.org/officeDocument/2006/relationships/hyperlink" Target="Photos\PB230035.JPG" TargetMode="External"/><Relationship Id="rId77" Type="http://schemas.openxmlformats.org/officeDocument/2006/relationships/hyperlink" Target="Photos\PB230037.JPG" TargetMode="External"/><Relationship Id="rId78" Type="http://schemas.openxmlformats.org/officeDocument/2006/relationships/hyperlink" Target="Photos\PB230038.JPG" TargetMode="External"/><Relationship Id="rId79" Type="http://schemas.openxmlformats.org/officeDocument/2006/relationships/hyperlink" Target="Photos\PB230040.JPG" TargetMode="External"/><Relationship Id="rId80" Type="http://schemas.openxmlformats.org/officeDocument/2006/relationships/hyperlink" Target="Photos\PB230041.JPG" TargetMode="External"/><Relationship Id="rId81" Type="http://schemas.openxmlformats.org/officeDocument/2006/relationships/hyperlink" Target="Photos\PB230042.JPG" TargetMode="External"/><Relationship Id="rId82" Type="http://schemas.openxmlformats.org/officeDocument/2006/relationships/hyperlink" Target="Photos\PB230043.JPG" TargetMode="External"/><Relationship Id="rId83" Type="http://schemas.openxmlformats.org/officeDocument/2006/relationships/hyperlink" Target="Photos\PB230044.JPG" TargetMode="External"/><Relationship Id="rId84" Type="http://schemas.openxmlformats.org/officeDocument/2006/relationships/hyperlink" Target="Photos\PB230045.JPG" TargetMode="External"/><Relationship Id="rId85" Type="http://schemas.openxmlformats.org/officeDocument/2006/relationships/hyperlink" Target="Photos\PB230046.JPG" TargetMode="External"/><Relationship Id="rId86" Type="http://schemas.openxmlformats.org/officeDocument/2006/relationships/hyperlink" Target="Photos\PB230048.JPG" TargetMode="External"/><Relationship Id="rId87" Type="http://schemas.openxmlformats.org/officeDocument/2006/relationships/hyperlink" Target="Photos\PB230049.JPG" TargetMode="External"/><Relationship Id="rId88" Type="http://schemas.openxmlformats.org/officeDocument/2006/relationships/hyperlink" Target="Photos\PB230011.JPG" TargetMode="External"/><Relationship Id="rId89" Type="http://schemas.openxmlformats.org/officeDocument/2006/relationships/hyperlink" Target="Photos\PB230001.JPG" TargetMode="External"/><Relationship Id="rId90" Type="http://schemas.openxmlformats.org/officeDocument/2006/relationships/hyperlink" Target="Photos\PB230004.JPG" TargetMode="External"/><Relationship Id="rId91" Type="http://schemas.openxmlformats.org/officeDocument/2006/relationships/hyperlink" Target="Photos\PB230005.JPG" TargetMode="External"/><Relationship Id="rId92" Type="http://schemas.openxmlformats.org/officeDocument/2006/relationships/hyperlink" Target="Photos\PB230006.JPG" TargetMode="External"/><Relationship Id="rId93" Type="http://schemas.openxmlformats.org/officeDocument/2006/relationships/hyperlink" Target="Photos\PB230012.JPG" TargetMode="External"/><Relationship Id="rId94" Type="http://schemas.openxmlformats.org/officeDocument/2006/relationships/hyperlink" Target="Photos\PB230013.JPG" TargetMode="External"/><Relationship Id="rId95" Type="http://schemas.openxmlformats.org/officeDocument/2006/relationships/hyperlink" Target="Photos\PB230014.JPG" TargetMode="External"/><Relationship Id="rId96" Type="http://schemas.openxmlformats.org/officeDocument/2006/relationships/hyperlink" Target="Photos\PB230015.JPG" TargetMode="External"/><Relationship Id="rId97" Type="http://schemas.openxmlformats.org/officeDocument/2006/relationships/hyperlink" Target="Photos\PB230016.JPG" TargetMode="External"/><Relationship Id="rId98" Type="http://schemas.openxmlformats.org/officeDocument/2006/relationships/hyperlink" Target="Photos\PB230017.JPG" TargetMode="External"/><Relationship Id="rId99" Type="http://schemas.openxmlformats.org/officeDocument/2006/relationships/hyperlink" Target="Photos\PB230018.JPG" TargetMode="External"/><Relationship Id="rId100" Type="http://schemas.openxmlformats.org/officeDocument/2006/relationships/hyperlink" Target="Photos\PB230019.JPG" TargetMode="External"/><Relationship Id="rId101" Type="http://schemas.openxmlformats.org/officeDocument/2006/relationships/hyperlink" Target="Photos\PB230020.JPG" TargetMode="External"/><Relationship Id="rId102" Type="http://schemas.openxmlformats.org/officeDocument/2006/relationships/hyperlink" Target="Photos\PB230021.JPG" TargetMode="External"/><Relationship Id="rId103" Type="http://schemas.openxmlformats.org/officeDocument/2006/relationships/hyperlink" Target="Photos\PB270008.JPG" TargetMode="External"/><Relationship Id="rId104" Type="http://schemas.openxmlformats.org/officeDocument/2006/relationships/hyperlink" Target="Photos\PB270009.JPG" TargetMode="External"/><Relationship Id="rId105" Type="http://schemas.openxmlformats.org/officeDocument/2006/relationships/hyperlink" Target="Photos\PB270010.JPG" TargetMode="External"/><Relationship Id="rId106" Type="http://schemas.openxmlformats.org/officeDocument/2006/relationships/hyperlink" Target="Photos\PB270016.JPG" TargetMode="External"/><Relationship Id="rId107" Type="http://schemas.openxmlformats.org/officeDocument/2006/relationships/hyperlink" Target="Photos\PB270017.JPG" TargetMode="External"/><Relationship Id="rId108" Type="http://schemas.openxmlformats.org/officeDocument/2006/relationships/hyperlink" Target="Photos\PB270018.JPG" TargetMode="External"/><Relationship Id="rId109" Type="http://schemas.openxmlformats.org/officeDocument/2006/relationships/hyperlink" Target="Photos\PB260001.JPG" TargetMode="External"/><Relationship Id="rId110" Type="http://schemas.openxmlformats.org/officeDocument/2006/relationships/hyperlink" Target="Photos\PB260002.JPG" TargetMode="External"/><Relationship Id="rId111" Type="http://schemas.openxmlformats.org/officeDocument/2006/relationships/hyperlink" Target="Photos\PB260003.JPG" TargetMode="External"/><Relationship Id="rId112" Type="http://schemas.openxmlformats.org/officeDocument/2006/relationships/hyperlink" Target="Photos\PB260004.JPG" TargetMode="External"/><Relationship Id="rId113" Type="http://schemas.openxmlformats.org/officeDocument/2006/relationships/hyperlink" Target="Photos\PB260005.JPG" TargetMode="External"/><Relationship Id="rId114" Type="http://schemas.openxmlformats.org/officeDocument/2006/relationships/hyperlink" Target="Photos\PB270047.JPG" TargetMode="External"/><Relationship Id="rId115" Type="http://schemas.openxmlformats.org/officeDocument/2006/relationships/hyperlink" Target="Photos\PB270048.JPG" TargetMode="External"/><Relationship Id="rId116" Type="http://schemas.openxmlformats.org/officeDocument/2006/relationships/hyperlink" Target="Photos\PB270049.JPG" TargetMode="External"/><Relationship Id="rId117" Type="http://schemas.openxmlformats.org/officeDocument/2006/relationships/hyperlink" Target="Photos\PB270046.JPG" TargetMode="External"/><Relationship Id="rId118" Type="http://schemas.openxmlformats.org/officeDocument/2006/relationships/hyperlink" Target="Photos\PB270046A.JPG" TargetMode="External"/><Relationship Id="rId119" Type="http://schemas.openxmlformats.org/officeDocument/2006/relationships/hyperlink" Target="Photos\PB270020.JPG" TargetMode="External"/><Relationship Id="rId120" Type="http://schemas.openxmlformats.org/officeDocument/2006/relationships/hyperlink" Target="Photos\PB270021.JPG" TargetMode="External"/><Relationship Id="rId121" Type="http://schemas.openxmlformats.org/officeDocument/2006/relationships/hyperlink" Target="Photos\PC110001.JPG" TargetMode="External"/><Relationship Id="rId122" Type="http://schemas.openxmlformats.org/officeDocument/2006/relationships/hyperlink" Target="Photos\PB270023.JPG" TargetMode="External"/><Relationship Id="rId123" Type="http://schemas.openxmlformats.org/officeDocument/2006/relationships/hyperlink" Target="Photos\PB270024.JPG" TargetMode="External"/><Relationship Id="rId124" Type="http://schemas.openxmlformats.org/officeDocument/2006/relationships/hyperlink" Target="Photos\PB270028.JPG" TargetMode="External"/><Relationship Id="rId125" Type="http://schemas.openxmlformats.org/officeDocument/2006/relationships/hyperlink" Target="Photos\PB270029.JPG" TargetMode="External"/><Relationship Id="rId126" Type="http://schemas.openxmlformats.org/officeDocument/2006/relationships/hyperlink" Target="Photos\PB270030.JPG" TargetMode="External"/><Relationship Id="rId127" Type="http://schemas.openxmlformats.org/officeDocument/2006/relationships/hyperlink" Target="Photos\PB270036.JPG" TargetMode="External"/><Relationship Id="rId128" Type="http://schemas.openxmlformats.org/officeDocument/2006/relationships/hyperlink" Target="Photos\PB270037.JPG" TargetMode="External"/><Relationship Id="rId129" Type="http://schemas.openxmlformats.org/officeDocument/2006/relationships/hyperlink" Target="Photos\PB270039.JPG" TargetMode="External"/><Relationship Id="rId130" Type="http://schemas.openxmlformats.org/officeDocument/2006/relationships/hyperlink" Target="Photos\PB270041.JPG" TargetMode="External"/><Relationship Id="rId131" Type="http://schemas.openxmlformats.org/officeDocument/2006/relationships/hyperlink" Target="Photos\PB270042.JPG" TargetMode="External"/><Relationship Id="rId132" Type="http://schemas.openxmlformats.org/officeDocument/2006/relationships/hyperlink" Target="Photos\PB270044.JPG" TargetMode="External"/><Relationship Id="rId133" Type="http://schemas.openxmlformats.org/officeDocument/2006/relationships/hyperlink" Target="Photos\PC120001.JPG" TargetMode="External"/><Relationship Id="rId134" Type="http://schemas.openxmlformats.org/officeDocument/2006/relationships/hyperlink" Target="Photos\PC120002.JPG" TargetMode="External"/><Relationship Id="rId135" Type="http://schemas.openxmlformats.org/officeDocument/2006/relationships/hyperlink" Target="Photos\PC120005.JPG" TargetMode="External"/><Relationship Id="rId136" Type="http://schemas.openxmlformats.org/officeDocument/2006/relationships/hyperlink" Target="Photos\PC120005A.JPG" TargetMode="External"/><Relationship Id="rId137" Type="http://schemas.openxmlformats.org/officeDocument/2006/relationships/hyperlink" Target="Photos\PC120004.JPG" TargetMode="External"/><Relationship Id="rId138" Type="http://schemas.openxmlformats.org/officeDocument/2006/relationships/hyperlink" Target="Photos\PC120006.JPG" TargetMode="External"/><Relationship Id="rId139" Type="http://schemas.openxmlformats.org/officeDocument/2006/relationships/hyperlink" Target="Photos\PC120007.JPG" TargetMode="External"/><Relationship Id="rId140" Type="http://schemas.openxmlformats.org/officeDocument/2006/relationships/hyperlink" Target="Photos\PC120009.JPG" TargetMode="External"/><Relationship Id="rId141" Type="http://schemas.openxmlformats.org/officeDocument/2006/relationships/hyperlink" Target="Photos\PC120010.JPG" TargetMode="External"/><Relationship Id="rId142" Type="http://schemas.openxmlformats.org/officeDocument/2006/relationships/hyperlink" Target="Photos\PC120011.JPG" TargetMode="External"/><Relationship Id="rId143" Type="http://schemas.openxmlformats.org/officeDocument/2006/relationships/hyperlink" Target="Photos\PC120012.JPG" TargetMode="External"/><Relationship Id="rId144" Type="http://schemas.openxmlformats.org/officeDocument/2006/relationships/hyperlink" Target="Photos\PC120013.JPG" TargetMode="External"/><Relationship Id="rId145" Type="http://schemas.openxmlformats.org/officeDocument/2006/relationships/hyperlink" Target="Photos\PC120056.JPG" TargetMode="External"/><Relationship Id="rId146" Type="http://schemas.openxmlformats.org/officeDocument/2006/relationships/hyperlink" Target="Photos\PC120058.JPG" TargetMode="External"/><Relationship Id="rId147" Type="http://schemas.openxmlformats.org/officeDocument/2006/relationships/hyperlink" Target="Photos\PC120014.JPG" TargetMode="External"/><Relationship Id="rId148" Type="http://schemas.openxmlformats.org/officeDocument/2006/relationships/hyperlink" Target="Photos\PC120015.JPG" TargetMode="External"/><Relationship Id="rId149" Type="http://schemas.openxmlformats.org/officeDocument/2006/relationships/hyperlink" Target="Photos\PC120016.JPG" TargetMode="External"/><Relationship Id="rId150" Type="http://schemas.openxmlformats.org/officeDocument/2006/relationships/hyperlink" Target="Photos\PC120017.JPG" TargetMode="External"/><Relationship Id="rId151" Type="http://schemas.openxmlformats.org/officeDocument/2006/relationships/hyperlink" Target="Photos\PC120018.JPG" TargetMode="External"/><Relationship Id="rId152" Type="http://schemas.openxmlformats.org/officeDocument/2006/relationships/hyperlink" Target="Photos\PC120019.JPG" TargetMode="External"/><Relationship Id="rId153" Type="http://schemas.openxmlformats.org/officeDocument/2006/relationships/hyperlink" Target="Photos\PC120020.JPG" TargetMode="External"/><Relationship Id="rId154" Type="http://schemas.openxmlformats.org/officeDocument/2006/relationships/hyperlink" Target="Photos\PC120021.JPG" TargetMode="External"/><Relationship Id="rId155" Type="http://schemas.openxmlformats.org/officeDocument/2006/relationships/hyperlink" Target="Photos\PC120023.JPG" TargetMode="External"/><Relationship Id="rId156" Type="http://schemas.openxmlformats.org/officeDocument/2006/relationships/hyperlink" Target="Photos\PC120024.JPG" TargetMode="External"/><Relationship Id="rId157" Type="http://schemas.openxmlformats.org/officeDocument/2006/relationships/hyperlink" Target="Photos\PC120025.JPG" TargetMode="External"/><Relationship Id="rId158" Type="http://schemas.openxmlformats.org/officeDocument/2006/relationships/hyperlink" Target="Photos\PC120026.JPG" TargetMode="External"/><Relationship Id="rId159" Type="http://schemas.openxmlformats.org/officeDocument/2006/relationships/hyperlink" Target="Photos\PC120027.JPG" TargetMode="External"/><Relationship Id="rId160" Type="http://schemas.openxmlformats.org/officeDocument/2006/relationships/hyperlink" Target="Photos\PC120029.JPG" TargetMode="External"/><Relationship Id="rId161" Type="http://schemas.openxmlformats.org/officeDocument/2006/relationships/hyperlink" Target="Photos\PC120030.JPG" TargetMode="External"/><Relationship Id="rId162" Type="http://schemas.openxmlformats.org/officeDocument/2006/relationships/hyperlink" Target="Photos\PC120031.JPG" TargetMode="External"/><Relationship Id="rId163" Type="http://schemas.openxmlformats.org/officeDocument/2006/relationships/hyperlink" Target="Photos\PC120032.JPG" TargetMode="External"/><Relationship Id="rId164" Type="http://schemas.openxmlformats.org/officeDocument/2006/relationships/hyperlink" Target="Photos\PC120034.JPG" TargetMode="External"/><Relationship Id="rId165" Type="http://schemas.openxmlformats.org/officeDocument/2006/relationships/hyperlink" Target="Photos\PC120035.JPG" TargetMode="External"/><Relationship Id="rId166" Type="http://schemas.openxmlformats.org/officeDocument/2006/relationships/hyperlink" Target="Photos\PC120036.JPG" TargetMode="External"/><Relationship Id="rId167" Type="http://schemas.openxmlformats.org/officeDocument/2006/relationships/hyperlink" Target="Photos\PC120036.JPG" TargetMode="External"/><Relationship Id="rId168" Type="http://schemas.openxmlformats.org/officeDocument/2006/relationships/hyperlink" Target="Photos\PC120039.JPG" TargetMode="External"/><Relationship Id="rId169" Type="http://schemas.openxmlformats.org/officeDocument/2006/relationships/hyperlink" Target="Photos\PC120040.JPG" TargetMode="External"/><Relationship Id="rId170" Type="http://schemas.openxmlformats.org/officeDocument/2006/relationships/hyperlink" Target="Photos\PC120042.JPG" TargetMode="External"/><Relationship Id="rId171" Type="http://schemas.openxmlformats.org/officeDocument/2006/relationships/hyperlink" Target="Photos\PC120043.JPG" TargetMode="External"/><Relationship Id="rId172" Type="http://schemas.openxmlformats.org/officeDocument/2006/relationships/hyperlink" Target="Photos\PC120037.JPG" TargetMode="External"/><Relationship Id="rId173" Type="http://schemas.openxmlformats.org/officeDocument/2006/relationships/hyperlink" Target="Photos\PC120045.JPG" TargetMode="External"/><Relationship Id="rId174" Type="http://schemas.openxmlformats.org/officeDocument/2006/relationships/hyperlink" Target="Photos\PC120047.JPG" TargetMode="External"/><Relationship Id="rId175" Type="http://schemas.openxmlformats.org/officeDocument/2006/relationships/hyperlink" Target="Photos\PC120048.JPG" TargetMode="External"/><Relationship Id="rId176" Type="http://schemas.openxmlformats.org/officeDocument/2006/relationships/hyperlink" Target="Photos\PC120049.JPG" TargetMode="External"/><Relationship Id="rId177" Type="http://schemas.openxmlformats.org/officeDocument/2006/relationships/hyperlink" Target="Photos\PC120050.JPG" TargetMode="External"/><Relationship Id="rId178" Type="http://schemas.openxmlformats.org/officeDocument/2006/relationships/hyperlink" Target="Photos\PC120051.JPG" TargetMode="External"/><Relationship Id="rId179" Type="http://schemas.openxmlformats.org/officeDocument/2006/relationships/hyperlink" Target="Photos\PC150003.JPG" TargetMode="External"/><Relationship Id="rId180" Type="http://schemas.openxmlformats.org/officeDocument/2006/relationships/hyperlink" Target="Photos\PC150005.JPG" TargetMode="External"/><Relationship Id="rId181" Type="http://schemas.openxmlformats.org/officeDocument/2006/relationships/hyperlink" Target="Photos\PC120055.JPG" TargetMode="External"/><Relationship Id="rId182" Type="http://schemas.openxmlformats.org/officeDocument/2006/relationships/hyperlink" Target="Photos\PC150017.JPG" TargetMode="External"/><Relationship Id="rId183" Type="http://schemas.openxmlformats.org/officeDocument/2006/relationships/hyperlink" Target="Photos\PC150018.JPG" TargetMode="External"/><Relationship Id="rId184" Type="http://schemas.openxmlformats.org/officeDocument/2006/relationships/hyperlink" Target="Photos\PC150002.JPG" TargetMode="External"/><Relationship Id="rId185" Type="http://schemas.openxmlformats.org/officeDocument/2006/relationships/hyperlink" Target="Photos\PC150006.JPG" TargetMode="External"/><Relationship Id="rId186" Type="http://schemas.openxmlformats.org/officeDocument/2006/relationships/hyperlink" Target="Photos\PC150007.JPG" TargetMode="External"/><Relationship Id="rId187" Type="http://schemas.openxmlformats.org/officeDocument/2006/relationships/hyperlink" Target="Photos\PC150008.JPG" TargetMode="External"/><Relationship Id="rId188" Type="http://schemas.openxmlformats.org/officeDocument/2006/relationships/hyperlink" Target="Photos\PC150009.JPG" TargetMode="External"/><Relationship Id="rId189" Type="http://schemas.openxmlformats.org/officeDocument/2006/relationships/hyperlink" Target="Photos\PC150010.JPG" TargetMode="External"/><Relationship Id="rId190" Type="http://schemas.openxmlformats.org/officeDocument/2006/relationships/hyperlink" Target="Photos\PC150011.JPG" TargetMode="External"/><Relationship Id="rId191" Type="http://schemas.openxmlformats.org/officeDocument/2006/relationships/hyperlink" Target="Photos\PC150014.JPG" TargetMode="External"/><Relationship Id="rId192" Type="http://schemas.openxmlformats.org/officeDocument/2006/relationships/hyperlink" Target="Photos\PC150015.JPG" TargetMode="External"/><Relationship Id="rId193" Type="http://schemas.openxmlformats.org/officeDocument/2006/relationships/hyperlink" Target="Photos\PC150016.JPG" TargetMode="External"/><Relationship Id="rId194" Type="http://schemas.openxmlformats.org/officeDocument/2006/relationships/hyperlink" Target="Photos\PC150012.JPG" TargetMode="External"/><Relationship Id="rId195" Type="http://schemas.openxmlformats.org/officeDocument/2006/relationships/hyperlink" Target="Photos\PC150013.JPG" TargetMode="External"/><Relationship Id="rId196" Type="http://schemas.openxmlformats.org/officeDocument/2006/relationships/hyperlink" Target="Photos\P1010003.JPG" TargetMode="External"/><Relationship Id="rId197" Type="http://schemas.openxmlformats.org/officeDocument/2006/relationships/hyperlink" Target="Photos\P1010004.JPG" TargetMode="External"/><Relationship Id="rId198" Type="http://schemas.openxmlformats.org/officeDocument/2006/relationships/hyperlink" Target="Photos\P1010005.JPG" TargetMode="External"/><Relationship Id="rId199" Type="http://schemas.openxmlformats.org/officeDocument/2006/relationships/hyperlink" Target="Photos\PC150030.JPG" TargetMode="External"/><Relationship Id="rId200" Type="http://schemas.openxmlformats.org/officeDocument/2006/relationships/hyperlink" Target="Photos\PC150031.JPG" TargetMode="External"/><Relationship Id="rId201" Type="http://schemas.openxmlformats.org/officeDocument/2006/relationships/hyperlink" Target="Photos\PC150026.JPG" TargetMode="External"/><Relationship Id="rId202" Type="http://schemas.openxmlformats.org/officeDocument/2006/relationships/hyperlink" Target="Photos\PC150028.JPG" TargetMode="External"/><Relationship Id="rId203" Type="http://schemas.openxmlformats.org/officeDocument/2006/relationships/hyperlink" Target="Photos\PC150029.JPG" TargetMode="External"/><Relationship Id="rId204" Type="http://schemas.openxmlformats.org/officeDocument/2006/relationships/hyperlink" Target="Photos\PC150021.JPG" TargetMode="External"/><Relationship Id="rId205" Type="http://schemas.openxmlformats.org/officeDocument/2006/relationships/hyperlink" Target="Photos\PC150022.JPG" TargetMode="External"/><Relationship Id="rId206" Type="http://schemas.openxmlformats.org/officeDocument/2006/relationships/hyperlink" Target="Photos\PC150023.JPG" TargetMode="External"/><Relationship Id="rId207" Type="http://schemas.openxmlformats.org/officeDocument/2006/relationships/hyperlink" Target="Photos\PC150019.JPG" TargetMode="External"/><Relationship Id="rId208" Type="http://schemas.openxmlformats.org/officeDocument/2006/relationships/hyperlink" Target="Photos\PC150020.JPG" TargetMode="External"/><Relationship Id="rId209" Type="http://schemas.openxmlformats.org/officeDocument/2006/relationships/hyperlink" Target="Photos\PC150033.JPG" TargetMode="External"/><Relationship Id="rId210" Type="http://schemas.openxmlformats.org/officeDocument/2006/relationships/hyperlink" Target="Photos\PC150034.JPG" TargetMode="External"/><Relationship Id="rId211" Type="http://schemas.openxmlformats.org/officeDocument/2006/relationships/hyperlink" Target="Photos\PC150035.JPG" TargetMode="External"/><Relationship Id="rId212" Type="http://schemas.openxmlformats.org/officeDocument/2006/relationships/hyperlink" Target="Photos\PC150036.JPG" TargetMode="External"/><Relationship Id="rId213" Type="http://schemas.openxmlformats.org/officeDocument/2006/relationships/hyperlink" Target="Photos\PC150037.JPG" TargetMode="External"/><Relationship Id="rId214" Type="http://schemas.openxmlformats.org/officeDocument/2006/relationships/hyperlink" Target="Photos\PC150038.JPG" TargetMode="External"/><Relationship Id="rId215" Type="http://schemas.openxmlformats.org/officeDocument/2006/relationships/hyperlink" Target="Photos\PC150039.JPG" TargetMode="External"/><Relationship Id="rId216" Type="http://schemas.openxmlformats.org/officeDocument/2006/relationships/hyperlink" Target="Photos\PC150040.JPG" TargetMode="External"/><Relationship Id="rId217" Type="http://schemas.openxmlformats.org/officeDocument/2006/relationships/hyperlink" Target="Photos\PC150040A.JPG" TargetMode="External"/><Relationship Id="rId218" Type="http://schemas.openxmlformats.org/officeDocument/2006/relationships/hyperlink" Target="Photos\PC150041.JPG" TargetMode="External"/><Relationship Id="rId219" Type="http://schemas.openxmlformats.org/officeDocument/2006/relationships/hyperlink" Target="Photos\PC150042.JPG" TargetMode="External"/><Relationship Id="rId220" Type="http://schemas.openxmlformats.org/officeDocument/2006/relationships/hyperlink" Target="Photos\PC150043.JPG" TargetMode="External"/><Relationship Id="rId221" Type="http://schemas.openxmlformats.org/officeDocument/2006/relationships/hyperlink" Target="Photos\PC150044.JPG" TargetMode="External"/><Relationship Id="rId222" Type="http://schemas.openxmlformats.org/officeDocument/2006/relationships/hyperlink" Target="Photos\P1010039.JPG" TargetMode="External"/><Relationship Id="rId223" Type="http://schemas.openxmlformats.org/officeDocument/2006/relationships/hyperlink" Target="Photos\P1010040.JPG" TargetMode="External"/><Relationship Id="rId224" Type="http://schemas.openxmlformats.org/officeDocument/2006/relationships/hyperlink" Target="Photos\P1010035.JPG" TargetMode="External"/><Relationship Id="rId225" Type="http://schemas.openxmlformats.org/officeDocument/2006/relationships/hyperlink" Target="Photos\P1010037.JPG" TargetMode="External"/><Relationship Id="rId226" Type="http://schemas.openxmlformats.org/officeDocument/2006/relationships/hyperlink" Target="Photos\P1010034.JPG" TargetMode="External"/><Relationship Id="rId227" Type="http://schemas.openxmlformats.org/officeDocument/2006/relationships/hyperlink" Target="Photos\P1010025.JPG" TargetMode="External"/><Relationship Id="rId228" Type="http://schemas.openxmlformats.org/officeDocument/2006/relationships/hyperlink" Target="Photos\P1010027.JPG" TargetMode="External"/><Relationship Id="rId229" Type="http://schemas.openxmlformats.org/officeDocument/2006/relationships/hyperlink" Target="Photos\P1010023.JPG" TargetMode="External"/><Relationship Id="rId230" Type="http://schemas.openxmlformats.org/officeDocument/2006/relationships/hyperlink" Target="Photos\P1010024.JPG" TargetMode="External"/><Relationship Id="rId231" Type="http://schemas.openxmlformats.org/officeDocument/2006/relationships/hyperlink" Target="Photos\P1010015.JPG" TargetMode="External"/><Relationship Id="rId232" Type="http://schemas.openxmlformats.org/officeDocument/2006/relationships/hyperlink" Target="Photos\P1010016.JPG" TargetMode="External"/><Relationship Id="rId233" Type="http://schemas.openxmlformats.org/officeDocument/2006/relationships/hyperlink" Target="Photos\P1010017.JPG" TargetMode="External"/><Relationship Id="rId234" Type="http://schemas.openxmlformats.org/officeDocument/2006/relationships/hyperlink" Target="Photos\P1010018.JPG" TargetMode="External"/><Relationship Id="rId235" Type="http://schemas.openxmlformats.org/officeDocument/2006/relationships/hyperlink" Target="Photos\P1010011.JPG" TargetMode="External"/><Relationship Id="rId236" Type="http://schemas.openxmlformats.org/officeDocument/2006/relationships/hyperlink" Target="Photos\P1010014.JPG" TargetMode="External"/><Relationship Id="rId237" Type="http://schemas.openxmlformats.org/officeDocument/2006/relationships/hyperlink" Target="Photos\P1010031.JPG" TargetMode="External"/><Relationship Id="rId238" Type="http://schemas.openxmlformats.org/officeDocument/2006/relationships/hyperlink" Target="Photos\P1010006.JPG" TargetMode="External"/><Relationship Id="rId239" Type="http://schemas.openxmlformats.org/officeDocument/2006/relationships/hyperlink" Target="Photos\PA010007.JPG" TargetMode="External"/><Relationship Id="rId240" Type="http://schemas.openxmlformats.org/officeDocument/2006/relationships/hyperlink" Target="Photos\PA010008.JPG" TargetMode="External"/><Relationship Id="rId241" Type="http://schemas.openxmlformats.org/officeDocument/2006/relationships/hyperlink" Target="Photos\PA010003.JPG" TargetMode="External"/><Relationship Id="rId242" Type="http://schemas.openxmlformats.org/officeDocument/2006/relationships/hyperlink" Target="Photos\PA010004.JPG" TargetMode="External"/><Relationship Id="rId243" Type="http://schemas.openxmlformats.org/officeDocument/2006/relationships/hyperlink" Target="Photos\PA010009.JPG" TargetMode="External"/><Relationship Id="rId244" Type="http://schemas.openxmlformats.org/officeDocument/2006/relationships/hyperlink" Target="Photos\PA010010.JPG" TargetMode="External"/><Relationship Id="rId245" Type="http://schemas.openxmlformats.org/officeDocument/2006/relationships/hyperlink" Target="Photos\PA010017.JPG" TargetMode="External"/><Relationship Id="rId246" Type="http://schemas.openxmlformats.org/officeDocument/2006/relationships/hyperlink" Target="Photos\PA010015.JPG" TargetMode="External"/><Relationship Id="rId247" Type="http://schemas.openxmlformats.org/officeDocument/2006/relationships/hyperlink" Target="Photos\P1010012.JPG" TargetMode="External"/><Relationship Id="rId248" Type="http://schemas.openxmlformats.org/officeDocument/2006/relationships/hyperlink" Target="Photos\PA010019.JPG" TargetMode="External"/><Relationship Id="rId249" Type="http://schemas.openxmlformats.org/officeDocument/2006/relationships/hyperlink" Target="Photos\PAA90223.JPG" TargetMode="External"/><Relationship Id="rId250" Type="http://schemas.openxmlformats.org/officeDocument/2006/relationships/hyperlink" Target="Photos\PAA90226.JPG" TargetMode="External"/><Relationship Id="rId251" Type="http://schemas.openxmlformats.org/officeDocument/2006/relationships/hyperlink" Target="Photos\PC150045.JPG" TargetMode="External"/><Relationship Id="rId252" Type="http://schemas.openxmlformats.org/officeDocument/2006/relationships/hyperlink" Target="Photos\PC150046.JPG" TargetMode="External"/><Relationship Id="rId253" Type="http://schemas.openxmlformats.org/officeDocument/2006/relationships/hyperlink" Target="Photos\PAA90229.JPG" TargetMode="External"/><Relationship Id="rId254" Type="http://schemas.openxmlformats.org/officeDocument/2006/relationships/hyperlink" Target="Photos\PAA90232.JPG" TargetMode="External"/><Relationship Id="rId255" Type="http://schemas.openxmlformats.org/officeDocument/2006/relationships/hyperlink" Target="Photos\PAA90233.JPG" TargetMode="External"/><Relationship Id="rId256" Type="http://schemas.openxmlformats.org/officeDocument/2006/relationships/hyperlink" Target="Photos\PAA90235.JPG" TargetMode="External"/><Relationship Id="rId257" Type="http://schemas.openxmlformats.org/officeDocument/2006/relationships/hyperlink" Target="Photos\PAA90231.JPG" TargetMode="External"/><Relationship Id="rId258" Type="http://schemas.openxmlformats.org/officeDocument/2006/relationships/hyperlink" Target="Photos\P1010019.JPG" TargetMode="External"/><Relationship Id="rId259" Type="http://schemas.openxmlformats.org/officeDocument/2006/relationships/hyperlink" Target="Photos\P1010020.JPG" TargetMode="External"/><Relationship Id="rId260" Type="http://schemas.openxmlformats.org/officeDocument/2006/relationships/hyperlink" Target="Photos\P1010021.JPG" TargetMode="External"/><Relationship Id="rId261" Type="http://schemas.openxmlformats.org/officeDocument/2006/relationships/hyperlink" Target="Photos\P1010041.JPG" TargetMode="External"/><Relationship Id="rId262" Type="http://schemas.openxmlformats.org/officeDocument/2006/relationships/hyperlink" Target="Photos\P1200003.JPG" TargetMode="External"/><Relationship Id="rId263" Type="http://schemas.openxmlformats.org/officeDocument/2006/relationships/hyperlink" Target="Photos\P1200001.JPG" TargetMode="External"/><Relationship Id="rId264" Type="http://schemas.openxmlformats.org/officeDocument/2006/relationships/hyperlink" Target="Photos\P1200002.JPG" TargetMode="External"/><Relationship Id="rId265" Type="http://schemas.openxmlformats.org/officeDocument/2006/relationships/hyperlink" Target="Photos\P1200005.JPG" TargetMode="External"/><Relationship Id="rId266" Type="http://schemas.openxmlformats.org/officeDocument/2006/relationships/hyperlink" Target="Photos\P1200006.JPG" TargetMode="External"/><Relationship Id="rId267" Type="http://schemas.openxmlformats.org/officeDocument/2006/relationships/hyperlink" Target="Photos\P1010070.JPG" TargetMode="External"/><Relationship Id="rId268" Type="http://schemas.openxmlformats.org/officeDocument/2006/relationships/hyperlink" Target="Photos\P1010070A.JPG" TargetMode="External"/><Relationship Id="rId269" Type="http://schemas.openxmlformats.org/officeDocument/2006/relationships/hyperlink" Target="Photos\P1010065.JPG" TargetMode="External"/><Relationship Id="rId270" Type="http://schemas.openxmlformats.org/officeDocument/2006/relationships/hyperlink" Target="Photos\P1010066.JPG" TargetMode="External"/><Relationship Id="rId271" Type="http://schemas.openxmlformats.org/officeDocument/2006/relationships/hyperlink" Target="Photos\P1010069.JPG" TargetMode="External"/><Relationship Id="rId272" Type="http://schemas.openxmlformats.org/officeDocument/2006/relationships/hyperlink" Target="Photos\P1010067.JPG" TargetMode="External"/><Relationship Id="rId273" Type="http://schemas.openxmlformats.org/officeDocument/2006/relationships/hyperlink" Target="Photos\P1010068.JPG" TargetMode="External"/><Relationship Id="rId274" Type="http://schemas.openxmlformats.org/officeDocument/2006/relationships/hyperlink" Target="Photos\P1010069.JPG" TargetMode="External"/><Relationship Id="rId275" Type="http://schemas.openxmlformats.org/officeDocument/2006/relationships/hyperlink" Target="Photos\PAA40021.JPG" TargetMode="External"/><Relationship Id="rId276" Type="http://schemas.openxmlformats.org/officeDocument/2006/relationships/hyperlink" Target="Photos\PAA40022.JPG" TargetMode="External"/><Relationship Id="rId277" Type="http://schemas.openxmlformats.org/officeDocument/2006/relationships/hyperlink" Target="Photos\P1010057.JPG" TargetMode="External"/><Relationship Id="rId278" Type="http://schemas.openxmlformats.org/officeDocument/2006/relationships/hyperlink" Target="Photos\P1010058.JPG" TargetMode="External"/><Relationship Id="rId279" Type="http://schemas.openxmlformats.org/officeDocument/2006/relationships/hyperlink" Target="Photos\P1010059.JPG" TargetMode="External"/><Relationship Id="rId280" Type="http://schemas.openxmlformats.org/officeDocument/2006/relationships/hyperlink" Target="Photos\P1010062.JPG" TargetMode="External"/><Relationship Id="rId281" Type="http://schemas.openxmlformats.org/officeDocument/2006/relationships/hyperlink" Target="Photos\P1010063.JPG" TargetMode="External"/><Relationship Id="rId282" Type="http://schemas.openxmlformats.org/officeDocument/2006/relationships/hyperlink" Target="Photos\P1010064.JPG" TargetMode="External"/><Relationship Id="rId283" Type="http://schemas.openxmlformats.org/officeDocument/2006/relationships/hyperlink" Target="Photos\P1010060.JPG" TargetMode="External"/><Relationship Id="rId284" Type="http://schemas.openxmlformats.org/officeDocument/2006/relationships/hyperlink" Target="Photos\P1010061.JPG" TargetMode="External"/><Relationship Id="rId285" Type="http://schemas.openxmlformats.org/officeDocument/2006/relationships/hyperlink" Target="Photos\P1010054.JPG" TargetMode="External"/><Relationship Id="rId286" Type="http://schemas.openxmlformats.org/officeDocument/2006/relationships/hyperlink" Target="Photos\P1010055.JPG" TargetMode="External"/><Relationship Id="rId287" Type="http://schemas.openxmlformats.org/officeDocument/2006/relationships/hyperlink" Target="Photos\PAA90219.JPG" TargetMode="External"/><Relationship Id="rId288" Type="http://schemas.openxmlformats.org/officeDocument/2006/relationships/hyperlink" Target="Photos\PAA90220.JPG" TargetMode="External"/><Relationship Id="rId289" Type="http://schemas.openxmlformats.org/officeDocument/2006/relationships/hyperlink" Target="Photos\P1010049.JPG" TargetMode="External"/><Relationship Id="rId290" Type="http://schemas.openxmlformats.org/officeDocument/2006/relationships/hyperlink" Target="Photos\P1010050.JPG" TargetMode="External"/><Relationship Id="rId291" Type="http://schemas.openxmlformats.org/officeDocument/2006/relationships/hyperlink" Target="Photos\P1010051.JPG" TargetMode="External"/><Relationship Id="rId292" Type="http://schemas.openxmlformats.org/officeDocument/2006/relationships/hyperlink" Target="Photos\P1010053.JPG" TargetMode="External"/><Relationship Id="rId293" Type="http://schemas.openxmlformats.org/officeDocument/2006/relationships/hyperlink" Target="Photos\P1010044.JPG" TargetMode="External"/><Relationship Id="rId294" Type="http://schemas.openxmlformats.org/officeDocument/2006/relationships/hyperlink" Target="Photos\P1010045.JPG" TargetMode="External"/><Relationship Id="rId295" Type="http://schemas.openxmlformats.org/officeDocument/2006/relationships/hyperlink" Target="Photos\PAA40039.JPG" TargetMode="External"/><Relationship Id="rId296" Type="http://schemas.openxmlformats.org/officeDocument/2006/relationships/hyperlink" Target="Photos\P1220007.JPG" TargetMode="External"/><Relationship Id="rId297" Type="http://schemas.openxmlformats.org/officeDocument/2006/relationships/hyperlink" Target="Photos\P1220009.JPG" TargetMode="External"/><Relationship Id="rId298" Type="http://schemas.openxmlformats.org/officeDocument/2006/relationships/hyperlink" Target="Photos\P1220016.JPG" TargetMode="External"/><Relationship Id="rId299" Type="http://schemas.openxmlformats.org/officeDocument/2006/relationships/hyperlink" Target="Photos\P1010073.JPG" TargetMode="External"/><Relationship Id="rId300" Type="http://schemas.openxmlformats.org/officeDocument/2006/relationships/hyperlink" Target="Photos\P1010074.JPG" TargetMode="External"/><Relationship Id="rId301" Type="http://schemas.openxmlformats.org/officeDocument/2006/relationships/hyperlink" Target="Photos\PAA40023.JPG" TargetMode="External"/><Relationship Id="rId302" Type="http://schemas.openxmlformats.org/officeDocument/2006/relationships/hyperlink" Target="Photos\PAA40024.JPG" TargetMode="External"/><Relationship Id="rId303" Type="http://schemas.openxmlformats.org/officeDocument/2006/relationships/hyperlink" Target="Photos\PAA40026.JPG" TargetMode="External"/><Relationship Id="rId304" Type="http://schemas.openxmlformats.org/officeDocument/2006/relationships/hyperlink" Target="Photos\PAA40036.JPG" TargetMode="External"/><Relationship Id="rId305" Type="http://schemas.openxmlformats.org/officeDocument/2006/relationships/hyperlink" Target="Photos\PAA40028.JPG" TargetMode="External"/><Relationship Id="rId306" Type="http://schemas.openxmlformats.org/officeDocument/2006/relationships/hyperlink" Target="Photos\PAA40029.JPG" TargetMode="External"/><Relationship Id="rId307" Type="http://schemas.openxmlformats.org/officeDocument/2006/relationships/hyperlink" Target="Photos\PAA40031.JPG" TargetMode="External"/><Relationship Id="rId308" Type="http://schemas.openxmlformats.org/officeDocument/2006/relationships/hyperlink" Target="Photos\PAA40036.JPG" TargetMode="External"/><Relationship Id="rId309" Type="http://schemas.openxmlformats.org/officeDocument/2006/relationships/hyperlink" Target="Photos\PAA40032.JPG" TargetMode="External"/><Relationship Id="rId310" Type="http://schemas.openxmlformats.org/officeDocument/2006/relationships/hyperlink" Target="Photos\PAA40033.JPG" TargetMode="External"/><Relationship Id="rId311" Type="http://schemas.openxmlformats.org/officeDocument/2006/relationships/hyperlink" Target="Photos\PAA40036.JPG" TargetMode="External"/><Relationship Id="rId312" Type="http://schemas.openxmlformats.org/officeDocument/2006/relationships/hyperlink" Target="Photos\P1010071.JPG" TargetMode="External"/><Relationship Id="rId313" Type="http://schemas.openxmlformats.org/officeDocument/2006/relationships/hyperlink" Target="Photos\P1010072.JPG" TargetMode="External"/><Relationship Id="rId314" Type="http://schemas.openxmlformats.org/officeDocument/2006/relationships/hyperlink" Target="Photos\PAA40041.JPG" TargetMode="External"/><Relationship Id="rId315" Type="http://schemas.openxmlformats.org/officeDocument/2006/relationships/hyperlink" Target="Photos\PAA40043.JPG" TargetMode="External"/><Relationship Id="rId316" Type="http://schemas.openxmlformats.org/officeDocument/2006/relationships/hyperlink" Target="Photos\PAA40045.JPG" TargetMode="External"/><Relationship Id="rId317" Type="http://schemas.openxmlformats.org/officeDocument/2006/relationships/hyperlink" Target="Photos\PAA40047.JPG" TargetMode="External"/><Relationship Id="rId318" Type="http://schemas.openxmlformats.org/officeDocument/2006/relationships/hyperlink" Target="Photos\PAA40048.JPG" TargetMode="External"/><Relationship Id="rId319" Type="http://schemas.openxmlformats.org/officeDocument/2006/relationships/hyperlink" Target="Photos\PAA40049.JPG" TargetMode="External"/><Relationship Id="rId320" Type="http://schemas.openxmlformats.org/officeDocument/2006/relationships/hyperlink" Target="Photos\PAA40050.JPG" TargetMode="External"/><Relationship Id="rId321" Type="http://schemas.openxmlformats.org/officeDocument/2006/relationships/hyperlink" Target="Photos\PAA40053.JPG" TargetMode="External"/><Relationship Id="rId322" Type="http://schemas.openxmlformats.org/officeDocument/2006/relationships/hyperlink" Target="Photos\PAA40055.JPG" TargetMode="External"/><Relationship Id="rId323" Type="http://schemas.openxmlformats.org/officeDocument/2006/relationships/hyperlink" Target="Photos\PAA40058.JPG" TargetMode="External"/><Relationship Id="rId324" Type="http://schemas.openxmlformats.org/officeDocument/2006/relationships/hyperlink" Target="Photos\PAA40059.JPG" TargetMode="External"/><Relationship Id="rId325" Type="http://schemas.openxmlformats.org/officeDocument/2006/relationships/hyperlink" Target="Photos\PAA40060.JPG" TargetMode="External"/><Relationship Id="rId326" Type="http://schemas.openxmlformats.org/officeDocument/2006/relationships/hyperlink" Target="Photos\PAA40057.JPG" TargetMode="External"/><Relationship Id="rId327" Type="http://schemas.openxmlformats.org/officeDocument/2006/relationships/hyperlink" Target="Photos\PAA40059.JPG" TargetMode="External"/><Relationship Id="rId328" Type="http://schemas.openxmlformats.org/officeDocument/2006/relationships/hyperlink" Target="Photos\PAA40060.JPG" TargetMode="External"/><Relationship Id="rId329" Type="http://schemas.openxmlformats.org/officeDocument/2006/relationships/hyperlink" Target="Photos\PAA40064.JPG" TargetMode="External"/><Relationship Id="rId330" Type="http://schemas.openxmlformats.org/officeDocument/2006/relationships/hyperlink" Target="Photos\PAA40065.JPG" TargetMode="External"/><Relationship Id="rId331" Type="http://schemas.openxmlformats.org/officeDocument/2006/relationships/hyperlink" Target="Photos\PAA40064.JPG" TargetMode="External"/><Relationship Id="rId332" Type="http://schemas.openxmlformats.org/officeDocument/2006/relationships/hyperlink" Target="Photos\PAA40065.JPG" TargetMode="External"/><Relationship Id="rId333" Type="http://schemas.openxmlformats.org/officeDocument/2006/relationships/hyperlink" Target="Photos\PAA40062.JPG" TargetMode="External"/><Relationship Id="rId334" Type="http://schemas.openxmlformats.org/officeDocument/2006/relationships/hyperlink" Target="Photos\PAA40063.JPG" TargetMode="External"/><Relationship Id="rId335" Type="http://schemas.openxmlformats.org/officeDocument/2006/relationships/hyperlink" Target="Photos\PAA40040.JPG" TargetMode="External"/><Relationship Id="rId336" Type="http://schemas.openxmlformats.org/officeDocument/2006/relationships/hyperlink" Target="Photos\PAA40067.JPG" TargetMode="External"/><Relationship Id="rId337" Type="http://schemas.openxmlformats.org/officeDocument/2006/relationships/hyperlink" Target="Photos\PAA40070.JPG" TargetMode="External"/><Relationship Id="rId338" Type="http://schemas.openxmlformats.org/officeDocument/2006/relationships/hyperlink" Target="Photos\PAA40074.JPG" TargetMode="External"/><Relationship Id="rId339" Type="http://schemas.openxmlformats.org/officeDocument/2006/relationships/hyperlink" Target="Photos\PAA40075.JPG" TargetMode="External"/><Relationship Id="rId340" Type="http://schemas.openxmlformats.org/officeDocument/2006/relationships/hyperlink" Target="Photos\PAA40071.JPG" TargetMode="External"/><Relationship Id="rId341" Type="http://schemas.openxmlformats.org/officeDocument/2006/relationships/hyperlink" Target="Photos\PAA40072.JPG" TargetMode="External"/><Relationship Id="rId342" Type="http://schemas.openxmlformats.org/officeDocument/2006/relationships/hyperlink" Target="Photos\PAA40078.JPG" TargetMode="External"/><Relationship Id="rId343" Type="http://schemas.openxmlformats.org/officeDocument/2006/relationships/hyperlink" Target="Photos\PAA40079.JPG" TargetMode="External"/><Relationship Id="rId344" Type="http://schemas.openxmlformats.org/officeDocument/2006/relationships/hyperlink" Target="Photos\PAA40076.JPG" TargetMode="External"/><Relationship Id="rId345" Type="http://schemas.openxmlformats.org/officeDocument/2006/relationships/hyperlink" Target="Photos\PAA40077.JPG" TargetMode="External"/><Relationship Id="rId346" Type="http://schemas.openxmlformats.org/officeDocument/2006/relationships/hyperlink" Target="Photos\PAA50094.JPG" TargetMode="External"/><Relationship Id="rId347" Type="http://schemas.openxmlformats.org/officeDocument/2006/relationships/hyperlink" Target="Photos\PAA50098.JPG" TargetMode="External"/><Relationship Id="rId348" Type="http://schemas.openxmlformats.org/officeDocument/2006/relationships/hyperlink" Target="Photos\PAA50096.JPG" TargetMode="External"/><Relationship Id="rId349" Type="http://schemas.openxmlformats.org/officeDocument/2006/relationships/hyperlink" Target="Photos\PAA50099.JPG" TargetMode="External"/><Relationship Id="rId350" Type="http://schemas.openxmlformats.org/officeDocument/2006/relationships/hyperlink" Target="Photos\PAA40091.JPG" TargetMode="External"/><Relationship Id="rId351" Type="http://schemas.openxmlformats.org/officeDocument/2006/relationships/hyperlink" Target="Photos\PAA40092.JPG" TargetMode="External"/><Relationship Id="rId352" Type="http://schemas.openxmlformats.org/officeDocument/2006/relationships/hyperlink" Target="Photos\PAA40080.JPG" TargetMode="External"/><Relationship Id="rId353" Type="http://schemas.openxmlformats.org/officeDocument/2006/relationships/hyperlink" Target="Photos\PAA40082.JPG" TargetMode="External"/><Relationship Id="rId354" Type="http://schemas.openxmlformats.org/officeDocument/2006/relationships/hyperlink" Target="Photos\PAA50100.JPG" TargetMode="External"/><Relationship Id="rId355" Type="http://schemas.openxmlformats.org/officeDocument/2006/relationships/hyperlink" Target="Photos\PAA50103.JPG" TargetMode="External"/><Relationship Id="rId356" Type="http://schemas.openxmlformats.org/officeDocument/2006/relationships/hyperlink" Target="Photos\PAA50104.JPG" TargetMode="External"/><Relationship Id="rId357" Type="http://schemas.openxmlformats.org/officeDocument/2006/relationships/hyperlink" Target="Photos\PAA50109.JPG" TargetMode="External"/><Relationship Id="rId358" Type="http://schemas.openxmlformats.org/officeDocument/2006/relationships/hyperlink" Target="Photos\PAA50110.JPG" TargetMode="External"/><Relationship Id="rId359" Type="http://schemas.openxmlformats.org/officeDocument/2006/relationships/hyperlink" Target="Photos\PAA50111.JPG" TargetMode="External"/><Relationship Id="rId360" Type="http://schemas.openxmlformats.org/officeDocument/2006/relationships/hyperlink" Target="Photos\PAA50114.JPG" TargetMode="External"/><Relationship Id="rId361" Type="http://schemas.openxmlformats.org/officeDocument/2006/relationships/hyperlink" Target="Photos\PAA50115.JPG" TargetMode="External"/><Relationship Id="rId362" Type="http://schemas.openxmlformats.org/officeDocument/2006/relationships/hyperlink" Target="Photos\PAA50118.JPG" TargetMode="External"/><Relationship Id="rId363" Type="http://schemas.openxmlformats.org/officeDocument/2006/relationships/hyperlink" Target="Photos\PAA50112.JPG" TargetMode="External"/><Relationship Id="rId364" Type="http://schemas.openxmlformats.org/officeDocument/2006/relationships/hyperlink" Target="Photos\PAA50113.JPG" TargetMode="External"/><Relationship Id="rId365" Type="http://schemas.openxmlformats.org/officeDocument/2006/relationships/hyperlink" Target="Photos\PAA50118.JPG" TargetMode="External"/><Relationship Id="rId366" Type="http://schemas.openxmlformats.org/officeDocument/2006/relationships/hyperlink" Target="Photos\PAA50105.JPG" TargetMode="External"/><Relationship Id="rId367" Type="http://schemas.openxmlformats.org/officeDocument/2006/relationships/hyperlink" Target="Photos\PAA50106.JPG" TargetMode="External"/><Relationship Id="rId368" Type="http://schemas.openxmlformats.org/officeDocument/2006/relationships/hyperlink" Target="Photos\PAA50107.JPG" TargetMode="External"/><Relationship Id="rId369" Type="http://schemas.openxmlformats.org/officeDocument/2006/relationships/hyperlink" Target="Photos\PAA40088.JPG" TargetMode="External"/><Relationship Id="rId370" Type="http://schemas.openxmlformats.org/officeDocument/2006/relationships/hyperlink" Target="Photos\PAA40089.JPG" TargetMode="External"/><Relationship Id="rId371" Type="http://schemas.openxmlformats.org/officeDocument/2006/relationships/hyperlink" Target="Photos\PAA40084.JPG" TargetMode="External"/><Relationship Id="rId372" Type="http://schemas.openxmlformats.org/officeDocument/2006/relationships/hyperlink" Target="Photos\PAA40086.JPG" TargetMode="External"/><Relationship Id="rId373" Type="http://schemas.openxmlformats.org/officeDocument/2006/relationships/hyperlink" Target="Photos\PAA50125.JPG" TargetMode="External"/><Relationship Id="rId374" Type="http://schemas.openxmlformats.org/officeDocument/2006/relationships/hyperlink" Target="Photos\PAA50126.JPG" TargetMode="External"/><Relationship Id="rId375" Type="http://schemas.openxmlformats.org/officeDocument/2006/relationships/hyperlink" Target="Photos\PAA50129.JPG" TargetMode="External"/><Relationship Id="rId376" Type="http://schemas.openxmlformats.org/officeDocument/2006/relationships/hyperlink" Target="Photos\PAA50122.JPG" TargetMode="External"/><Relationship Id="rId377" Type="http://schemas.openxmlformats.org/officeDocument/2006/relationships/hyperlink" Target="Photos\PAA50123.JPG" TargetMode="External"/><Relationship Id="rId378" Type="http://schemas.openxmlformats.org/officeDocument/2006/relationships/hyperlink" Target="Photos\PAA50124.JPG" TargetMode="External"/><Relationship Id="rId379" Type="http://schemas.openxmlformats.org/officeDocument/2006/relationships/hyperlink" Target="Photos\PAA50119.JPG" TargetMode="External"/><Relationship Id="rId380" Type="http://schemas.openxmlformats.org/officeDocument/2006/relationships/hyperlink" Target="Photos\PAA50121.JPG" TargetMode="External"/><Relationship Id="rId381" Type="http://schemas.openxmlformats.org/officeDocument/2006/relationships/hyperlink" Target="Photos\PAA50145.JPG" TargetMode="External"/><Relationship Id="rId382" Type="http://schemas.openxmlformats.org/officeDocument/2006/relationships/hyperlink" Target="Photos\PAA50134.JPG" TargetMode="External"/><Relationship Id="rId383" Type="http://schemas.openxmlformats.org/officeDocument/2006/relationships/hyperlink" Target="Photos\PAA50137.JPG" TargetMode="External"/><Relationship Id="rId384" Type="http://schemas.openxmlformats.org/officeDocument/2006/relationships/hyperlink" Target="Photos\PAA50131.JPG" TargetMode="External"/><Relationship Id="rId385" Type="http://schemas.openxmlformats.org/officeDocument/2006/relationships/hyperlink" Target="Photos\PAA50132.JPG" TargetMode="External"/><Relationship Id="rId386" Type="http://schemas.openxmlformats.org/officeDocument/2006/relationships/hyperlink" Target="Photos\PAA50133.JPG" TargetMode="External"/><Relationship Id="rId387" Type="http://schemas.openxmlformats.org/officeDocument/2006/relationships/hyperlink" Target="Photos\PAA50138.JPG" TargetMode="External"/><Relationship Id="rId388" Type="http://schemas.openxmlformats.org/officeDocument/2006/relationships/hyperlink" Target="Photos\PAA50139.JPG" TargetMode="External"/><Relationship Id="rId389" Type="http://schemas.openxmlformats.org/officeDocument/2006/relationships/hyperlink" Target="Photos\PAA50148.JPG" TargetMode="External"/><Relationship Id="rId390" Type="http://schemas.openxmlformats.org/officeDocument/2006/relationships/hyperlink" Target="Photos\PAA50149.JPG" TargetMode="External"/><Relationship Id="rId391" Type="http://schemas.openxmlformats.org/officeDocument/2006/relationships/hyperlink" Target="Photos\PAA50151.JPG" TargetMode="External"/><Relationship Id="rId392" Type="http://schemas.openxmlformats.org/officeDocument/2006/relationships/hyperlink" Target="Photos\PAA50141.JPG" TargetMode="External"/><Relationship Id="rId393" Type="http://schemas.openxmlformats.org/officeDocument/2006/relationships/hyperlink" Target="Photos\PAA50142.JPG" TargetMode="External"/><Relationship Id="rId394" Type="http://schemas.openxmlformats.org/officeDocument/2006/relationships/hyperlink" Target="Photos\PAA50159.JPG" TargetMode="External"/><Relationship Id="rId395" Type="http://schemas.openxmlformats.org/officeDocument/2006/relationships/hyperlink" Target="Photos\PAA50160.JPG" TargetMode="External"/><Relationship Id="rId396" Type="http://schemas.openxmlformats.org/officeDocument/2006/relationships/hyperlink" Target="Photos\PAA50152.JPG" TargetMode="External"/><Relationship Id="rId397" Type="http://schemas.openxmlformats.org/officeDocument/2006/relationships/hyperlink" Target="Photos\PAA50153.JPG" TargetMode="External"/><Relationship Id="rId398" Type="http://schemas.openxmlformats.org/officeDocument/2006/relationships/hyperlink" Target="Photos\PAA50154.JPG" TargetMode="External"/><Relationship Id="rId399" Type="http://schemas.openxmlformats.org/officeDocument/2006/relationships/hyperlink" Target="Photos\PAA50156.JPG" TargetMode="External"/><Relationship Id="rId400" Type="http://schemas.openxmlformats.org/officeDocument/2006/relationships/hyperlink" Target="Photos\PAA50157.JPG" TargetMode="External"/><Relationship Id="rId401" Type="http://schemas.openxmlformats.org/officeDocument/2006/relationships/hyperlink" Target="Photos\PAA90214.JPG" TargetMode="External"/><Relationship Id="rId402" Type="http://schemas.openxmlformats.org/officeDocument/2006/relationships/hyperlink" Target="Photos\PAA90217.JPG" TargetMode="External"/><Relationship Id="rId403" Type="http://schemas.openxmlformats.org/officeDocument/2006/relationships/hyperlink" Target="Photos\PAA90214.JPG" TargetMode="External"/><Relationship Id="rId404" Type="http://schemas.openxmlformats.org/officeDocument/2006/relationships/hyperlink" Target="Photos\PAA90217.JPG" TargetMode="External"/><Relationship Id="rId405" Type="http://schemas.openxmlformats.org/officeDocument/2006/relationships/hyperlink" Target="Photos\PAA60161.JPG" TargetMode="External"/><Relationship Id="rId406" Type="http://schemas.openxmlformats.org/officeDocument/2006/relationships/hyperlink" Target="Photos\PAA60164.JPG" TargetMode="External"/><Relationship Id="rId407" Type="http://schemas.openxmlformats.org/officeDocument/2006/relationships/hyperlink" Target="Photos\PAA60165.JPG" TargetMode="External"/><Relationship Id="rId408" Type="http://schemas.openxmlformats.org/officeDocument/2006/relationships/hyperlink" Target="Photos\PAA60166.JPG" TargetMode="External"/><Relationship Id="rId409" Type="http://schemas.openxmlformats.org/officeDocument/2006/relationships/hyperlink" Target="Photos\PAA90187.JPG" TargetMode="External"/><Relationship Id="rId410" Type="http://schemas.openxmlformats.org/officeDocument/2006/relationships/hyperlink" Target="Photos\PAA90188.JPG" TargetMode="External"/><Relationship Id="rId411" Type="http://schemas.openxmlformats.org/officeDocument/2006/relationships/hyperlink" Target="Photos\PAA90190.JPG" TargetMode="External"/><Relationship Id="rId412" Type="http://schemas.openxmlformats.org/officeDocument/2006/relationships/hyperlink" Target="Photos\PAA60167.JPG" TargetMode="External"/><Relationship Id="rId413" Type="http://schemas.openxmlformats.org/officeDocument/2006/relationships/hyperlink" Target="Photos\PAA60168.JPG" TargetMode="External"/><Relationship Id="rId414" Type="http://schemas.openxmlformats.org/officeDocument/2006/relationships/hyperlink" Target="Photos\PAA60169.JPG" TargetMode="External"/><Relationship Id="rId415" Type="http://schemas.openxmlformats.org/officeDocument/2006/relationships/hyperlink" Target="Photos\PAA60170.JPG" TargetMode="External"/><Relationship Id="rId416" Type="http://schemas.openxmlformats.org/officeDocument/2006/relationships/hyperlink" Target="Photos\PAA60175.JPG" TargetMode="External"/><Relationship Id="rId417" Type="http://schemas.openxmlformats.org/officeDocument/2006/relationships/hyperlink" Target="Photos\PAA60176.JPG" TargetMode="External"/><Relationship Id="rId418" Type="http://schemas.openxmlformats.org/officeDocument/2006/relationships/hyperlink" Target="Photos\PAA60171.JPG" TargetMode="External"/><Relationship Id="rId419" Type="http://schemas.openxmlformats.org/officeDocument/2006/relationships/hyperlink" Target="Photos\PAA60174.JPG" TargetMode="External"/><Relationship Id="rId420" Type="http://schemas.openxmlformats.org/officeDocument/2006/relationships/hyperlink" Target="Photos\PAA90198.JPG" TargetMode="External"/><Relationship Id="rId421" Type="http://schemas.openxmlformats.org/officeDocument/2006/relationships/hyperlink" Target="Photos\PAA90199.JPG" TargetMode="External"/><Relationship Id="rId422" Type="http://schemas.openxmlformats.org/officeDocument/2006/relationships/hyperlink" Target="Photos\PAA90208.JPG" TargetMode="External"/><Relationship Id="rId423" Type="http://schemas.openxmlformats.org/officeDocument/2006/relationships/hyperlink" Target="Photos\PAA90211.JPG" TargetMode="External"/><Relationship Id="rId424" Type="http://schemas.openxmlformats.org/officeDocument/2006/relationships/hyperlink" Target="Photos\PAA90194.JPG" TargetMode="External"/><Relationship Id="rId425" Type="http://schemas.openxmlformats.org/officeDocument/2006/relationships/hyperlink" Target="Photos\PAA90196.JPG" TargetMode="External"/><Relationship Id="rId426" Type="http://schemas.openxmlformats.org/officeDocument/2006/relationships/hyperlink" Target="Photos\PAA90192.JPG" TargetMode="External"/><Relationship Id="rId427" Type="http://schemas.openxmlformats.org/officeDocument/2006/relationships/hyperlink" Target="Photos\PAA90193.JPG" TargetMode="External"/><Relationship Id="rId428" Type="http://schemas.openxmlformats.org/officeDocument/2006/relationships/hyperlink" Target="Photos\PAA90196.JPG" TargetMode="External"/><Relationship Id="rId429" Type="http://schemas.openxmlformats.org/officeDocument/2006/relationships/hyperlink" Target="Photos\PAA60185.JPG" TargetMode="External"/><Relationship Id="rId430" Type="http://schemas.openxmlformats.org/officeDocument/2006/relationships/hyperlink" Target="Photos\PAA60186.JPG" TargetMode="External"/><Relationship Id="rId431" Type="http://schemas.openxmlformats.org/officeDocument/2006/relationships/hyperlink" Target="Photos\PAA90200.JPG" TargetMode="External"/><Relationship Id="rId432" Type="http://schemas.openxmlformats.org/officeDocument/2006/relationships/hyperlink" Target="Photos\PAA90201.JPG" TargetMode="External"/><Relationship Id="rId433" Type="http://schemas.openxmlformats.org/officeDocument/2006/relationships/hyperlink" Target="Photos\PAA90202.JPG" TargetMode="External"/><Relationship Id="rId434" Type="http://schemas.openxmlformats.org/officeDocument/2006/relationships/hyperlink" Target="Photos\PAA90203.JPG" TargetMode="External"/><Relationship Id="rId435" Type="http://schemas.openxmlformats.org/officeDocument/2006/relationships/hyperlink" Target="Photos\PAA60177.JPG" TargetMode="External"/><Relationship Id="rId436" Type="http://schemas.openxmlformats.org/officeDocument/2006/relationships/hyperlink" Target="Photos\PAA60178.JPG" TargetMode="External"/><Relationship Id="rId437" Type="http://schemas.openxmlformats.org/officeDocument/2006/relationships/hyperlink" Target="Photos\PAA60179.JPG" TargetMode="External"/><Relationship Id="rId438" Type="http://schemas.openxmlformats.org/officeDocument/2006/relationships/hyperlink" Target="Photos\PAA60182.JPG" TargetMode="External"/><Relationship Id="rId439" Type="http://schemas.openxmlformats.org/officeDocument/2006/relationships/hyperlink" Target="Photos\PAA60183.JPG" TargetMode="External"/><Relationship Id="rId440" Type="http://schemas.openxmlformats.org/officeDocument/2006/relationships/hyperlink" Target="Photos\PAA90207.JPG" TargetMode="External"/><Relationship Id="rId441" Type="http://schemas.openxmlformats.org/officeDocument/2006/relationships/hyperlink" Target="Photos\PAA90236.JPG" TargetMode="External"/><Relationship Id="rId442" Type="http://schemas.openxmlformats.org/officeDocument/2006/relationships/hyperlink" Target="Photos\PAA90239.JPG" TargetMode="External"/><Relationship Id="rId443" Type="http://schemas.openxmlformats.org/officeDocument/2006/relationships/hyperlink" Target="Photos\PAA90238.JPG" TargetMode="External"/><Relationship Id="rId444" Type="http://schemas.openxmlformats.org/officeDocument/2006/relationships/hyperlink" Target="Photos\PAA90248.JPG" TargetMode="External"/><Relationship Id="rId445" Type="http://schemas.openxmlformats.org/officeDocument/2006/relationships/hyperlink" Target="Photos\PAA90254.JPG" TargetMode="External"/><Relationship Id="rId446" Type="http://schemas.openxmlformats.org/officeDocument/2006/relationships/hyperlink" Target="Photos\PAA90255.JPG" TargetMode="External"/><Relationship Id="rId447" Type="http://schemas.openxmlformats.org/officeDocument/2006/relationships/hyperlink" Target="Photos\PAA90258.JPG" TargetMode="External"/><Relationship Id="rId448" Type="http://schemas.openxmlformats.org/officeDocument/2006/relationships/hyperlink" Target="Photos\PAA90260.JPG" TargetMode="External"/><Relationship Id="rId449" Type="http://schemas.openxmlformats.org/officeDocument/2006/relationships/hyperlink" Target="Photos\PAA90242.JPG" TargetMode="External"/><Relationship Id="rId450" Type="http://schemas.openxmlformats.org/officeDocument/2006/relationships/hyperlink" Target="Photos\PAA90244.JPG" TargetMode="External"/><Relationship Id="rId451" Type="http://schemas.openxmlformats.org/officeDocument/2006/relationships/hyperlink" Target="Photos\PAA90245.JPG" TargetMode="External"/><Relationship Id="rId452" Type="http://schemas.openxmlformats.org/officeDocument/2006/relationships/hyperlink" Target="Photos\PAA90246.JPG" TargetMode="External"/><Relationship Id="rId453" Type="http://schemas.openxmlformats.org/officeDocument/2006/relationships/hyperlink" Target="Photos\PAA90261.JPG" TargetMode="External"/><Relationship Id="rId454" Type="http://schemas.openxmlformats.org/officeDocument/2006/relationships/hyperlink" Target="Photos\PAA90262.JPG" TargetMode="External"/><Relationship Id="rId455" Type="http://schemas.openxmlformats.org/officeDocument/2006/relationships/hyperlink" Target="Photos\PAA90257.JPG" TargetMode="External"/><Relationship Id="rId456" Type="http://schemas.openxmlformats.org/officeDocument/2006/relationships/hyperlink" Target="Photos\PAA90240.JPG" TargetMode="External"/><Relationship Id="rId457" Type="http://schemas.openxmlformats.org/officeDocument/2006/relationships/hyperlink" Target="Photos\PAA90240.JPG" TargetMode="External"/><Relationship Id="rId458" Type="http://schemas.openxmlformats.org/officeDocument/2006/relationships/hyperlink" Target="Photos\P2020001.JPG" TargetMode="External"/><Relationship Id="rId459" Type="http://schemas.openxmlformats.org/officeDocument/2006/relationships/hyperlink" Target="Photos\P2020002.JPG" TargetMode="External"/><Relationship Id="rId460" Type="http://schemas.openxmlformats.org/officeDocument/2006/relationships/hyperlink" Target="Photos\P2020003.JPG" TargetMode="External"/><Relationship Id="rId461" Type="http://schemas.openxmlformats.org/officeDocument/2006/relationships/hyperlink" Target="Photos\P2020004.JPG" TargetMode="External"/><Relationship Id="rId462" Type="http://schemas.openxmlformats.org/officeDocument/2006/relationships/hyperlink" Target="Photos\P2020017.JPG" TargetMode="External"/><Relationship Id="rId463" Type="http://schemas.openxmlformats.org/officeDocument/2006/relationships/hyperlink" Target="Photos\P2020018.JPG" TargetMode="External"/><Relationship Id="rId464" Type="http://schemas.openxmlformats.org/officeDocument/2006/relationships/hyperlink" Target="Photos\P2020020.JPG" TargetMode="External"/><Relationship Id="rId465" Type="http://schemas.openxmlformats.org/officeDocument/2006/relationships/hyperlink" Target="Photos\P2020021.JPG" TargetMode="External"/><Relationship Id="rId466" Type="http://schemas.openxmlformats.org/officeDocument/2006/relationships/hyperlink" Target="Photos\P2020022.JPG" TargetMode="External"/><Relationship Id="rId467" Type="http://schemas.openxmlformats.org/officeDocument/2006/relationships/hyperlink" Target="Photos\P2020023.JPG" TargetMode="External"/><Relationship Id="rId468" Type="http://schemas.openxmlformats.org/officeDocument/2006/relationships/hyperlink" Target="Photos\P2020050.JPG" TargetMode="External"/><Relationship Id="rId469" Type="http://schemas.openxmlformats.org/officeDocument/2006/relationships/hyperlink" Target="Photos\P2020051.JPG" TargetMode="External"/><Relationship Id="rId470" Type="http://schemas.openxmlformats.org/officeDocument/2006/relationships/hyperlink" Target="Photos\P2020052.JPG" TargetMode="External"/><Relationship Id="rId471" Type="http://schemas.openxmlformats.org/officeDocument/2006/relationships/hyperlink" Target="Photos\P2020047.JPG" TargetMode="External"/><Relationship Id="rId472" Type="http://schemas.openxmlformats.org/officeDocument/2006/relationships/hyperlink" Target="Photos\P2020048.JPG" TargetMode="External"/><Relationship Id="rId473" Type="http://schemas.openxmlformats.org/officeDocument/2006/relationships/hyperlink" Target="Photos\P2020049.JPG" TargetMode="External"/><Relationship Id="rId474" Type="http://schemas.openxmlformats.org/officeDocument/2006/relationships/hyperlink" Target="Photos\P2020045.JPG" TargetMode="External"/><Relationship Id="rId475" Type="http://schemas.openxmlformats.org/officeDocument/2006/relationships/hyperlink" Target="Photos\P2020046.JPG" TargetMode="External"/><Relationship Id="rId476" Type="http://schemas.openxmlformats.org/officeDocument/2006/relationships/hyperlink" Target="Photos\P2020044.JPG" TargetMode="External"/><Relationship Id="rId477" Type="http://schemas.openxmlformats.org/officeDocument/2006/relationships/hyperlink" Target="Photos\P2020039.JPG" TargetMode="External"/><Relationship Id="rId478" Type="http://schemas.openxmlformats.org/officeDocument/2006/relationships/hyperlink" Target="Photos\P2020040.JPG" TargetMode="External"/><Relationship Id="rId479" Type="http://schemas.openxmlformats.org/officeDocument/2006/relationships/hyperlink" Target="Photos\P2020043.JPG" TargetMode="External"/><Relationship Id="rId480" Type="http://schemas.openxmlformats.org/officeDocument/2006/relationships/hyperlink" Target="Photos\P2020037.JPG" TargetMode="External"/><Relationship Id="rId481" Type="http://schemas.openxmlformats.org/officeDocument/2006/relationships/hyperlink" Target="Photos\P2020038.JPG" TargetMode="External"/><Relationship Id="rId482" Type="http://schemas.openxmlformats.org/officeDocument/2006/relationships/hyperlink" Target="Photos\P2020032.JPG" TargetMode="External"/><Relationship Id="rId483" Type="http://schemas.openxmlformats.org/officeDocument/2006/relationships/hyperlink" Target="Photos\P2020033.JPG" TargetMode="External"/><Relationship Id="rId484" Type="http://schemas.openxmlformats.org/officeDocument/2006/relationships/hyperlink" Target="Photos\P2020034.JPG" TargetMode="External"/><Relationship Id="rId485" Type="http://schemas.openxmlformats.org/officeDocument/2006/relationships/hyperlink" Target="Photos\P2020035.JPG" TargetMode="External"/><Relationship Id="rId486" Type="http://schemas.openxmlformats.org/officeDocument/2006/relationships/hyperlink" Target="Photos\P2020028.JPG" TargetMode="External"/><Relationship Id="rId487" Type="http://schemas.openxmlformats.org/officeDocument/2006/relationships/hyperlink" Target="Photos\P2020029.JPG" TargetMode="External"/><Relationship Id="rId488" Type="http://schemas.openxmlformats.org/officeDocument/2006/relationships/hyperlink" Target="Photos\P2020030.JPG" TargetMode="External"/><Relationship Id="rId489" Type="http://schemas.openxmlformats.org/officeDocument/2006/relationships/hyperlink" Target="Photos\P2020031.JPG" TargetMode="External"/><Relationship Id="rId490" Type="http://schemas.openxmlformats.org/officeDocument/2006/relationships/hyperlink" Target="Photos\P2060208.JPG" TargetMode="External"/><Relationship Id="rId491" Type="http://schemas.openxmlformats.org/officeDocument/2006/relationships/hyperlink" Target="Photos\P2060209.JPG" TargetMode="External"/><Relationship Id="rId492" Type="http://schemas.openxmlformats.org/officeDocument/2006/relationships/hyperlink" Target="Photos\P2030067.JPG" TargetMode="External"/><Relationship Id="rId493" Type="http://schemas.openxmlformats.org/officeDocument/2006/relationships/hyperlink" Target="Photos\P2030074.JPG" TargetMode="External"/><Relationship Id="rId494" Type="http://schemas.openxmlformats.org/officeDocument/2006/relationships/hyperlink" Target="Photos\P2030075.JPG" TargetMode="External"/><Relationship Id="rId495" Type="http://schemas.openxmlformats.org/officeDocument/2006/relationships/hyperlink" Target="Photos\P2030068.JPG" TargetMode="External"/><Relationship Id="rId496" Type="http://schemas.openxmlformats.org/officeDocument/2006/relationships/hyperlink" Target="Photos\P2030069.JPG" TargetMode="External"/><Relationship Id="rId497" Type="http://schemas.openxmlformats.org/officeDocument/2006/relationships/hyperlink" Target="Photos\P2030070.JPG" TargetMode="External"/><Relationship Id="rId498" Type="http://schemas.openxmlformats.org/officeDocument/2006/relationships/hyperlink" Target="Photos\P2030072.JPG" TargetMode="External"/><Relationship Id="rId499" Type="http://schemas.openxmlformats.org/officeDocument/2006/relationships/hyperlink" Target="Photos\P2030073.JPG" TargetMode="External"/><Relationship Id="rId500" Type="http://schemas.openxmlformats.org/officeDocument/2006/relationships/hyperlink" Target="Photos\P2030054.JPG" TargetMode="External"/><Relationship Id="rId501" Type="http://schemas.openxmlformats.org/officeDocument/2006/relationships/hyperlink" Target="Photos\P2030055.JPG" TargetMode="External"/><Relationship Id="rId502" Type="http://schemas.openxmlformats.org/officeDocument/2006/relationships/hyperlink" Target="Photos\P2030058.JPG" TargetMode="External"/><Relationship Id="rId503" Type="http://schemas.openxmlformats.org/officeDocument/2006/relationships/hyperlink" Target="Photos\P2030059.JPG" TargetMode="External"/><Relationship Id="rId504" Type="http://schemas.openxmlformats.org/officeDocument/2006/relationships/hyperlink" Target="Photos\P2030060.JPG" TargetMode="External"/><Relationship Id="rId505" Type="http://schemas.openxmlformats.org/officeDocument/2006/relationships/hyperlink" Target="Photos\P2030062.JPG" TargetMode="External"/><Relationship Id="rId506" Type="http://schemas.openxmlformats.org/officeDocument/2006/relationships/hyperlink" Target="Photos\P2030063.JPG" TargetMode="External"/><Relationship Id="rId507" Type="http://schemas.openxmlformats.org/officeDocument/2006/relationships/hyperlink" Target="Photos\P2030065.JPG" TargetMode="External"/><Relationship Id="rId508" Type="http://schemas.openxmlformats.org/officeDocument/2006/relationships/hyperlink" Target="Photos\P2030066.JPG" TargetMode="External"/><Relationship Id="rId509" Type="http://schemas.openxmlformats.org/officeDocument/2006/relationships/hyperlink" Target="Photos\P2030076.JPG" TargetMode="External"/><Relationship Id="rId510" Type="http://schemas.openxmlformats.org/officeDocument/2006/relationships/hyperlink" Target="Photos\P2030077.JPG" TargetMode="External"/><Relationship Id="rId511" Type="http://schemas.openxmlformats.org/officeDocument/2006/relationships/hyperlink" Target="Photos\P2030083.JPG" TargetMode="External"/><Relationship Id="rId512" Type="http://schemas.openxmlformats.org/officeDocument/2006/relationships/hyperlink" Target="Photos\P2030084.JPG" TargetMode="External"/><Relationship Id="rId513" Type="http://schemas.openxmlformats.org/officeDocument/2006/relationships/hyperlink" Target="Photos\P2030086.JPG" TargetMode="External"/><Relationship Id="rId514" Type="http://schemas.openxmlformats.org/officeDocument/2006/relationships/hyperlink" Target="Photos\P2030088.JPG" TargetMode="External"/><Relationship Id="rId515" Type="http://schemas.openxmlformats.org/officeDocument/2006/relationships/hyperlink" Target="Photos\P2030091.JPG" TargetMode="External"/><Relationship Id="rId516" Type="http://schemas.openxmlformats.org/officeDocument/2006/relationships/hyperlink" Target="Photos\P2030094.JPG" TargetMode="External"/><Relationship Id="rId517" Type="http://schemas.openxmlformats.org/officeDocument/2006/relationships/hyperlink" Target="Photos\P2030095.JPG" TargetMode="External"/><Relationship Id="rId518" Type="http://schemas.openxmlformats.org/officeDocument/2006/relationships/hyperlink" Target="Photos\P2030096.JPG" TargetMode="External"/><Relationship Id="rId519" Type="http://schemas.openxmlformats.org/officeDocument/2006/relationships/hyperlink" Target="Photos\P2030098.JPG" TargetMode="External"/><Relationship Id="rId520" Type="http://schemas.openxmlformats.org/officeDocument/2006/relationships/hyperlink" Target="Photos\P2030099.JPG" TargetMode="External"/><Relationship Id="rId521" Type="http://schemas.openxmlformats.org/officeDocument/2006/relationships/hyperlink" Target="Photos\P2030100.JPG" TargetMode="External"/><Relationship Id="rId522" Type="http://schemas.openxmlformats.org/officeDocument/2006/relationships/hyperlink" Target="Photos\P2030103.JPG" TargetMode="External"/><Relationship Id="rId523" Type="http://schemas.openxmlformats.org/officeDocument/2006/relationships/hyperlink" Target="Photos\P2030104.JPG" TargetMode="External"/><Relationship Id="rId524" Type="http://schemas.openxmlformats.org/officeDocument/2006/relationships/hyperlink" Target="Photos\P2030108.JPG" TargetMode="External"/><Relationship Id="rId525" Type="http://schemas.openxmlformats.org/officeDocument/2006/relationships/hyperlink" Target="Photos\P2040168.JPG" TargetMode="External"/><Relationship Id="rId526" Type="http://schemas.openxmlformats.org/officeDocument/2006/relationships/hyperlink" Target="Photos\P2040169.JPG" TargetMode="External"/><Relationship Id="rId527" Type="http://schemas.openxmlformats.org/officeDocument/2006/relationships/hyperlink" Target="Photos\P2040109.JPG" TargetMode="External"/><Relationship Id="rId528" Type="http://schemas.openxmlformats.org/officeDocument/2006/relationships/hyperlink" Target="Photos\P2040110.JPG" TargetMode="External"/><Relationship Id="rId529" Type="http://schemas.openxmlformats.org/officeDocument/2006/relationships/hyperlink" Target="Photos\P2040111.JPG" TargetMode="External"/><Relationship Id="rId530" Type="http://schemas.openxmlformats.org/officeDocument/2006/relationships/hyperlink" Target="Photos\P2040115.JPG" TargetMode="External"/><Relationship Id="rId531" Type="http://schemas.openxmlformats.org/officeDocument/2006/relationships/hyperlink" Target="Photos\P2040116.JPG" TargetMode="External"/><Relationship Id="rId532" Type="http://schemas.openxmlformats.org/officeDocument/2006/relationships/hyperlink" Target="Photos\P2040118.JPG" TargetMode="External"/><Relationship Id="rId533" Type="http://schemas.openxmlformats.org/officeDocument/2006/relationships/hyperlink" Target="Photos\P2040119.JPG" TargetMode="External"/><Relationship Id="rId534" Type="http://schemas.openxmlformats.org/officeDocument/2006/relationships/hyperlink" Target="Photos\P2040121.JPG" TargetMode="External"/><Relationship Id="rId535" Type="http://schemas.openxmlformats.org/officeDocument/2006/relationships/hyperlink" Target="Photos\P2040123.JPG" TargetMode="External"/><Relationship Id="rId536" Type="http://schemas.openxmlformats.org/officeDocument/2006/relationships/hyperlink" Target="Photos\P2040142.JPG" TargetMode="External"/><Relationship Id="rId537" Type="http://schemas.openxmlformats.org/officeDocument/2006/relationships/hyperlink" Target="Photos\P2040145.JPG" TargetMode="External"/><Relationship Id="rId538" Type="http://schemas.openxmlformats.org/officeDocument/2006/relationships/hyperlink" Target="Photos\P2040125.JPG" TargetMode="External"/><Relationship Id="rId539" Type="http://schemas.openxmlformats.org/officeDocument/2006/relationships/hyperlink" Target="Photos\P2040126.JPG" TargetMode="External"/><Relationship Id="rId540" Type="http://schemas.openxmlformats.org/officeDocument/2006/relationships/hyperlink" Target="Photos\P2040127.JPG" TargetMode="External"/><Relationship Id="rId541" Type="http://schemas.openxmlformats.org/officeDocument/2006/relationships/hyperlink" Target="Photos\P2040129.JPG" TargetMode="External"/><Relationship Id="rId542" Type="http://schemas.openxmlformats.org/officeDocument/2006/relationships/hyperlink" Target="Photos\P2040149.JPG" TargetMode="External"/><Relationship Id="rId543" Type="http://schemas.openxmlformats.org/officeDocument/2006/relationships/hyperlink" Target="Photos\P2040150.JPG" TargetMode="External"/><Relationship Id="rId544" Type="http://schemas.openxmlformats.org/officeDocument/2006/relationships/hyperlink" Target="Photos\P2040151.JPG" TargetMode="External"/><Relationship Id="rId545" Type="http://schemas.openxmlformats.org/officeDocument/2006/relationships/hyperlink" Target="Photos\P2060233.JPG" TargetMode="External"/><Relationship Id="rId546" Type="http://schemas.openxmlformats.org/officeDocument/2006/relationships/hyperlink" Target="Photos\P2040152.JPG" TargetMode="External"/><Relationship Id="rId547" Type="http://schemas.openxmlformats.org/officeDocument/2006/relationships/hyperlink" Target="Photos\P2040153.JPG" TargetMode="External"/><Relationship Id="rId548" Type="http://schemas.openxmlformats.org/officeDocument/2006/relationships/hyperlink" Target="Photos\P2040154.JPG" TargetMode="External"/><Relationship Id="rId549" Type="http://schemas.openxmlformats.org/officeDocument/2006/relationships/hyperlink" Target="Photos\P2040130.JPG" TargetMode="External"/><Relationship Id="rId550" Type="http://schemas.openxmlformats.org/officeDocument/2006/relationships/hyperlink" Target="Photos\P2040131.JPG" TargetMode="External"/><Relationship Id="rId551" Type="http://schemas.openxmlformats.org/officeDocument/2006/relationships/hyperlink" Target="Photos\P2040132.JPG" TargetMode="External"/><Relationship Id="rId552" Type="http://schemas.openxmlformats.org/officeDocument/2006/relationships/hyperlink" Target="Photos\P2040135.JPG" TargetMode="External"/><Relationship Id="rId553" Type="http://schemas.openxmlformats.org/officeDocument/2006/relationships/hyperlink" Target="Photos\P2040136.JPG" TargetMode="External"/><Relationship Id="rId554" Type="http://schemas.openxmlformats.org/officeDocument/2006/relationships/hyperlink" Target="Photos\P2040137.JPG" TargetMode="External"/><Relationship Id="rId555" Type="http://schemas.openxmlformats.org/officeDocument/2006/relationships/hyperlink" Target="Photos\P2040139.JPG" TargetMode="External"/><Relationship Id="rId556" Type="http://schemas.openxmlformats.org/officeDocument/2006/relationships/hyperlink" Target="Photos\P2040141.JPG" TargetMode="External"/><Relationship Id="rId557" Type="http://schemas.openxmlformats.org/officeDocument/2006/relationships/hyperlink" Target="Photos\P2040155.JPG" TargetMode="External"/><Relationship Id="rId558" Type="http://schemas.openxmlformats.org/officeDocument/2006/relationships/hyperlink" Target="Photos\P2040156.JPG" TargetMode="External"/><Relationship Id="rId559" Type="http://schemas.openxmlformats.org/officeDocument/2006/relationships/hyperlink" Target="Photos\P2040157.JPG" TargetMode="External"/><Relationship Id="rId560" Type="http://schemas.openxmlformats.org/officeDocument/2006/relationships/hyperlink" Target="Photos\P2040158.JPG" TargetMode="External"/><Relationship Id="rId561" Type="http://schemas.openxmlformats.org/officeDocument/2006/relationships/hyperlink" Target="Photos\P2040159.JPG" TargetMode="External"/><Relationship Id="rId562" Type="http://schemas.openxmlformats.org/officeDocument/2006/relationships/hyperlink" Target="Photos\P2040160.JPG" TargetMode="External"/><Relationship Id="rId563" Type="http://schemas.openxmlformats.org/officeDocument/2006/relationships/hyperlink" Target="Photos\P2040167.JPG" TargetMode="External"/><Relationship Id="rId564" Type="http://schemas.openxmlformats.org/officeDocument/2006/relationships/hyperlink" Target="Photos\P2040162.JPG" TargetMode="External"/><Relationship Id="rId565" Type="http://schemas.openxmlformats.org/officeDocument/2006/relationships/hyperlink" Target="Photos\P2040163.JPG" TargetMode="External"/><Relationship Id="rId566" Type="http://schemas.openxmlformats.org/officeDocument/2006/relationships/hyperlink" Target="Photos\P2040167.JPG" TargetMode="External"/><Relationship Id="rId567" Type="http://schemas.openxmlformats.org/officeDocument/2006/relationships/hyperlink" Target="Photos\P2040170.JPG" TargetMode="External"/><Relationship Id="rId568" Type="http://schemas.openxmlformats.org/officeDocument/2006/relationships/hyperlink" Target="Photos\P2040171.JPG" TargetMode="External"/><Relationship Id="rId569" Type="http://schemas.openxmlformats.org/officeDocument/2006/relationships/hyperlink" Target="Photos\P2040172.JPG" TargetMode="External"/><Relationship Id="rId570" Type="http://schemas.openxmlformats.org/officeDocument/2006/relationships/hyperlink" Target="Photos\P2050182.JPG" TargetMode="External"/><Relationship Id="rId571" Type="http://schemas.openxmlformats.org/officeDocument/2006/relationships/hyperlink" Target="Photos\P2050180.JPG" TargetMode="External"/><Relationship Id="rId572" Type="http://schemas.openxmlformats.org/officeDocument/2006/relationships/hyperlink" Target="Photos\P2050181.JPG" TargetMode="External"/><Relationship Id="rId573" Type="http://schemas.openxmlformats.org/officeDocument/2006/relationships/hyperlink" Target="Photos\P2050177.JPG" TargetMode="External"/><Relationship Id="rId574" Type="http://schemas.openxmlformats.org/officeDocument/2006/relationships/hyperlink" Target="Photos\P2050178.JPG" TargetMode="External"/><Relationship Id="rId575" Type="http://schemas.openxmlformats.org/officeDocument/2006/relationships/hyperlink" Target="Photos\P2050173.JPG" TargetMode="External"/><Relationship Id="rId576" Type="http://schemas.openxmlformats.org/officeDocument/2006/relationships/hyperlink" Target="Photos\P2050174.JPG" TargetMode="External"/><Relationship Id="rId577" Type="http://schemas.openxmlformats.org/officeDocument/2006/relationships/hyperlink" Target="Photos\P2050176.JPG" TargetMode="External"/><Relationship Id="rId578" Type="http://schemas.openxmlformats.org/officeDocument/2006/relationships/hyperlink" Target="Photos\P2050204.JPG" TargetMode="External"/><Relationship Id="rId579" Type="http://schemas.openxmlformats.org/officeDocument/2006/relationships/hyperlink" Target="Photos\P2050206.JPG" TargetMode="External"/><Relationship Id="rId580" Type="http://schemas.openxmlformats.org/officeDocument/2006/relationships/hyperlink" Target="Photos\P2050202.JPG" TargetMode="External"/><Relationship Id="rId581" Type="http://schemas.openxmlformats.org/officeDocument/2006/relationships/hyperlink" Target="Photos\P2050203.JPG" TargetMode="External"/><Relationship Id="rId582" Type="http://schemas.openxmlformats.org/officeDocument/2006/relationships/hyperlink" Target="Photos\P2050199.JPG" TargetMode="External"/><Relationship Id="rId583" Type="http://schemas.openxmlformats.org/officeDocument/2006/relationships/hyperlink" Target="Photos\P2050200.JPG" TargetMode="External"/><Relationship Id="rId584" Type="http://schemas.openxmlformats.org/officeDocument/2006/relationships/hyperlink" Target="Photos\P2060211.JPG" TargetMode="External"/><Relationship Id="rId585" Type="http://schemas.openxmlformats.org/officeDocument/2006/relationships/hyperlink" Target="Photos\P2060212.JPG" TargetMode="External"/><Relationship Id="rId586" Type="http://schemas.openxmlformats.org/officeDocument/2006/relationships/hyperlink" Target="Photos\P2050193.JPG" TargetMode="External"/><Relationship Id="rId587" Type="http://schemas.openxmlformats.org/officeDocument/2006/relationships/hyperlink" Target="Photos\P2050187.JPG" TargetMode="External"/><Relationship Id="rId588" Type="http://schemas.openxmlformats.org/officeDocument/2006/relationships/hyperlink" Target="Photos\P2050188.JPG" TargetMode="External"/><Relationship Id="rId589" Type="http://schemas.openxmlformats.org/officeDocument/2006/relationships/hyperlink" Target="Photos\P2050184.JPG" TargetMode="External"/><Relationship Id="rId590" Type="http://schemas.openxmlformats.org/officeDocument/2006/relationships/hyperlink" Target="Photos\P2050186.JPG" TargetMode="External"/><Relationship Id="rId591" Type="http://schemas.openxmlformats.org/officeDocument/2006/relationships/hyperlink" Target="Photos\P2060254.JPG" TargetMode="External"/><Relationship Id="rId592" Type="http://schemas.openxmlformats.org/officeDocument/2006/relationships/hyperlink" Target="Photos\P2060256.JPG" TargetMode="External"/><Relationship Id="rId593" Type="http://schemas.openxmlformats.org/officeDocument/2006/relationships/hyperlink" Target="Photos\P2060222.JPG" TargetMode="External"/><Relationship Id="rId594" Type="http://schemas.openxmlformats.org/officeDocument/2006/relationships/hyperlink" Target="Photos\P2060223.JPG" TargetMode="External"/><Relationship Id="rId595" Type="http://schemas.openxmlformats.org/officeDocument/2006/relationships/hyperlink" Target="Photos\P2060217.JPG" TargetMode="External"/><Relationship Id="rId596" Type="http://schemas.openxmlformats.org/officeDocument/2006/relationships/hyperlink" Target="Photos\P2060218.JPG" TargetMode="External"/><Relationship Id="rId597" Type="http://schemas.openxmlformats.org/officeDocument/2006/relationships/hyperlink" Target="Photos\P2060219.JPG" TargetMode="External"/><Relationship Id="rId598" Type="http://schemas.openxmlformats.org/officeDocument/2006/relationships/hyperlink" Target="Photos\P2060220.JPG" TargetMode="External"/><Relationship Id="rId599" Type="http://schemas.openxmlformats.org/officeDocument/2006/relationships/hyperlink" Target="Photos\P2060231.JPG" TargetMode="External"/><Relationship Id="rId600" Type="http://schemas.openxmlformats.org/officeDocument/2006/relationships/hyperlink" Target="Photos\P2060232.JPG" TargetMode="External"/><Relationship Id="rId601" Type="http://schemas.openxmlformats.org/officeDocument/2006/relationships/hyperlink" Target="Photos\P2060215.JPG" TargetMode="External"/><Relationship Id="rId602" Type="http://schemas.openxmlformats.org/officeDocument/2006/relationships/hyperlink" Target="Photos\P2060216.JPG" TargetMode="External"/><Relationship Id="rId603" Type="http://schemas.openxmlformats.org/officeDocument/2006/relationships/hyperlink" Target="Photos\P2060213.JPG" TargetMode="External"/><Relationship Id="rId604" Type="http://schemas.openxmlformats.org/officeDocument/2006/relationships/hyperlink" Target="Photos\P2060214.JPG" TargetMode="External"/><Relationship Id="rId605" Type="http://schemas.openxmlformats.org/officeDocument/2006/relationships/hyperlink" Target="Photos\P2060227.JPG" TargetMode="External"/><Relationship Id="rId606" Type="http://schemas.openxmlformats.org/officeDocument/2006/relationships/hyperlink" Target="Photos\P2060228.JPG" TargetMode="External"/><Relationship Id="rId607" Type="http://schemas.openxmlformats.org/officeDocument/2006/relationships/hyperlink" Target="Photos\P2060229.JPG" TargetMode="External"/><Relationship Id="rId608" Type="http://schemas.openxmlformats.org/officeDocument/2006/relationships/hyperlink" Target="Photos\P2060241.JPG" TargetMode="External"/><Relationship Id="rId609" Type="http://schemas.openxmlformats.org/officeDocument/2006/relationships/hyperlink" Target="Photos\P2060245.JPG" TargetMode="External"/><Relationship Id="rId610" Type="http://schemas.openxmlformats.org/officeDocument/2006/relationships/hyperlink" Target="Photos\P2060243.JPG" TargetMode="External"/><Relationship Id="rId611" Type="http://schemas.openxmlformats.org/officeDocument/2006/relationships/hyperlink" Target="Photos\P2060250.JPG" TargetMode="External"/><Relationship Id="rId612" Type="http://schemas.openxmlformats.org/officeDocument/2006/relationships/hyperlink" Target="Photos\P2060238.JPG" TargetMode="External"/><Relationship Id="rId613" Type="http://schemas.openxmlformats.org/officeDocument/2006/relationships/hyperlink" Target="Photos\P2060239.JPG" TargetMode="External"/><Relationship Id="rId614" Type="http://schemas.openxmlformats.org/officeDocument/2006/relationships/hyperlink" Target="Photos\P2060236.JPG" TargetMode="External"/><Relationship Id="rId615" Type="http://schemas.openxmlformats.org/officeDocument/2006/relationships/hyperlink" Target="Photos\P2060237.JPG" TargetMode="External"/><Relationship Id="rId616" Type="http://schemas.openxmlformats.org/officeDocument/2006/relationships/hyperlink" Target="Photos\P2060249.JPG" TargetMode="External"/><Relationship Id="rId617" Type="http://schemas.openxmlformats.org/officeDocument/2006/relationships/hyperlink" Target="Photos\P2060251.JPG" TargetMode="External"/><Relationship Id="rId618" Type="http://schemas.openxmlformats.org/officeDocument/2006/relationships/hyperlink" Target="Photos\P2060253.JPG" TargetMode="External"/><Relationship Id="rId619" Type="http://schemas.openxmlformats.org/officeDocument/2006/relationships/hyperlink" Target="Photos\P2060246.JPG" TargetMode="External"/><Relationship Id="rId620" Type="http://schemas.openxmlformats.org/officeDocument/2006/relationships/hyperlink" Target="Photos\P2030078.JPG" TargetMode="External"/><Relationship Id="rId621" Type="http://schemas.openxmlformats.org/officeDocument/2006/relationships/hyperlink" Target="Photos\P2030079.JPG" TargetMode="External"/><Relationship Id="rId622" Type="http://schemas.openxmlformats.org/officeDocument/2006/relationships/hyperlink" Target="Photos\P2030080.JPG" TargetMode="External"/><Relationship Id="rId623" Type="http://schemas.openxmlformats.org/officeDocument/2006/relationships/hyperlink" Target="Photos\P1010042.JPG" TargetMode="External"/><Relationship Id="rId624" Type="http://schemas.openxmlformats.org/officeDocument/2006/relationships/hyperlink" Target="Photos\P1010043.JPG" TargetMode="External"/><Relationship Id="rId625" Type="http://schemas.openxmlformats.org/officeDocument/2006/relationships/hyperlink" Target="Photos\PD260012.JPG" TargetMode="External"/><Relationship Id="rId626" Type="http://schemas.openxmlformats.org/officeDocument/2006/relationships/hyperlink" Target="Photos\PD260013.JPG" TargetMode="External"/><Relationship Id="rId627" Type="http://schemas.openxmlformats.org/officeDocument/2006/relationships/hyperlink" Target="Photos\PD020081.JPG" TargetMode="External"/><Relationship Id="rId628" Type="http://schemas.openxmlformats.org/officeDocument/2006/relationships/hyperlink" Target="Photos\PD020082.JPG" TargetMode="External"/><Relationship Id="rId629" Type="http://schemas.openxmlformats.org/officeDocument/2006/relationships/hyperlink" Target="Photos\PD260015.JPG" TargetMode="External"/><Relationship Id="rId630" Type="http://schemas.openxmlformats.org/officeDocument/2006/relationships/hyperlink" Target="Photos\PD260017.JPG" TargetMode="External"/><Relationship Id="rId631" Type="http://schemas.openxmlformats.org/officeDocument/2006/relationships/hyperlink" Target="Photos\PD260018.JPG" TargetMode="External"/><Relationship Id="rId632" Type="http://schemas.openxmlformats.org/officeDocument/2006/relationships/hyperlink" Target="Photos\PD260019.JPG" TargetMode="External"/><Relationship Id="rId633" Type="http://schemas.openxmlformats.org/officeDocument/2006/relationships/hyperlink" Target="Photos\PD260021.JPG" TargetMode="External"/><Relationship Id="rId634" Type="http://schemas.openxmlformats.org/officeDocument/2006/relationships/hyperlink" Target="Photos\PD260022.JPG" TargetMode="External"/><Relationship Id="rId635" Type="http://schemas.openxmlformats.org/officeDocument/2006/relationships/hyperlink" Target="Photos\PD020085.JPG" TargetMode="External"/><Relationship Id="rId636" Type="http://schemas.openxmlformats.org/officeDocument/2006/relationships/hyperlink" Target="Photos\PD020086.JPG" TargetMode="External"/><Relationship Id="rId637" Type="http://schemas.openxmlformats.org/officeDocument/2006/relationships/hyperlink" Target="Photos\PD020088.JPG" TargetMode="External"/><Relationship Id="rId638" Type="http://schemas.openxmlformats.org/officeDocument/2006/relationships/hyperlink" Target="Photos\PD020083.JPG" TargetMode="External"/><Relationship Id="rId639" Type="http://schemas.openxmlformats.org/officeDocument/2006/relationships/hyperlink" Target="Photos\PD020084.JPG" TargetMode="External"/><Relationship Id="rId640" Type="http://schemas.openxmlformats.org/officeDocument/2006/relationships/hyperlink" Target="Photos\PD020089.JPG" TargetMode="External"/><Relationship Id="rId641" Type="http://schemas.openxmlformats.org/officeDocument/2006/relationships/hyperlink" Target="Photos\PD020090.JPG" TargetMode="External"/><Relationship Id="rId642" Type="http://schemas.openxmlformats.org/officeDocument/2006/relationships/hyperlink" Target="Photos\PD020091.JPG" TargetMode="External"/><Relationship Id="rId643" Type="http://schemas.openxmlformats.org/officeDocument/2006/relationships/hyperlink" Target="Photos\PD020093.JPG" TargetMode="External"/><Relationship Id="rId644" Type="http://schemas.openxmlformats.org/officeDocument/2006/relationships/hyperlink" Target="Photos\PD020094.JPG" TargetMode="External"/><Relationship Id="rId645" Type="http://schemas.openxmlformats.org/officeDocument/2006/relationships/hyperlink" Target="Photos\PD020095.JPG" TargetMode="External"/><Relationship Id="rId646" Type="http://schemas.openxmlformats.org/officeDocument/2006/relationships/hyperlink" Target="Photos\PD030210.JPG" TargetMode="External"/><Relationship Id="rId647" Type="http://schemas.openxmlformats.org/officeDocument/2006/relationships/hyperlink" Target="Photos\PD030211.JPG" TargetMode="External"/><Relationship Id="rId648" Type="http://schemas.openxmlformats.org/officeDocument/2006/relationships/hyperlink" Target="Photos\PD020103.JPG" TargetMode="External"/><Relationship Id="rId649" Type="http://schemas.openxmlformats.org/officeDocument/2006/relationships/hyperlink" Target="Photos\PD020104.JPG" TargetMode="External"/><Relationship Id="rId650" Type="http://schemas.openxmlformats.org/officeDocument/2006/relationships/hyperlink" Target="Photos\PD020100.JPG" TargetMode="External"/><Relationship Id="rId651" Type="http://schemas.openxmlformats.org/officeDocument/2006/relationships/hyperlink" Target="Photos\PD020102.JPG" TargetMode="External"/><Relationship Id="rId652" Type="http://schemas.openxmlformats.org/officeDocument/2006/relationships/hyperlink" Target="Photos\PD020097.JPG" TargetMode="External"/><Relationship Id="rId653" Type="http://schemas.openxmlformats.org/officeDocument/2006/relationships/hyperlink" Target="Photos\PD020098.JPG" TargetMode="External"/><Relationship Id="rId654" Type="http://schemas.openxmlformats.org/officeDocument/2006/relationships/hyperlink" Target="Photos\PD260029.JPG" TargetMode="External"/><Relationship Id="rId655" Type="http://schemas.openxmlformats.org/officeDocument/2006/relationships/hyperlink" Target="Photos\PD260030.JPG" TargetMode="External"/><Relationship Id="rId656" Type="http://schemas.openxmlformats.org/officeDocument/2006/relationships/hyperlink" Target="Photos\PD260031.JPG" TargetMode="External"/><Relationship Id="rId657" Type="http://schemas.openxmlformats.org/officeDocument/2006/relationships/hyperlink" Target="Photos\PD020081.JPG" TargetMode="External"/><Relationship Id="rId658" Type="http://schemas.openxmlformats.org/officeDocument/2006/relationships/hyperlink" Target="Photos\PD020082.JPG" TargetMode="External"/><Relationship Id="rId659" Type="http://schemas.openxmlformats.org/officeDocument/2006/relationships/hyperlink" Target="Photos\PD260032.JPG" TargetMode="External"/><Relationship Id="rId660" Type="http://schemas.openxmlformats.org/officeDocument/2006/relationships/hyperlink" Target="Photos\PD260033.JPG" TargetMode="External"/><Relationship Id="rId661" Type="http://schemas.openxmlformats.org/officeDocument/2006/relationships/hyperlink" Target="Photos\PD260037.JPG" TargetMode="External"/><Relationship Id="rId662" Type="http://schemas.openxmlformats.org/officeDocument/2006/relationships/hyperlink" Target="Photos\PD260046.JPG" TargetMode="External"/><Relationship Id="rId663" Type="http://schemas.openxmlformats.org/officeDocument/2006/relationships/hyperlink" Target="Photos\PD260047.JPG" TargetMode="External"/><Relationship Id="rId664" Type="http://schemas.openxmlformats.org/officeDocument/2006/relationships/hyperlink" Target="Photos\PD260048.JPG" TargetMode="External"/><Relationship Id="rId665" Type="http://schemas.openxmlformats.org/officeDocument/2006/relationships/hyperlink" Target="Photos\PD260049.JPG" TargetMode="External"/><Relationship Id="rId666" Type="http://schemas.openxmlformats.org/officeDocument/2006/relationships/hyperlink" Target="Photos\PD260051.JPG" TargetMode="External"/><Relationship Id="rId667" Type="http://schemas.openxmlformats.org/officeDocument/2006/relationships/hyperlink" Target="Photos\PD260053.JPG" TargetMode="External"/><Relationship Id="rId668" Type="http://schemas.openxmlformats.org/officeDocument/2006/relationships/hyperlink" Target="Photos\PD020108.JPG" TargetMode="External"/><Relationship Id="rId669" Type="http://schemas.openxmlformats.org/officeDocument/2006/relationships/hyperlink" Target="Photos\PD020110.JPG" TargetMode="External"/><Relationship Id="rId670" Type="http://schemas.openxmlformats.org/officeDocument/2006/relationships/hyperlink" Target="Photos\PD020111.JPG" TargetMode="External"/><Relationship Id="rId671" Type="http://schemas.openxmlformats.org/officeDocument/2006/relationships/hyperlink" Target="Photos\PD260054.JPG" TargetMode="External"/><Relationship Id="rId672" Type="http://schemas.openxmlformats.org/officeDocument/2006/relationships/hyperlink" Target="Photos\PD260055.JPG" TargetMode="External"/><Relationship Id="rId673" Type="http://schemas.openxmlformats.org/officeDocument/2006/relationships/hyperlink" Target="Photos\PD260056.JPG" TargetMode="External"/><Relationship Id="rId674" Type="http://schemas.openxmlformats.org/officeDocument/2006/relationships/hyperlink" Target="Photos\PD260057.JPG" TargetMode="External"/><Relationship Id="rId675" Type="http://schemas.openxmlformats.org/officeDocument/2006/relationships/hyperlink" Target="Photos\PD260058.JPG" TargetMode="External"/><Relationship Id="rId676" Type="http://schemas.openxmlformats.org/officeDocument/2006/relationships/hyperlink" Target="Photos\PD260059.JPG" TargetMode="External"/><Relationship Id="rId677" Type="http://schemas.openxmlformats.org/officeDocument/2006/relationships/hyperlink" Target="Photos\PD260060.JPG" TargetMode="External"/><Relationship Id="rId678" Type="http://schemas.openxmlformats.org/officeDocument/2006/relationships/hyperlink" Target="Photos\PD260061.JPG" TargetMode="External"/><Relationship Id="rId679" Type="http://schemas.openxmlformats.org/officeDocument/2006/relationships/hyperlink" Target="Photos\PD020126.JPG" TargetMode="External"/><Relationship Id="rId680" Type="http://schemas.openxmlformats.org/officeDocument/2006/relationships/hyperlink" Target="Photos\PD020127.JPG" TargetMode="External"/><Relationship Id="rId681" Type="http://schemas.openxmlformats.org/officeDocument/2006/relationships/hyperlink" Target="Photos\PD020128.JPG" TargetMode="External"/><Relationship Id="rId682" Type="http://schemas.openxmlformats.org/officeDocument/2006/relationships/hyperlink" Target="Photos\PD020117.JPG" TargetMode="External"/><Relationship Id="rId683" Type="http://schemas.openxmlformats.org/officeDocument/2006/relationships/hyperlink" Target="Photos\PD020118.JPG" TargetMode="External"/><Relationship Id="rId684" Type="http://schemas.openxmlformats.org/officeDocument/2006/relationships/hyperlink" Target="Photos\PD020120.JPG" TargetMode="External"/><Relationship Id="rId685" Type="http://schemas.openxmlformats.org/officeDocument/2006/relationships/hyperlink" Target="Photos\PD020121.JPG" TargetMode="External"/><Relationship Id="rId686" Type="http://schemas.openxmlformats.org/officeDocument/2006/relationships/hyperlink" Target="Photos\PD020124.JPG" TargetMode="External"/><Relationship Id="rId687" Type="http://schemas.openxmlformats.org/officeDocument/2006/relationships/hyperlink" Target="Photos\PD020125.JPG" TargetMode="External"/><Relationship Id="rId688" Type="http://schemas.openxmlformats.org/officeDocument/2006/relationships/hyperlink" Target="Photos\PD020122.JPG" TargetMode="External"/><Relationship Id="rId689" Type="http://schemas.openxmlformats.org/officeDocument/2006/relationships/hyperlink" Target="Photos\PD020123.JPG" TargetMode="External"/><Relationship Id="rId690" Type="http://schemas.openxmlformats.org/officeDocument/2006/relationships/hyperlink" Target="Photos\PD020130.JPG" TargetMode="External"/><Relationship Id="rId691" Type="http://schemas.openxmlformats.org/officeDocument/2006/relationships/hyperlink" Target="Photos\PD020131.JPG" TargetMode="External"/><Relationship Id="rId692" Type="http://schemas.openxmlformats.org/officeDocument/2006/relationships/hyperlink" Target="Photos\PD020133.JPG" TargetMode="External"/><Relationship Id="rId693" Type="http://schemas.openxmlformats.org/officeDocument/2006/relationships/hyperlink" Target="Photos\PD020138.JPG" TargetMode="External"/><Relationship Id="rId694" Type="http://schemas.openxmlformats.org/officeDocument/2006/relationships/hyperlink" Target="Photos\PD020140.JPG" TargetMode="External"/><Relationship Id="rId695" Type="http://schemas.openxmlformats.org/officeDocument/2006/relationships/hyperlink" Target="Photos\PD020141.JPG" TargetMode="External"/><Relationship Id="rId696" Type="http://schemas.openxmlformats.org/officeDocument/2006/relationships/hyperlink" Target="Photos\PD020135.JPG" TargetMode="External"/><Relationship Id="rId697" Type="http://schemas.openxmlformats.org/officeDocument/2006/relationships/hyperlink" Target="Photos\PD020136.JPG" TargetMode="External"/><Relationship Id="rId698" Type="http://schemas.openxmlformats.org/officeDocument/2006/relationships/hyperlink" Target="Photos\PD020137.JPG" TargetMode="External"/><Relationship Id="rId699" Type="http://schemas.openxmlformats.org/officeDocument/2006/relationships/hyperlink" Target="Photos\PD020144.JPG" TargetMode="External"/><Relationship Id="rId700" Type="http://schemas.openxmlformats.org/officeDocument/2006/relationships/hyperlink" Target="Photos\PD020145.JPG" TargetMode="External"/><Relationship Id="rId701" Type="http://schemas.openxmlformats.org/officeDocument/2006/relationships/hyperlink" Target="Photos\PD020171.JPG" TargetMode="External"/><Relationship Id="rId702" Type="http://schemas.openxmlformats.org/officeDocument/2006/relationships/hyperlink" Target="Photos\PD020172.JPG" TargetMode="External"/><Relationship Id="rId703" Type="http://schemas.openxmlformats.org/officeDocument/2006/relationships/hyperlink" Target="Photos\PD020173.JPG" TargetMode="External"/><Relationship Id="rId704" Type="http://schemas.openxmlformats.org/officeDocument/2006/relationships/hyperlink" Target="Photos\PD020174.JPG" TargetMode="External"/><Relationship Id="rId705" Type="http://schemas.openxmlformats.org/officeDocument/2006/relationships/hyperlink" Target="Photos\PD010076.JPG" TargetMode="External"/><Relationship Id="rId706" Type="http://schemas.openxmlformats.org/officeDocument/2006/relationships/hyperlink" Target="Photos\PD010078.JPG" TargetMode="External"/><Relationship Id="rId707" Type="http://schemas.openxmlformats.org/officeDocument/2006/relationships/hyperlink" Target="Photos\PD020146.JPG" TargetMode="External"/><Relationship Id="rId708" Type="http://schemas.openxmlformats.org/officeDocument/2006/relationships/hyperlink" Target="Photos\PD020148.JPG" TargetMode="External"/><Relationship Id="rId709" Type="http://schemas.openxmlformats.org/officeDocument/2006/relationships/hyperlink" Target="Photos\PD020149.JPG" TargetMode="External"/><Relationship Id="rId710" Type="http://schemas.openxmlformats.org/officeDocument/2006/relationships/hyperlink" Target="Photos\PD020147.JPG" TargetMode="External"/><Relationship Id="rId711" Type="http://schemas.openxmlformats.org/officeDocument/2006/relationships/hyperlink" Target="Photos\PD170470.JPG" TargetMode="External"/><Relationship Id="rId712" Type="http://schemas.openxmlformats.org/officeDocument/2006/relationships/hyperlink" Target="Photos\PD170472.JPG" TargetMode="External"/><Relationship Id="rId713" Type="http://schemas.openxmlformats.org/officeDocument/2006/relationships/hyperlink" Target="Photos\PD170473.JPG" TargetMode="External"/><Relationship Id="rId714" Type="http://schemas.openxmlformats.org/officeDocument/2006/relationships/hyperlink" Target="Photos\PD020150.JPG" TargetMode="External"/><Relationship Id="rId715" Type="http://schemas.openxmlformats.org/officeDocument/2006/relationships/hyperlink" Target="Photos\PD020152.JPG" TargetMode="External"/><Relationship Id="rId716" Type="http://schemas.openxmlformats.org/officeDocument/2006/relationships/hyperlink" Target="Photos\PD020166.JPG" TargetMode="External"/><Relationship Id="rId717" Type="http://schemas.openxmlformats.org/officeDocument/2006/relationships/hyperlink" Target="Photos\PD020168.JPG" TargetMode="External"/><Relationship Id="rId718" Type="http://schemas.openxmlformats.org/officeDocument/2006/relationships/hyperlink" Target="Photos\PD020163.JPG" TargetMode="External"/><Relationship Id="rId719" Type="http://schemas.openxmlformats.org/officeDocument/2006/relationships/hyperlink" Target="Photos\PD020164.JPG" TargetMode="External"/><Relationship Id="rId720" Type="http://schemas.openxmlformats.org/officeDocument/2006/relationships/hyperlink" Target="Photos\PD020165.JPG" TargetMode="External"/><Relationship Id="rId721" Type="http://schemas.openxmlformats.org/officeDocument/2006/relationships/hyperlink" Target="Photos\PD020153.JPG" TargetMode="External"/><Relationship Id="rId722" Type="http://schemas.openxmlformats.org/officeDocument/2006/relationships/hyperlink" Target="Photos\PD020155.JPG" TargetMode="External"/><Relationship Id="rId723" Type="http://schemas.openxmlformats.org/officeDocument/2006/relationships/hyperlink" Target="Photos\PD170476.JPG" TargetMode="External"/><Relationship Id="rId724" Type="http://schemas.openxmlformats.org/officeDocument/2006/relationships/hyperlink" Target="Photos\PD170480.JPG" TargetMode="External"/><Relationship Id="rId725" Type="http://schemas.openxmlformats.org/officeDocument/2006/relationships/hyperlink" Target="Photos\PD020160.JPG" TargetMode="External"/><Relationship Id="rId726" Type="http://schemas.openxmlformats.org/officeDocument/2006/relationships/hyperlink" Target="Photos\PD020162.JPG" TargetMode="External"/><Relationship Id="rId727" Type="http://schemas.openxmlformats.org/officeDocument/2006/relationships/hyperlink" Target="Photos\PD020158.JPG" TargetMode="External"/><Relationship Id="rId728" Type="http://schemas.openxmlformats.org/officeDocument/2006/relationships/hyperlink" Target="Photos\PD020159.JPG" TargetMode="External"/><Relationship Id="rId729" Type="http://schemas.openxmlformats.org/officeDocument/2006/relationships/hyperlink" Target="Photos\PD030183.JPG" TargetMode="External"/><Relationship Id="rId730" Type="http://schemas.openxmlformats.org/officeDocument/2006/relationships/hyperlink" Target="Photos\PD030186.JPG" TargetMode="External"/><Relationship Id="rId731" Type="http://schemas.openxmlformats.org/officeDocument/2006/relationships/hyperlink" Target="Photos\PD170482.JPG" TargetMode="External"/><Relationship Id="rId732" Type="http://schemas.openxmlformats.org/officeDocument/2006/relationships/hyperlink" Target="Photos\PD170486.JPG" TargetMode="External"/><Relationship Id="rId733" Type="http://schemas.openxmlformats.org/officeDocument/2006/relationships/hyperlink" Target="Photos\PD170489.JPG" TargetMode="External"/><Relationship Id="rId734" Type="http://schemas.openxmlformats.org/officeDocument/2006/relationships/hyperlink" Target="Photos\PD170505.JPG" TargetMode="External"/><Relationship Id="rId735" Type="http://schemas.openxmlformats.org/officeDocument/2006/relationships/hyperlink" Target="Photos\PD170508.JPG" TargetMode="External"/><Relationship Id="rId736" Type="http://schemas.openxmlformats.org/officeDocument/2006/relationships/hyperlink" Target="Photos\PD170491.JPG" TargetMode="External"/><Relationship Id="rId737" Type="http://schemas.openxmlformats.org/officeDocument/2006/relationships/hyperlink" Target="Photos\PD170495.JPG" TargetMode="External"/><Relationship Id="rId738" Type="http://schemas.openxmlformats.org/officeDocument/2006/relationships/hyperlink" Target="Photos\PD170511.JPG" TargetMode="External"/><Relationship Id="rId739" Type="http://schemas.openxmlformats.org/officeDocument/2006/relationships/hyperlink" Target="Photos\PD170499.JPG" TargetMode="External"/><Relationship Id="rId740" Type="http://schemas.openxmlformats.org/officeDocument/2006/relationships/hyperlink" Target="Photos\PD170500.JPG" TargetMode="External"/><Relationship Id="rId741" Type="http://schemas.openxmlformats.org/officeDocument/2006/relationships/hyperlink" Target="Photos\PD170503.JPG" TargetMode="External"/><Relationship Id="rId742" Type="http://schemas.openxmlformats.org/officeDocument/2006/relationships/hyperlink" Target="Photos\PD170517.JPG" TargetMode="External"/><Relationship Id="rId743" Type="http://schemas.openxmlformats.org/officeDocument/2006/relationships/hyperlink" Target="Photos\PD170518.JPG" TargetMode="External"/><Relationship Id="rId744" Type="http://schemas.openxmlformats.org/officeDocument/2006/relationships/hyperlink" Target="Photos\PD170521.JPG" TargetMode="External"/><Relationship Id="rId745" Type="http://schemas.openxmlformats.org/officeDocument/2006/relationships/hyperlink" Target="Photos\PD170523.JPG" TargetMode="External"/><Relationship Id="rId746" Type="http://schemas.openxmlformats.org/officeDocument/2006/relationships/hyperlink" Target="Photos\PD030206.JPG" TargetMode="External"/><Relationship Id="rId747" Type="http://schemas.openxmlformats.org/officeDocument/2006/relationships/hyperlink" Target="Photos\PD030207.JPG" TargetMode="External"/><Relationship Id="rId748" Type="http://schemas.openxmlformats.org/officeDocument/2006/relationships/hyperlink" Target="Photos\PD030208.JPG" TargetMode="External"/><Relationship Id="rId749" Type="http://schemas.openxmlformats.org/officeDocument/2006/relationships/hyperlink" Target="Photos\PD030199.JPG" TargetMode="External"/><Relationship Id="rId750" Type="http://schemas.openxmlformats.org/officeDocument/2006/relationships/hyperlink" Target="Photos\PD030204.JPG" TargetMode="External"/><Relationship Id="rId751" Type="http://schemas.openxmlformats.org/officeDocument/2006/relationships/hyperlink" Target="Photos\PD030196.JPG" TargetMode="External"/><Relationship Id="rId752" Type="http://schemas.openxmlformats.org/officeDocument/2006/relationships/hyperlink" Target="Photos\PD030198.JPG" TargetMode="External"/><Relationship Id="rId753" Type="http://schemas.openxmlformats.org/officeDocument/2006/relationships/hyperlink" Target="Photos\PD030194.JPG" TargetMode="External"/><Relationship Id="rId754" Type="http://schemas.openxmlformats.org/officeDocument/2006/relationships/hyperlink" Target="Photos\PD030195.JPG" TargetMode="External"/><Relationship Id="rId755" Type="http://schemas.openxmlformats.org/officeDocument/2006/relationships/hyperlink" Target="Photos\PD030190.JPG" TargetMode="External"/><Relationship Id="rId756" Type="http://schemas.openxmlformats.org/officeDocument/2006/relationships/hyperlink" Target="Photos\PD030192.JPG" TargetMode="External"/><Relationship Id="rId757" Type="http://schemas.openxmlformats.org/officeDocument/2006/relationships/hyperlink" Target="Photos\PD030214.JPG" TargetMode="External"/><Relationship Id="rId758" Type="http://schemas.openxmlformats.org/officeDocument/2006/relationships/hyperlink" Target="Photos\PD030221.JPG" TargetMode="External"/><Relationship Id="rId759" Type="http://schemas.openxmlformats.org/officeDocument/2006/relationships/hyperlink" Target="Photos\PD030224.JPG" TargetMode="External"/><Relationship Id="rId760" Type="http://schemas.openxmlformats.org/officeDocument/2006/relationships/hyperlink" Target="Photos\PD030229.JPG" TargetMode="External"/><Relationship Id="rId761" Type="http://schemas.openxmlformats.org/officeDocument/2006/relationships/hyperlink" Target="Photos\PD030230.JPG" TargetMode="External"/><Relationship Id="rId762" Type="http://schemas.openxmlformats.org/officeDocument/2006/relationships/hyperlink" Target="Photos\PD030225.JPG" TargetMode="External"/><Relationship Id="rId763" Type="http://schemas.openxmlformats.org/officeDocument/2006/relationships/hyperlink" Target="Photos\PD030226.JPG" TargetMode="External"/><Relationship Id="rId764" Type="http://schemas.openxmlformats.org/officeDocument/2006/relationships/hyperlink" Target="../../AppData/Roaming/Microsoft/Excel/Photos/PD030231.JPG" TargetMode="External"/><Relationship Id="rId765" Type="http://schemas.openxmlformats.org/officeDocument/2006/relationships/hyperlink" Target="../../AppData/Roaming/Microsoft/Excel/Photos/PD030232.JPG" TargetMode="External"/><Relationship Id="rId766" Type="http://schemas.openxmlformats.org/officeDocument/2006/relationships/hyperlink" Target="Photos\PD030235.JPG" TargetMode="External"/><Relationship Id="rId767" Type="http://schemas.openxmlformats.org/officeDocument/2006/relationships/hyperlink" Target="Photos\PD030236.JPG" TargetMode="External"/><Relationship Id="rId768" Type="http://schemas.openxmlformats.org/officeDocument/2006/relationships/hyperlink" Target="Photos\PD030239.JPG" TargetMode="External"/><Relationship Id="rId769" Type="http://schemas.openxmlformats.org/officeDocument/2006/relationships/hyperlink" Target="Photos\PD030240.JPG" TargetMode="External"/><Relationship Id="rId770" Type="http://schemas.openxmlformats.org/officeDocument/2006/relationships/hyperlink" Target="Photos\PD030242.JPG" TargetMode="External"/><Relationship Id="rId771" Type="http://schemas.openxmlformats.org/officeDocument/2006/relationships/hyperlink" Target="Photos\PD030243.JPG" TargetMode="External"/><Relationship Id="rId772" Type="http://schemas.openxmlformats.org/officeDocument/2006/relationships/hyperlink" Target="Photos\PD040253.JPG" TargetMode="External"/><Relationship Id="rId773" Type="http://schemas.openxmlformats.org/officeDocument/2006/relationships/hyperlink" Target="Photos\PD040255.JPG" TargetMode="External"/><Relationship Id="rId774" Type="http://schemas.openxmlformats.org/officeDocument/2006/relationships/hyperlink" Target="Photos\PD040250.JPG" TargetMode="External"/><Relationship Id="rId775" Type="http://schemas.openxmlformats.org/officeDocument/2006/relationships/hyperlink" Target="Photos\PD040252.JPG" TargetMode="External"/><Relationship Id="rId776" Type="http://schemas.openxmlformats.org/officeDocument/2006/relationships/hyperlink" Target="Photos\PD040247.JPG" TargetMode="External"/><Relationship Id="rId777" Type="http://schemas.openxmlformats.org/officeDocument/2006/relationships/hyperlink" Target="Photos\PD040248.JPG" TargetMode="External"/><Relationship Id="rId778" Type="http://schemas.openxmlformats.org/officeDocument/2006/relationships/hyperlink" Target="Photos\PD040244.JPG" TargetMode="External"/><Relationship Id="rId779" Type="http://schemas.openxmlformats.org/officeDocument/2006/relationships/hyperlink" Target="Photos\PD040246.JPG" TargetMode="External"/><Relationship Id="rId780" Type="http://schemas.openxmlformats.org/officeDocument/2006/relationships/hyperlink" Target="Photos\PD040280.JPG" TargetMode="External"/><Relationship Id="rId781" Type="http://schemas.openxmlformats.org/officeDocument/2006/relationships/hyperlink" Target="Photos\PD040283.JPG" TargetMode="External"/><Relationship Id="rId782" Type="http://schemas.openxmlformats.org/officeDocument/2006/relationships/hyperlink" Target="Photos\PD040257.JPG" TargetMode="External"/><Relationship Id="rId783" Type="http://schemas.openxmlformats.org/officeDocument/2006/relationships/hyperlink" Target="Photos\PD040258.JPG" TargetMode="External"/><Relationship Id="rId784" Type="http://schemas.openxmlformats.org/officeDocument/2006/relationships/hyperlink" Target="Photos\PD040259.JPG" TargetMode="External"/><Relationship Id="rId785" Type="http://schemas.openxmlformats.org/officeDocument/2006/relationships/hyperlink" Target="Photos\PD040264.JPG" TargetMode="External"/><Relationship Id="rId786" Type="http://schemas.openxmlformats.org/officeDocument/2006/relationships/hyperlink" Target="Photos\PD040266.JPG" TargetMode="External"/><Relationship Id="rId787" Type="http://schemas.openxmlformats.org/officeDocument/2006/relationships/hyperlink" Target="Photos\PD040274.JPG" TargetMode="External"/><Relationship Id="rId788" Type="http://schemas.openxmlformats.org/officeDocument/2006/relationships/hyperlink" Target="Photos\PD040276.JPG" TargetMode="External"/><Relationship Id="rId789" Type="http://schemas.openxmlformats.org/officeDocument/2006/relationships/hyperlink" Target="Photos\PD040267.JPG" TargetMode="External"/><Relationship Id="rId790" Type="http://schemas.openxmlformats.org/officeDocument/2006/relationships/hyperlink" Target="Photos\PD040268.JPG" TargetMode="External"/><Relationship Id="rId791" Type="http://schemas.openxmlformats.org/officeDocument/2006/relationships/hyperlink" Target="Photos\PD040269.JPG" TargetMode="External"/><Relationship Id="rId792" Type="http://schemas.openxmlformats.org/officeDocument/2006/relationships/hyperlink" Target="Photos\PD040270.JPG" TargetMode="External"/><Relationship Id="rId793" Type="http://schemas.openxmlformats.org/officeDocument/2006/relationships/hyperlink" Target="Photos\PD040272.JPG" TargetMode="External"/><Relationship Id="rId794" Type="http://schemas.openxmlformats.org/officeDocument/2006/relationships/hyperlink" Target="Photos\PD040260.JPG" TargetMode="External"/><Relationship Id="rId795" Type="http://schemas.openxmlformats.org/officeDocument/2006/relationships/hyperlink" Target="Photos\PD040262.JPG" TargetMode="External"/><Relationship Id="rId796" Type="http://schemas.openxmlformats.org/officeDocument/2006/relationships/hyperlink" Target="Photos\PD040263.JPG" TargetMode="External"/><Relationship Id="rId797" Type="http://schemas.openxmlformats.org/officeDocument/2006/relationships/hyperlink" Target="Photos\PD040297.JPG" TargetMode="External"/><Relationship Id="rId798" Type="http://schemas.openxmlformats.org/officeDocument/2006/relationships/hyperlink" Target="Photos\PD040305.JPG" TargetMode="External"/><Relationship Id="rId799" Type="http://schemas.openxmlformats.org/officeDocument/2006/relationships/hyperlink" Target="Photos\PD040305.JPG" TargetMode="External"/><Relationship Id="rId800" Type="http://schemas.openxmlformats.org/officeDocument/2006/relationships/hyperlink" Target="Photos\PD040300.JPG" TargetMode="External"/><Relationship Id="rId801" Type="http://schemas.openxmlformats.org/officeDocument/2006/relationships/hyperlink" Target="Photos\PD040302.JPG" TargetMode="External"/><Relationship Id="rId802" Type="http://schemas.openxmlformats.org/officeDocument/2006/relationships/hyperlink" Target="Photos\PD040303.JPG" TargetMode="External"/><Relationship Id="rId803" Type="http://schemas.openxmlformats.org/officeDocument/2006/relationships/hyperlink" Target="Photos\PD040294.JPG" TargetMode="External"/><Relationship Id="rId804" Type="http://schemas.openxmlformats.org/officeDocument/2006/relationships/hyperlink" Target="Photos\PD040295.JPG" TargetMode="External"/><Relationship Id="rId805" Type="http://schemas.openxmlformats.org/officeDocument/2006/relationships/hyperlink" Target="Photos\PD040296.JPG" TargetMode="External"/><Relationship Id="rId806" Type="http://schemas.openxmlformats.org/officeDocument/2006/relationships/hyperlink" Target="Photos\PD040292.JPG" TargetMode="External"/><Relationship Id="rId807" Type="http://schemas.openxmlformats.org/officeDocument/2006/relationships/hyperlink" Target="Photos\PD040293.JPG" TargetMode="External"/><Relationship Id="rId808" Type="http://schemas.openxmlformats.org/officeDocument/2006/relationships/hyperlink" Target="Photos\PD040288.JPG" TargetMode="External"/><Relationship Id="rId809" Type="http://schemas.openxmlformats.org/officeDocument/2006/relationships/hyperlink" Target="Photos\PD040290.JPG" TargetMode="External"/><Relationship Id="rId810" Type="http://schemas.openxmlformats.org/officeDocument/2006/relationships/hyperlink" Target="Photos\PD040284.JPG" TargetMode="External"/><Relationship Id="rId811" Type="http://schemas.openxmlformats.org/officeDocument/2006/relationships/hyperlink" Target="Photos\PD040287.JPG" TargetMode="External"/><Relationship Id="rId812" Type="http://schemas.openxmlformats.org/officeDocument/2006/relationships/hyperlink" Target="Photos\PD050361.JPG" TargetMode="External"/><Relationship Id="rId813" Type="http://schemas.openxmlformats.org/officeDocument/2006/relationships/hyperlink" Target="Photos\PD050363.JPG" TargetMode="External"/><Relationship Id="rId814" Type="http://schemas.openxmlformats.org/officeDocument/2006/relationships/hyperlink" Target="Photos\PD050365.JPG" TargetMode="External"/><Relationship Id="rId815" Type="http://schemas.openxmlformats.org/officeDocument/2006/relationships/hyperlink" Target="Photos\PD050360.JPG" TargetMode="External"/><Relationship Id="rId816" Type="http://schemas.openxmlformats.org/officeDocument/2006/relationships/hyperlink" Target="Photos\PD050320.JPG" TargetMode="External"/><Relationship Id="rId817" Type="http://schemas.openxmlformats.org/officeDocument/2006/relationships/hyperlink" Target="Photos\PD050321.JPG" TargetMode="External"/><Relationship Id="rId818" Type="http://schemas.openxmlformats.org/officeDocument/2006/relationships/hyperlink" Target="Photos\PD050326.JPG" TargetMode="External"/><Relationship Id="rId819" Type="http://schemas.openxmlformats.org/officeDocument/2006/relationships/hyperlink" Target="Photos\PD050349.JPG" TargetMode="External"/><Relationship Id="rId820" Type="http://schemas.openxmlformats.org/officeDocument/2006/relationships/hyperlink" Target="Photos\PD050350.JPG" TargetMode="External"/><Relationship Id="rId821" Type="http://schemas.openxmlformats.org/officeDocument/2006/relationships/hyperlink" Target="Photos\PD050353.JPG" TargetMode="External"/><Relationship Id="rId822" Type="http://schemas.openxmlformats.org/officeDocument/2006/relationships/hyperlink" Target="Photos\PD050338.JPG" TargetMode="External"/><Relationship Id="rId823" Type="http://schemas.openxmlformats.org/officeDocument/2006/relationships/hyperlink" Target="Photos\PD050340.JPG" TargetMode="External"/><Relationship Id="rId824" Type="http://schemas.openxmlformats.org/officeDocument/2006/relationships/hyperlink" Target="Photos\PD050341.JPG" TargetMode="External"/><Relationship Id="rId825" Type="http://schemas.openxmlformats.org/officeDocument/2006/relationships/hyperlink" Target="Photos\PD050343.JPG" TargetMode="External"/><Relationship Id="rId826" Type="http://schemas.openxmlformats.org/officeDocument/2006/relationships/hyperlink" Target="Photos\PD050315.JPG" TargetMode="External"/><Relationship Id="rId827" Type="http://schemas.openxmlformats.org/officeDocument/2006/relationships/hyperlink" Target="Photos\PD050318.JPG" TargetMode="External"/><Relationship Id="rId828" Type="http://schemas.openxmlformats.org/officeDocument/2006/relationships/hyperlink" Target="Photos\PD050310.JPG" TargetMode="External"/><Relationship Id="rId829" Type="http://schemas.openxmlformats.org/officeDocument/2006/relationships/hyperlink" Target="Photos\PD050312.JPG" TargetMode="External"/><Relationship Id="rId830" Type="http://schemas.openxmlformats.org/officeDocument/2006/relationships/hyperlink" Target="Photos\PD050355.JPG" TargetMode="External"/><Relationship Id="rId831" Type="http://schemas.openxmlformats.org/officeDocument/2006/relationships/hyperlink" Target="Photos\PD050345.JPG" TargetMode="External"/><Relationship Id="rId832" Type="http://schemas.openxmlformats.org/officeDocument/2006/relationships/hyperlink" Target="Photos\PD050346.JPG" TargetMode="External"/><Relationship Id="rId833" Type="http://schemas.openxmlformats.org/officeDocument/2006/relationships/hyperlink" Target="Photos\PD050308.JPG" TargetMode="External"/><Relationship Id="rId834" Type="http://schemas.openxmlformats.org/officeDocument/2006/relationships/hyperlink" Target="Photos\PD060426.JPG" TargetMode="External"/><Relationship Id="rId835" Type="http://schemas.openxmlformats.org/officeDocument/2006/relationships/hyperlink" Target="Photos\PD060428.JPG" TargetMode="External"/><Relationship Id="rId836" Type="http://schemas.openxmlformats.org/officeDocument/2006/relationships/hyperlink" Target="Photos\PD060429.JPG" TargetMode="External"/><Relationship Id="rId837" Type="http://schemas.openxmlformats.org/officeDocument/2006/relationships/hyperlink" Target="Photos\PD060402.JPG" TargetMode="External"/><Relationship Id="rId838" Type="http://schemas.openxmlformats.org/officeDocument/2006/relationships/hyperlink" Target="Photos\PD060403.JPG" TargetMode="External"/><Relationship Id="rId839" Type="http://schemas.openxmlformats.org/officeDocument/2006/relationships/hyperlink" Target="Photos\PD060398.JPG" TargetMode="External"/><Relationship Id="rId840" Type="http://schemas.openxmlformats.org/officeDocument/2006/relationships/hyperlink" Target="Photos\PD060400.JPG" TargetMode="External"/><Relationship Id="rId841" Type="http://schemas.openxmlformats.org/officeDocument/2006/relationships/hyperlink" Target="Photos\PD060401.JPG" TargetMode="External"/><Relationship Id="rId842" Type="http://schemas.openxmlformats.org/officeDocument/2006/relationships/hyperlink" Target="Photos\PD060422.JPG" TargetMode="External"/><Relationship Id="rId843" Type="http://schemas.openxmlformats.org/officeDocument/2006/relationships/hyperlink" Target="Photos\PD060419.JPG" TargetMode="External"/><Relationship Id="rId844" Type="http://schemas.openxmlformats.org/officeDocument/2006/relationships/hyperlink" Target="Photos\PD060405.JPG" TargetMode="External"/><Relationship Id="rId845" Type="http://schemas.openxmlformats.org/officeDocument/2006/relationships/hyperlink" Target="Photos\PD060406.JPG" TargetMode="External"/><Relationship Id="rId846" Type="http://schemas.openxmlformats.org/officeDocument/2006/relationships/hyperlink" Target="Photos\PD060409.JPG" TargetMode="External"/><Relationship Id="rId847" Type="http://schemas.openxmlformats.org/officeDocument/2006/relationships/hyperlink" Target="Photos\PD060414.JPG" TargetMode="External"/><Relationship Id="rId848" Type="http://schemas.openxmlformats.org/officeDocument/2006/relationships/hyperlink" Target="Photos\PD060415.JPG" TargetMode="External"/><Relationship Id="rId849" Type="http://schemas.openxmlformats.org/officeDocument/2006/relationships/hyperlink" Target="Photos\PD060416.JPG" TargetMode="External"/><Relationship Id="rId850" Type="http://schemas.openxmlformats.org/officeDocument/2006/relationships/hyperlink" Target="Photos\PD060417.JPG" TargetMode="External"/><Relationship Id="rId851" Type="http://schemas.openxmlformats.org/officeDocument/2006/relationships/hyperlink" Target="Photos\PD060393.JPG" TargetMode="External"/><Relationship Id="rId852" Type="http://schemas.openxmlformats.org/officeDocument/2006/relationships/hyperlink" Target="Photos\PD060395.JPG" TargetMode="External"/><Relationship Id="rId853" Type="http://schemas.openxmlformats.org/officeDocument/2006/relationships/hyperlink" Target="Photos\PD060397.JPG" TargetMode="External"/><Relationship Id="rId854" Type="http://schemas.openxmlformats.org/officeDocument/2006/relationships/hyperlink" Target="Photos\PD060374.JPG" TargetMode="External"/><Relationship Id="rId855" Type="http://schemas.openxmlformats.org/officeDocument/2006/relationships/hyperlink" Target="Photos\PD060377.JPG" TargetMode="External"/><Relationship Id="rId856" Type="http://schemas.openxmlformats.org/officeDocument/2006/relationships/hyperlink" Target="Photos\PD300540.JPG" TargetMode="External"/><Relationship Id="rId857" Type="http://schemas.openxmlformats.org/officeDocument/2006/relationships/hyperlink" Target="Photos\PD300542.JPG" TargetMode="External"/><Relationship Id="rId858" Type="http://schemas.openxmlformats.org/officeDocument/2006/relationships/hyperlink" Target="Photos\PD060378.JPG" TargetMode="External"/><Relationship Id="rId859" Type="http://schemas.openxmlformats.org/officeDocument/2006/relationships/hyperlink" Target="Photos\PD060379.JPG" TargetMode="External"/><Relationship Id="rId860" Type="http://schemas.openxmlformats.org/officeDocument/2006/relationships/hyperlink" Target="Photos\PD060386.JPG" TargetMode="External"/><Relationship Id="rId861" Type="http://schemas.openxmlformats.org/officeDocument/2006/relationships/hyperlink" Target="Photos\PD060388.JPG" TargetMode="External"/><Relationship Id="rId862" Type="http://schemas.openxmlformats.org/officeDocument/2006/relationships/hyperlink" Target="Photos\PD060380.JPG" TargetMode="External"/><Relationship Id="rId863" Type="http://schemas.openxmlformats.org/officeDocument/2006/relationships/hyperlink" Target="Photos\PD060381.JPG" TargetMode="External"/><Relationship Id="rId864" Type="http://schemas.openxmlformats.org/officeDocument/2006/relationships/hyperlink" Target="Photos\PD060385.JPG" TargetMode="External"/><Relationship Id="rId865" Type="http://schemas.openxmlformats.org/officeDocument/2006/relationships/hyperlink" Target="Photos\PD060390.JPG" TargetMode="External"/><Relationship Id="rId866" Type="http://schemas.openxmlformats.org/officeDocument/2006/relationships/hyperlink" Target="Photos\PD060392.JPG" TargetMode="External"/><Relationship Id="rId867" Type="http://schemas.openxmlformats.org/officeDocument/2006/relationships/hyperlink" Target="Photos\PD300543.JPG" TargetMode="External"/><Relationship Id="rId868" Type="http://schemas.openxmlformats.org/officeDocument/2006/relationships/hyperlink" Target="Photos\PD300544.JPG" TargetMode="External"/><Relationship Id="rId869" Type="http://schemas.openxmlformats.org/officeDocument/2006/relationships/hyperlink" Target="Photos\PD300549.JPG" TargetMode="External"/><Relationship Id="rId870" Type="http://schemas.openxmlformats.org/officeDocument/2006/relationships/hyperlink" Target="Photos\PD300550.JPG" TargetMode="External"/><Relationship Id="rId871" Type="http://schemas.openxmlformats.org/officeDocument/2006/relationships/hyperlink" Target="Photos\PD300546.JPG" TargetMode="External"/><Relationship Id="rId872" Type="http://schemas.openxmlformats.org/officeDocument/2006/relationships/hyperlink" Target="Photos\PD300547.JPG" TargetMode="External"/><Relationship Id="rId873" Type="http://schemas.openxmlformats.org/officeDocument/2006/relationships/hyperlink" Target="Photos\PD300554.JPG" TargetMode="External"/><Relationship Id="rId874" Type="http://schemas.openxmlformats.org/officeDocument/2006/relationships/hyperlink" Target="Photos\PD300556.JPG" TargetMode="External"/><Relationship Id="rId875" Type="http://schemas.openxmlformats.org/officeDocument/2006/relationships/hyperlink" Target="Photos\PD300559.JPG" TargetMode="External"/><Relationship Id="rId876" Type="http://schemas.openxmlformats.org/officeDocument/2006/relationships/hyperlink" Target="Photos\PD300578.JPG" TargetMode="External"/><Relationship Id="rId877" Type="http://schemas.openxmlformats.org/officeDocument/2006/relationships/hyperlink" Target="Photos\PD300579.JPG" TargetMode="External"/><Relationship Id="rId878" Type="http://schemas.openxmlformats.org/officeDocument/2006/relationships/hyperlink" Target="Photos\PD300591.JPG" TargetMode="External"/><Relationship Id="rId879" Type="http://schemas.openxmlformats.org/officeDocument/2006/relationships/hyperlink" Target="https://buckrogers.fandom.com/" TargetMode="External"/><Relationship Id="rId880" Type="http://schemas.openxmlformats.org/officeDocument/2006/relationships/hyperlink" Target="Photos\PD300586.JPG" TargetMode="External"/><Relationship Id="rId881" Type="http://schemas.openxmlformats.org/officeDocument/2006/relationships/hyperlink" Target="Photos\PD300587.JPG" TargetMode="External"/><Relationship Id="rId882" Type="http://schemas.openxmlformats.org/officeDocument/2006/relationships/hyperlink" Target="Photos\PD300570.JPG" TargetMode="External"/><Relationship Id="rId883" Type="http://schemas.openxmlformats.org/officeDocument/2006/relationships/hyperlink" Target="Photos\PD300561.JPG" TargetMode="External"/><Relationship Id="rId884" Type="http://schemas.openxmlformats.org/officeDocument/2006/relationships/hyperlink" Target="Photos\PD300564.JPG" TargetMode="External"/><Relationship Id="rId885" Type="http://schemas.openxmlformats.org/officeDocument/2006/relationships/hyperlink" Target="Photos\PD300585.JPG" TargetMode="External"/><Relationship Id="rId886" Type="http://schemas.openxmlformats.org/officeDocument/2006/relationships/hyperlink" Target="Photos\PD300593.JPG" TargetMode="External"/><Relationship Id="rId887" Type="http://schemas.openxmlformats.org/officeDocument/2006/relationships/hyperlink" Target="Photos\PD090438.JPG" TargetMode="External"/><Relationship Id="rId888" Type="http://schemas.openxmlformats.org/officeDocument/2006/relationships/hyperlink" Target="Photos\PD090440.JPG" TargetMode="External"/><Relationship Id="rId889" Type="http://schemas.openxmlformats.org/officeDocument/2006/relationships/hyperlink" Target="Photos\PD090451.JPG" TargetMode="External"/><Relationship Id="rId890" Type="http://schemas.openxmlformats.org/officeDocument/2006/relationships/hyperlink" Target="Photos\PD090452.JPG" TargetMode="External"/><Relationship Id="rId891" Type="http://schemas.openxmlformats.org/officeDocument/2006/relationships/hyperlink" Target="Photos\PD090453.JPG" TargetMode="External"/><Relationship Id="rId892" Type="http://schemas.openxmlformats.org/officeDocument/2006/relationships/hyperlink" Target="Photos\PD090441.JPG" TargetMode="External"/><Relationship Id="rId893" Type="http://schemas.openxmlformats.org/officeDocument/2006/relationships/hyperlink" Target="Photos\PD090446.JPG" TargetMode="External"/><Relationship Id="rId894" Type="http://schemas.openxmlformats.org/officeDocument/2006/relationships/hyperlink" Target="Photos\PD090448.JPG" TargetMode="External"/><Relationship Id="rId895" Type="http://schemas.openxmlformats.org/officeDocument/2006/relationships/hyperlink" Target="Photos\PD090449.JPG" TargetMode="External"/><Relationship Id="rId896" Type="http://schemas.openxmlformats.org/officeDocument/2006/relationships/hyperlink" Target="Photos\PD090454.JPG" TargetMode="External"/><Relationship Id="rId897" Type="http://schemas.openxmlformats.org/officeDocument/2006/relationships/hyperlink" Target="Photos\PD090455.JPG" TargetMode="External"/><Relationship Id="rId898" Type="http://schemas.openxmlformats.org/officeDocument/2006/relationships/hyperlink" Target="Photos\PD300596.JPG" TargetMode="External"/><Relationship Id="rId899" Type="http://schemas.openxmlformats.org/officeDocument/2006/relationships/hyperlink" Target="Photos\PD300572.JPG" TargetMode="External"/><Relationship Id="rId900" Type="http://schemas.openxmlformats.org/officeDocument/2006/relationships/hyperlink" Target="Photos\PD300573.JPG" TargetMode="External"/><Relationship Id="rId901" Type="http://schemas.openxmlformats.org/officeDocument/2006/relationships/hyperlink" Target="Photos\P2070001.JPG" TargetMode="External"/><Relationship Id="rId902" Type="http://schemas.openxmlformats.org/officeDocument/2006/relationships/hyperlink" Target="Photos\P2070002.JPG" TargetMode="External"/><Relationship Id="rId903" Type="http://schemas.openxmlformats.org/officeDocument/2006/relationships/hyperlink" Target="Photos\PD300577.JPG" TargetMode="External"/><Relationship Id="rId904" Type="http://schemas.openxmlformats.org/officeDocument/2006/relationships/hyperlink" Target="Photos\PD070003.JPG" TargetMode="External"/><Relationship Id="rId905" Type="http://schemas.openxmlformats.org/officeDocument/2006/relationships/hyperlink" Target="Photos\PD300605.JPG" TargetMode="External"/><Relationship Id="rId906" Type="http://schemas.openxmlformats.org/officeDocument/2006/relationships/hyperlink" Target="Photos\PD300599.JPG" TargetMode="External"/><Relationship Id="rId907" Type="http://schemas.openxmlformats.org/officeDocument/2006/relationships/hyperlink" Target="Photos\PD300600.JPG" TargetMode="External"/><Relationship Id="rId908" Type="http://schemas.openxmlformats.org/officeDocument/2006/relationships/hyperlink" Target="Photos\P2080027.JPG" TargetMode="External"/><Relationship Id="rId909" Type="http://schemas.openxmlformats.org/officeDocument/2006/relationships/hyperlink" Target="Photos\P2070005.JPG" TargetMode="External"/><Relationship Id="rId910" Type="http://schemas.openxmlformats.org/officeDocument/2006/relationships/hyperlink" Target="Photos\P2070007.JPG" TargetMode="External"/><Relationship Id="rId911" Type="http://schemas.openxmlformats.org/officeDocument/2006/relationships/hyperlink" Target="Photos\PD300597.JPG" TargetMode="External"/><Relationship Id="rId912" Type="http://schemas.openxmlformats.org/officeDocument/2006/relationships/hyperlink" Target="Photos\PD300598.JPG" TargetMode="External"/><Relationship Id="rId913" Type="http://schemas.openxmlformats.org/officeDocument/2006/relationships/hyperlink" Target="Photos\P2080015.JPG" TargetMode="External"/><Relationship Id="rId914" Type="http://schemas.openxmlformats.org/officeDocument/2006/relationships/hyperlink" Target="Photos\P2080018.JPG" TargetMode="External"/><Relationship Id="rId915" Type="http://schemas.openxmlformats.org/officeDocument/2006/relationships/hyperlink" Target="Photos\PD310611.JPG" TargetMode="External"/><Relationship Id="rId916" Type="http://schemas.openxmlformats.org/officeDocument/2006/relationships/hyperlink" Target="Photos\PD310614.JPG" TargetMode="External"/><Relationship Id="rId917" Type="http://schemas.openxmlformats.org/officeDocument/2006/relationships/hyperlink" Target="Photos\PD310622.JPG" TargetMode="External"/><Relationship Id="rId918" Type="http://schemas.openxmlformats.org/officeDocument/2006/relationships/hyperlink" Target="Photos\P2070009.JPG" TargetMode="External"/><Relationship Id="rId919" Type="http://schemas.openxmlformats.org/officeDocument/2006/relationships/hyperlink" Target="Photos\P2070011.JPG" TargetMode="External"/><Relationship Id="rId920" Type="http://schemas.openxmlformats.org/officeDocument/2006/relationships/hyperlink" Target="Photos\PD090458.JPG" TargetMode="External"/><Relationship Id="rId921" Type="http://schemas.openxmlformats.org/officeDocument/2006/relationships/hyperlink" Target="Photos\PD090459.JPG" TargetMode="External"/><Relationship Id="rId922" Type="http://schemas.openxmlformats.org/officeDocument/2006/relationships/hyperlink" Target="Photos\P2030109.JPG" TargetMode="External"/><Relationship Id="rId923" Type="http://schemas.openxmlformats.org/officeDocument/2006/relationships/hyperlink" Target="Photos\P2030110.JPG" TargetMode="External"/><Relationship Id="rId924" Type="http://schemas.openxmlformats.org/officeDocument/2006/relationships/hyperlink" Target="Photos\P2030111.JPG" TargetMode="External"/><Relationship Id="rId925" Type="http://schemas.openxmlformats.org/officeDocument/2006/relationships/hyperlink" Target="Photos\PE010001.JPG" TargetMode="External"/><Relationship Id="rId926" Type="http://schemas.openxmlformats.org/officeDocument/2006/relationships/hyperlink" Target="Photos\PAA90263.JPG" TargetMode="External"/><Relationship Id="rId927" Type="http://schemas.openxmlformats.org/officeDocument/2006/relationships/hyperlink" Target="Photos\PAA90264.JPG" TargetMode="External"/><Relationship Id="rId928" Type="http://schemas.openxmlformats.org/officeDocument/2006/relationships/hyperlink" Target="Photos\P2030081.JPG" TargetMode="External"/><Relationship Id="rId929" Type="http://schemas.openxmlformats.org/officeDocument/2006/relationships/hyperlink" Target="Photos\P2030082.JPG" TargetMode="External"/><Relationship Id="rId930" Type="http://schemas.openxmlformats.org/officeDocument/2006/relationships/hyperlink" Target="Photos\PAA50143.JPG" TargetMode="External"/><Relationship Id="rId931" Type="http://schemas.openxmlformats.org/officeDocument/2006/relationships/hyperlink" Target="Photos\PAA50144.JPG" TargetMode="External"/><Relationship Id="rId932" Type="http://schemas.openxmlformats.org/officeDocument/2006/relationships/hyperlink" Target="Photos\PAA50144A.JPG" TargetMode="External"/><Relationship Id="rId933" Type="http://schemas.openxmlformats.org/officeDocument/2006/relationships/hyperlink" Target="Photos\PE010002.JPG" TargetMode="External"/><Relationship Id="rId934" Type="http://schemas.openxmlformats.org/officeDocument/2006/relationships/hyperlink" Target="Photos\PE010003.JPG" TargetMode="External"/><Relationship Id="rId935" Type="http://schemas.openxmlformats.org/officeDocument/2006/relationships/hyperlink" Target="Photos\PE010004.JPG" TargetMode="External"/><Relationship Id="rId936" Type="http://schemas.openxmlformats.org/officeDocument/2006/relationships/hyperlink" Target="Photos\PE010007.JPG" TargetMode="External"/><Relationship Id="rId937" Type="http://schemas.openxmlformats.org/officeDocument/2006/relationships/hyperlink" Target="Photos\PE010008.JPG" TargetMode="External"/><Relationship Id="rId938" Type="http://schemas.openxmlformats.org/officeDocument/2006/relationships/hyperlink" Target="Photos\PE010009.JPG" TargetMode="External"/><Relationship Id="rId939" Type="http://schemas.openxmlformats.org/officeDocument/2006/relationships/hyperlink" Target="Photos\PE010010.JPG" TargetMode="External"/><Relationship Id="rId940" Type="http://schemas.openxmlformats.org/officeDocument/2006/relationships/hyperlink" Target="Photos\PE010005.JPG" TargetMode="External"/><Relationship Id="rId941" Type="http://schemas.openxmlformats.org/officeDocument/2006/relationships/hyperlink" Target="Photos\PE010006.JPG" TargetMode="External"/><Relationship Id="rId942" Type="http://schemas.openxmlformats.org/officeDocument/2006/relationships/hyperlink" Target="Photos\PE010011.JPG" TargetMode="External"/><Relationship Id="rId943" Type="http://schemas.openxmlformats.org/officeDocument/2006/relationships/hyperlink" Target="Photos\PE010012.JPG" TargetMode="External"/><Relationship Id="rId944" Type="http://schemas.openxmlformats.org/officeDocument/2006/relationships/hyperlink" Target="Photos\PE010012.JPG" TargetMode="External"/><Relationship Id="rId945" Type="http://schemas.openxmlformats.org/officeDocument/2006/relationships/hyperlink" Target="Photos\PE010012.JPG" TargetMode="External"/><Relationship Id="rId946" Type="http://schemas.openxmlformats.org/officeDocument/2006/relationships/hyperlink" Target="Photos\PE010013.JPG" TargetMode="External"/><Relationship Id="rId947" Type="http://schemas.openxmlformats.org/officeDocument/2006/relationships/hyperlink" Target="Photos\PE010014.JPG" TargetMode="External"/><Relationship Id="rId948" Type="http://schemas.openxmlformats.org/officeDocument/2006/relationships/hyperlink" Target="Photos\PE010015.JPG" TargetMode="External"/><Relationship Id="rId949" Type="http://schemas.openxmlformats.org/officeDocument/2006/relationships/hyperlink" Target="Photos\PE010016.JPG" TargetMode="External"/><Relationship Id="rId950" Type="http://schemas.openxmlformats.org/officeDocument/2006/relationships/hyperlink" Target="Photos\PE010017.JPG" TargetMode="External"/><Relationship Id="rId951" Type="http://schemas.openxmlformats.org/officeDocument/2006/relationships/hyperlink" Target="Photos\PE010018.JPG" TargetMode="External"/><Relationship Id="rId952" Type="http://schemas.openxmlformats.org/officeDocument/2006/relationships/hyperlink" Target="Photos\PE010019.JPG" TargetMode="External"/><Relationship Id="rId953" Type="http://schemas.openxmlformats.org/officeDocument/2006/relationships/hyperlink" Target="Photos\PE010020.JPG" TargetMode="External"/><Relationship Id="rId954" Type="http://schemas.openxmlformats.org/officeDocument/2006/relationships/hyperlink" Target="Photos\PE010021.JPG" TargetMode="External"/><Relationship Id="rId955" Type="http://schemas.openxmlformats.org/officeDocument/2006/relationships/hyperlink" Target="Photos\PE010022.JPG" TargetMode="External"/><Relationship Id="rId956" Type="http://schemas.openxmlformats.org/officeDocument/2006/relationships/hyperlink" Target="Photos\PE010023.JPG" TargetMode="External"/><Relationship Id="rId957" Type="http://schemas.openxmlformats.org/officeDocument/2006/relationships/hyperlink" Target="Photos\PE010024.JPG" TargetMode="External"/><Relationship Id="rId958" Type="http://schemas.openxmlformats.org/officeDocument/2006/relationships/hyperlink" Target="Photos\PE010025.JPG" TargetMode="External"/><Relationship Id="rId959" Type="http://schemas.openxmlformats.org/officeDocument/2006/relationships/hyperlink" Target="Photos\PE010026.JPG" TargetMode="External"/><Relationship Id="rId960" Type="http://schemas.openxmlformats.org/officeDocument/2006/relationships/hyperlink" Target="Photos\PE010027.JPG" TargetMode="External"/><Relationship Id="rId961" Type="http://schemas.openxmlformats.org/officeDocument/2006/relationships/hyperlink" Target="Photos\PE010028.JPG" TargetMode="External"/><Relationship Id="rId962" Type="http://schemas.openxmlformats.org/officeDocument/2006/relationships/hyperlink" Target="Photos\PE010029.JPG" TargetMode="External"/><Relationship Id="rId963" Type="http://schemas.openxmlformats.org/officeDocument/2006/relationships/hyperlink" Target="Photos\PE010030.JPG" TargetMode="External"/><Relationship Id="rId964" Type="http://schemas.openxmlformats.org/officeDocument/2006/relationships/hyperlink" Target="Photos\PE010031.JPG" TargetMode="External"/><Relationship Id="rId965" Type="http://schemas.openxmlformats.org/officeDocument/2006/relationships/hyperlink" Target="Photos\PE010032.JPG" TargetMode="External"/><Relationship Id="rId966" Type="http://schemas.openxmlformats.org/officeDocument/2006/relationships/hyperlink" Target="Photos\PE010033.JPG" TargetMode="External"/><Relationship Id="rId967" Type="http://schemas.openxmlformats.org/officeDocument/2006/relationships/hyperlink" Target="Photos\PE010031.JPG" TargetMode="External"/><Relationship Id="rId968" Type="http://schemas.openxmlformats.org/officeDocument/2006/relationships/hyperlink" Target="Photos\PE010034.JPG" TargetMode="External"/><Relationship Id="rId969" Type="http://schemas.openxmlformats.org/officeDocument/2006/relationships/hyperlink" Target="Photos\PE010035.JPG" TargetMode="External"/><Relationship Id="rId970" Type="http://schemas.openxmlformats.org/officeDocument/2006/relationships/hyperlink" Target="Photos\PE010036.JPG" TargetMode="External"/><Relationship Id="rId971" Type="http://schemas.openxmlformats.org/officeDocument/2006/relationships/hyperlink" Target="Photos\PE010037.JPG" TargetMode="External"/><Relationship Id="rId972" Type="http://schemas.openxmlformats.org/officeDocument/2006/relationships/hyperlink" Target="Photos\PE010038.JPG" TargetMode="External"/><Relationship Id="rId973" Type="http://schemas.openxmlformats.org/officeDocument/2006/relationships/hyperlink" Target="Photos\PE010039.JPG" TargetMode="External"/><Relationship Id="rId974" Type="http://schemas.openxmlformats.org/officeDocument/2006/relationships/hyperlink" Target="Photos\PE010040.JPG" TargetMode="External"/><Relationship Id="rId975" Type="http://schemas.openxmlformats.org/officeDocument/2006/relationships/hyperlink" Target="Photos\PE010041.JPG" TargetMode="External"/><Relationship Id="rId976" Type="http://schemas.openxmlformats.org/officeDocument/2006/relationships/hyperlink" Target="Photos\PE010042.JPG" TargetMode="External"/><Relationship Id="rId977" Type="http://schemas.openxmlformats.org/officeDocument/2006/relationships/hyperlink" Target="Photos\PE010043.JPG" TargetMode="External"/><Relationship Id="rId978" Type="http://schemas.openxmlformats.org/officeDocument/2006/relationships/hyperlink" Target="Photos\PE010044.JPG" TargetMode="External"/><Relationship Id="rId979" Type="http://schemas.openxmlformats.org/officeDocument/2006/relationships/hyperlink" Target="Photos\PE010045.JPG" TargetMode="External"/><Relationship Id="rId980" Type="http://schemas.openxmlformats.org/officeDocument/2006/relationships/hyperlink" Target="Photos\PE010046.JPG" TargetMode="External"/><Relationship Id="rId981" Type="http://schemas.openxmlformats.org/officeDocument/2006/relationships/hyperlink" Target="Photos\PE010047.JPG" TargetMode="External"/><Relationship Id="rId982" Type="http://schemas.openxmlformats.org/officeDocument/2006/relationships/hyperlink" Target="Photos\PE010048.JPG" TargetMode="External"/><Relationship Id="rId983" Type="http://schemas.openxmlformats.org/officeDocument/2006/relationships/hyperlink" Target="Photos\PE010049.JPG" TargetMode="External"/><Relationship Id="rId984" Type="http://schemas.openxmlformats.org/officeDocument/2006/relationships/hyperlink" Target="Photos\PE010050.JPG" TargetMode="External"/><Relationship Id="rId985" Type="http://schemas.openxmlformats.org/officeDocument/2006/relationships/hyperlink" Target="Photos\PE010051.JPG" TargetMode="External"/><Relationship Id="rId986" Type="http://schemas.openxmlformats.org/officeDocument/2006/relationships/hyperlink" Target="Photos\PE010052.JPG" TargetMode="External"/><Relationship Id="rId987" Type="http://schemas.openxmlformats.org/officeDocument/2006/relationships/hyperlink" Target="Photos\PE010053.JPG" TargetMode="External"/><Relationship Id="rId988" Type="http://schemas.openxmlformats.org/officeDocument/2006/relationships/hyperlink" Target="Photos\PE010054.JPG" TargetMode="External"/><Relationship Id="rId989" Type="http://schemas.openxmlformats.org/officeDocument/2006/relationships/hyperlink" Target="Photos\PE010055.JPG" TargetMode="External"/><Relationship Id="rId990" Type="http://schemas.openxmlformats.org/officeDocument/2006/relationships/hyperlink" Target="Photos\PE010056.JPG" TargetMode="External"/><Relationship Id="rId991" Type="http://schemas.openxmlformats.org/officeDocument/2006/relationships/hyperlink" Target="Photos\PE010057.JPG" TargetMode="External"/><Relationship Id="rId992" Type="http://schemas.openxmlformats.org/officeDocument/2006/relationships/hyperlink" Target="Photos\PE010058.JPG" TargetMode="External"/><Relationship Id="rId993" Type="http://schemas.openxmlformats.org/officeDocument/2006/relationships/hyperlink" Target="Photos\PE010059.JPG" TargetMode="External"/><Relationship Id="rId994" Type="http://schemas.openxmlformats.org/officeDocument/2006/relationships/hyperlink" Target="Photos\PE010060.JPG" TargetMode="External"/><Relationship Id="rId995" Type="http://schemas.openxmlformats.org/officeDocument/2006/relationships/hyperlink" Target="Photos\PE010061.JPG" TargetMode="External"/><Relationship Id="rId996" Type="http://schemas.openxmlformats.org/officeDocument/2006/relationships/hyperlink" Target="Photos\PE010062.JPG" TargetMode="External"/><Relationship Id="rId997" Type="http://schemas.openxmlformats.org/officeDocument/2006/relationships/hyperlink" Target="Photos\PE010063.JPG" TargetMode="External"/><Relationship Id="rId998" Type="http://schemas.openxmlformats.org/officeDocument/2006/relationships/hyperlink" Target="Photos\PE010064.JPG" TargetMode="External"/><Relationship Id="rId999" Type="http://schemas.openxmlformats.org/officeDocument/2006/relationships/hyperlink" Target="Photos\PE010065.JPG" TargetMode="External"/><Relationship Id="rId1000" Type="http://schemas.openxmlformats.org/officeDocument/2006/relationships/hyperlink" Target="Photos\PE010066.JPG" TargetMode="External"/><Relationship Id="rId1001" Type="http://schemas.openxmlformats.org/officeDocument/2006/relationships/hyperlink" Target="Photos\PE010067.JPG" TargetMode="External"/><Relationship Id="rId1002" Type="http://schemas.openxmlformats.org/officeDocument/2006/relationships/hyperlink" Target="Photos\PE010068.JPG" TargetMode="External"/><Relationship Id="rId1003" Type="http://schemas.openxmlformats.org/officeDocument/2006/relationships/hyperlink" Target="Photos\PE010069.JPG" TargetMode="External"/><Relationship Id="rId1004" Type="http://schemas.openxmlformats.org/officeDocument/2006/relationships/hyperlink" Target="Photos\PE010070.JPG" TargetMode="External"/><Relationship Id="rId1005" Type="http://schemas.openxmlformats.org/officeDocument/2006/relationships/hyperlink" Target="Photos\PE010071.JPG" TargetMode="External"/><Relationship Id="rId1006" Type="http://schemas.openxmlformats.org/officeDocument/2006/relationships/hyperlink" Target="Photos\PE010072.JPG" TargetMode="External"/><Relationship Id="rId1007" Type="http://schemas.openxmlformats.org/officeDocument/2006/relationships/hyperlink" Target="Photos\PE010073.JPG" TargetMode="External"/><Relationship Id="rId1008" Type="http://schemas.openxmlformats.org/officeDocument/2006/relationships/hyperlink" Target="Photos\PE010074.JPG" TargetMode="External"/><Relationship Id="rId1009" Type="http://schemas.openxmlformats.org/officeDocument/2006/relationships/hyperlink" Target="Photos\PE010075.JPG" TargetMode="External"/><Relationship Id="rId1010" Type="http://schemas.openxmlformats.org/officeDocument/2006/relationships/hyperlink" Target="Photos\PE010076.JPG" TargetMode="External"/><Relationship Id="rId1011" Type="http://schemas.openxmlformats.org/officeDocument/2006/relationships/hyperlink" Target="Photos\PE010077.JPG" TargetMode="External"/><Relationship Id="rId1012" Type="http://schemas.openxmlformats.org/officeDocument/2006/relationships/hyperlink" Target="Photos\PE010078.JPG" TargetMode="External"/><Relationship Id="rId1013" Type="http://schemas.openxmlformats.org/officeDocument/2006/relationships/hyperlink" Target="Photos\PE010079.JPG" TargetMode="External"/><Relationship Id="rId1014" Type="http://schemas.openxmlformats.org/officeDocument/2006/relationships/hyperlink" Target="Photos\PE010080.JPG" TargetMode="External"/><Relationship Id="rId1015" Type="http://schemas.openxmlformats.org/officeDocument/2006/relationships/hyperlink" Target="Photos\PE010081.JPG" TargetMode="External"/><Relationship Id="rId1016" Type="http://schemas.openxmlformats.org/officeDocument/2006/relationships/hyperlink" Target="Photos\PE010082.JPG" TargetMode="External"/><Relationship Id="rId1017" Type="http://schemas.openxmlformats.org/officeDocument/2006/relationships/hyperlink" Target="Photos\PE010083.JPG" TargetMode="External"/><Relationship Id="rId1018" Type="http://schemas.openxmlformats.org/officeDocument/2006/relationships/hyperlink" Target="Photos\PE010084.JPG" TargetMode="External"/><Relationship Id="rId1019" Type="http://schemas.openxmlformats.org/officeDocument/2006/relationships/hyperlink" Target="Photos\PE010085.JPG" TargetMode="External"/><Relationship Id="rId1020" Type="http://schemas.openxmlformats.org/officeDocument/2006/relationships/hyperlink" Target="Photos\PE010086.JPG" TargetMode="External"/><Relationship Id="rId1021" Type="http://schemas.openxmlformats.org/officeDocument/2006/relationships/hyperlink" Target="Photos\PE010087.JPG" TargetMode="External"/><Relationship Id="rId1022" Type="http://schemas.openxmlformats.org/officeDocument/2006/relationships/hyperlink" Target="Photos\PE010088.JPG" TargetMode="External"/><Relationship Id="rId1023" Type="http://schemas.openxmlformats.org/officeDocument/2006/relationships/hyperlink" Target="Photos\PE010089.JPG" TargetMode="External"/><Relationship Id="rId1024" Type="http://schemas.openxmlformats.org/officeDocument/2006/relationships/hyperlink" Target="Photos\PE010090.JPG" TargetMode="External"/><Relationship Id="rId1025" Type="http://schemas.openxmlformats.org/officeDocument/2006/relationships/hyperlink" Target="Photos\PE010091.JPG" TargetMode="External"/><Relationship Id="rId1026" Type="http://schemas.openxmlformats.org/officeDocument/2006/relationships/hyperlink" Target="Photos\PE010092.JPG" TargetMode="External"/><Relationship Id="rId1027" Type="http://schemas.openxmlformats.org/officeDocument/2006/relationships/hyperlink" Target="Photos\PE010093.JPG" TargetMode="External"/><Relationship Id="rId1028" Type="http://schemas.openxmlformats.org/officeDocument/2006/relationships/hyperlink" Target="Photos\PE010094.JPG" TargetMode="External"/><Relationship Id="rId1029" Type="http://schemas.openxmlformats.org/officeDocument/2006/relationships/hyperlink" Target="Photos\PE010095.JPG" TargetMode="External"/><Relationship Id="rId1030" Type="http://schemas.openxmlformats.org/officeDocument/2006/relationships/hyperlink" Target="Photos\PE010096.JPG" TargetMode="External"/><Relationship Id="rId1031" Type="http://schemas.openxmlformats.org/officeDocument/2006/relationships/hyperlink" Target="Photos\PE010096.JPG" TargetMode="External"/><Relationship Id="rId1032" Type="http://schemas.openxmlformats.org/officeDocument/2006/relationships/hyperlink" Target="Photos\PE010098.JPG" TargetMode="External"/><Relationship Id="rId1033" Type="http://schemas.openxmlformats.org/officeDocument/2006/relationships/hyperlink" Target="Photos\PE010099.JPG" TargetMode="External"/><Relationship Id="rId1034" Type="http://schemas.openxmlformats.org/officeDocument/2006/relationships/hyperlink" Target="Photos\PE010100.JPG" TargetMode="External"/><Relationship Id="rId1035" Type="http://schemas.openxmlformats.org/officeDocument/2006/relationships/hyperlink" Target="Photos\PE010101.JPG" TargetMode="External"/><Relationship Id="rId1036" Type="http://schemas.openxmlformats.org/officeDocument/2006/relationships/hyperlink" Target="Photos\PE010102.JPG" TargetMode="External"/><Relationship Id="rId1037" Type="http://schemas.openxmlformats.org/officeDocument/2006/relationships/hyperlink" Target="Photos\PE010103.JPG" TargetMode="External"/><Relationship Id="rId1038" Type="http://schemas.openxmlformats.org/officeDocument/2006/relationships/hyperlink" Target="Photos\PE010104.JPG" TargetMode="External"/><Relationship Id="rId1039" Type="http://schemas.openxmlformats.org/officeDocument/2006/relationships/hyperlink" Target="Photos\PE010105.JPG" TargetMode="External"/><Relationship Id="rId1040" Type="http://schemas.openxmlformats.org/officeDocument/2006/relationships/hyperlink" Target="Photos\PE010106.JPG" TargetMode="External"/><Relationship Id="rId1041" Type="http://schemas.openxmlformats.org/officeDocument/2006/relationships/hyperlink" Target="Photos\PE010107.JPG" TargetMode="External"/><Relationship Id="rId1042" Type="http://schemas.openxmlformats.org/officeDocument/2006/relationships/hyperlink" Target="Photos\PE010108.JPG" TargetMode="External"/><Relationship Id="rId1043" Type="http://schemas.openxmlformats.org/officeDocument/2006/relationships/hyperlink" Target="Photos\PE010109.JPG" TargetMode="External"/><Relationship Id="rId1044" Type="http://schemas.openxmlformats.org/officeDocument/2006/relationships/hyperlink" Target="Photos\PE010110.JPG" TargetMode="External"/><Relationship Id="rId1045" Type="http://schemas.openxmlformats.org/officeDocument/2006/relationships/hyperlink" Target="Photos\PE010111.JPG" TargetMode="External"/><Relationship Id="rId1046" Type="http://schemas.openxmlformats.org/officeDocument/2006/relationships/hyperlink" Target="Photos\PE010112.JPG" TargetMode="External"/><Relationship Id="rId1047" Type="http://schemas.openxmlformats.org/officeDocument/2006/relationships/hyperlink" Target="Photos\PE010113.JPG" TargetMode="External"/><Relationship Id="rId1048" Type="http://schemas.openxmlformats.org/officeDocument/2006/relationships/hyperlink" Target="Photos\PE010114.JPG" TargetMode="External"/><Relationship Id="rId1049" Type="http://schemas.openxmlformats.org/officeDocument/2006/relationships/hyperlink" Target="Photos\PE010115.JPG" TargetMode="External"/><Relationship Id="rId1050" Type="http://schemas.openxmlformats.org/officeDocument/2006/relationships/hyperlink" Target="Photos\PE010116.JPG" TargetMode="External"/><Relationship Id="rId1051" Type="http://schemas.openxmlformats.org/officeDocument/2006/relationships/hyperlink" Target="Photos\PE010117.JPG" TargetMode="External"/><Relationship Id="rId1052" Type="http://schemas.openxmlformats.org/officeDocument/2006/relationships/hyperlink" Target="Photos\PE010118.JPG" TargetMode="External"/><Relationship Id="rId1053" Type="http://schemas.openxmlformats.org/officeDocument/2006/relationships/hyperlink" Target="Photos\PE010119.JPG" TargetMode="External"/><Relationship Id="rId1054" Type="http://schemas.openxmlformats.org/officeDocument/2006/relationships/hyperlink" Target="Photos\PE010120.JPG" TargetMode="External"/><Relationship Id="rId1055" Type="http://schemas.openxmlformats.org/officeDocument/2006/relationships/hyperlink" Target="Photos\PE010121.JPG" TargetMode="External"/><Relationship Id="rId1056" Type="http://schemas.openxmlformats.org/officeDocument/2006/relationships/hyperlink" Target="Photos\PE010122.JPG" TargetMode="External"/><Relationship Id="rId1057" Type="http://schemas.openxmlformats.org/officeDocument/2006/relationships/hyperlink" Target="Photos\PE010123.JPG" TargetMode="External"/><Relationship Id="rId1058" Type="http://schemas.openxmlformats.org/officeDocument/2006/relationships/hyperlink" Target="Photos\PE010124.JPG" TargetMode="External"/><Relationship Id="rId1059" Type="http://schemas.openxmlformats.org/officeDocument/2006/relationships/hyperlink" Target="Photos\PE010125.JPG" TargetMode="External"/><Relationship Id="rId1060" Type="http://schemas.openxmlformats.org/officeDocument/2006/relationships/hyperlink" Target="Photos\PE010126.JPG" TargetMode="External"/><Relationship Id="rId1061" Type="http://schemas.openxmlformats.org/officeDocument/2006/relationships/hyperlink" Target="Photos\PE010127.JPG" TargetMode="External"/><Relationship Id="rId1062" Type="http://schemas.openxmlformats.org/officeDocument/2006/relationships/hyperlink" Target="Photos\PE010128.JPG" TargetMode="External"/><Relationship Id="rId1063" Type="http://schemas.openxmlformats.org/officeDocument/2006/relationships/hyperlink" Target="Photos\PE010129.JPG" TargetMode="External"/><Relationship Id="rId1064" Type="http://schemas.openxmlformats.org/officeDocument/2006/relationships/hyperlink" Target="Photos\PE010130.JPG" TargetMode="External"/><Relationship Id="rId1065" Type="http://schemas.openxmlformats.org/officeDocument/2006/relationships/hyperlink" Target="Photos\PE010131.JPG" TargetMode="External"/><Relationship Id="rId1066" Type="http://schemas.openxmlformats.org/officeDocument/2006/relationships/hyperlink" Target="Photos\PE010132.JPG" TargetMode="External"/><Relationship Id="rId1067" Type="http://schemas.openxmlformats.org/officeDocument/2006/relationships/hyperlink" Target="Photos\PE010133.JPG" TargetMode="External"/><Relationship Id="rId1068" Type="http://schemas.openxmlformats.org/officeDocument/2006/relationships/hyperlink" Target="Photos\PE010134.JPG" TargetMode="External"/><Relationship Id="rId1069" Type="http://schemas.openxmlformats.org/officeDocument/2006/relationships/hyperlink" Target="Photos\PE010135.JPG" TargetMode="External"/><Relationship Id="rId1070" Type="http://schemas.openxmlformats.org/officeDocument/2006/relationships/hyperlink" Target="Photos\PE010136.JPG" TargetMode="External"/><Relationship Id="rId1071" Type="http://schemas.openxmlformats.org/officeDocument/2006/relationships/hyperlink" Target="Photos\PE010137.JPG" TargetMode="External"/><Relationship Id="rId1072" Type="http://schemas.openxmlformats.org/officeDocument/2006/relationships/hyperlink" Target="Photos\PE010138.JPG" TargetMode="External"/><Relationship Id="rId1073" Type="http://schemas.openxmlformats.org/officeDocument/2006/relationships/hyperlink" Target="Photos\PE010139.JPG" TargetMode="External"/><Relationship Id="rId1074" Type="http://schemas.openxmlformats.org/officeDocument/2006/relationships/hyperlink" Target="Photos\PE010140.JPG" TargetMode="External"/><Relationship Id="rId1075" Type="http://schemas.openxmlformats.org/officeDocument/2006/relationships/hyperlink" Target="Photos\PE010141.JPG" TargetMode="External"/><Relationship Id="rId1076" Type="http://schemas.openxmlformats.org/officeDocument/2006/relationships/hyperlink" Target="Photos\PE010142.JPG" TargetMode="External"/><Relationship Id="rId1077" Type="http://schemas.openxmlformats.org/officeDocument/2006/relationships/hyperlink" Target="Photos\PE010143.JPG" TargetMode="External"/><Relationship Id="rId1078" Type="http://schemas.openxmlformats.org/officeDocument/2006/relationships/hyperlink" Target="Photos\PE010144.JPG" TargetMode="External"/><Relationship Id="rId1079" Type="http://schemas.openxmlformats.org/officeDocument/2006/relationships/hyperlink" Target="Photos\PE010145.JPG" TargetMode="External"/><Relationship Id="rId1080" Type="http://schemas.openxmlformats.org/officeDocument/2006/relationships/hyperlink" Target="Photos\PE010146.JPG" TargetMode="External"/><Relationship Id="rId1081" Type="http://schemas.openxmlformats.org/officeDocument/2006/relationships/hyperlink" Target="Photos\PE010147.JPG" TargetMode="External"/><Relationship Id="rId1082" Type="http://schemas.openxmlformats.org/officeDocument/2006/relationships/hyperlink" Target="Photos\PE010148.JPG" TargetMode="External"/><Relationship Id="rId1083" Type="http://schemas.openxmlformats.org/officeDocument/2006/relationships/hyperlink" Target="Photos\PE010149.JPG" TargetMode="External"/><Relationship Id="rId1084" Type="http://schemas.openxmlformats.org/officeDocument/2006/relationships/hyperlink" Target="Photos\PE010150.JPG" TargetMode="External"/><Relationship Id="rId1085" Type="http://schemas.openxmlformats.org/officeDocument/2006/relationships/hyperlink" Target="Photos\PE010151.JPG" TargetMode="External"/><Relationship Id="rId1086" Type="http://schemas.openxmlformats.org/officeDocument/2006/relationships/hyperlink" Target="Photos\PE010152.JPG" TargetMode="External"/><Relationship Id="rId1087" Type="http://schemas.openxmlformats.org/officeDocument/2006/relationships/hyperlink" Target="Photos\PE010153.JPG" TargetMode="External"/><Relationship Id="rId1088" Type="http://schemas.openxmlformats.org/officeDocument/2006/relationships/hyperlink" Target="Photos\PE010154.JPG" TargetMode="External"/><Relationship Id="rId1089" Type="http://schemas.openxmlformats.org/officeDocument/2006/relationships/hyperlink" Target="Photos\PE010155.JPG" TargetMode="External"/><Relationship Id="rId1090" Type="http://schemas.openxmlformats.org/officeDocument/2006/relationships/hyperlink" Target="Photos\PE010156.JPG" TargetMode="External"/><Relationship Id="rId1091" Type="http://schemas.openxmlformats.org/officeDocument/2006/relationships/hyperlink" Target="Photos\PE010157.JPG" TargetMode="External"/><Relationship Id="rId1092" Type="http://schemas.openxmlformats.org/officeDocument/2006/relationships/hyperlink" Target="Photos\PE010158.JPG" TargetMode="External"/><Relationship Id="rId1093" Type="http://schemas.openxmlformats.org/officeDocument/2006/relationships/hyperlink" Target="Photos\PE010159.JPG" TargetMode="External"/><Relationship Id="rId1094" Type="http://schemas.openxmlformats.org/officeDocument/2006/relationships/hyperlink" Target="Photos\PE010160.JPG" TargetMode="External"/><Relationship Id="rId1095" Type="http://schemas.openxmlformats.org/officeDocument/2006/relationships/hyperlink" Target="Photos\PE010161.JPG" TargetMode="External"/><Relationship Id="rId1096" Type="http://schemas.openxmlformats.org/officeDocument/2006/relationships/hyperlink" Target="Photos\PE010162.JPG" TargetMode="External"/><Relationship Id="rId1097" Type="http://schemas.openxmlformats.org/officeDocument/2006/relationships/hyperlink" Target="Photos\PE010163.JPG" TargetMode="External"/><Relationship Id="rId1098" Type="http://schemas.openxmlformats.org/officeDocument/2006/relationships/hyperlink" Target="Photos\PE010164.JPG" TargetMode="External"/><Relationship Id="rId1099" Type="http://schemas.openxmlformats.org/officeDocument/2006/relationships/hyperlink" Target="Photos\PE010165.JPG" TargetMode="External"/><Relationship Id="rId1100" Type="http://schemas.openxmlformats.org/officeDocument/2006/relationships/hyperlink" Target="Photos\PE010166.JPG" TargetMode="External"/><Relationship Id="rId1101" Type="http://schemas.openxmlformats.org/officeDocument/2006/relationships/hyperlink" Target="Photos\PE010167.JPG" TargetMode="External"/><Relationship Id="rId1102" Type="http://schemas.openxmlformats.org/officeDocument/2006/relationships/hyperlink" Target="Photos\PE010168.JPG" TargetMode="External"/><Relationship Id="rId1103" Type="http://schemas.openxmlformats.org/officeDocument/2006/relationships/hyperlink" Target="Photos\PE010166.JPG" TargetMode="External"/><Relationship Id="rId1104" Type="http://schemas.openxmlformats.org/officeDocument/2006/relationships/hyperlink" Target="Photos\PE010167.JPG" TargetMode="External"/><Relationship Id="rId1105" Type="http://schemas.openxmlformats.org/officeDocument/2006/relationships/hyperlink" Target="Photos\PE010169.JPG" TargetMode="External"/><Relationship Id="rId1106" Type="http://schemas.openxmlformats.org/officeDocument/2006/relationships/hyperlink" Target="Photos\PE010170.JPG" TargetMode="External"/><Relationship Id="rId1107" Type="http://schemas.openxmlformats.org/officeDocument/2006/relationships/hyperlink" Target="Photos\PE010171.JPG" TargetMode="External"/><Relationship Id="rId1108" Type="http://schemas.openxmlformats.org/officeDocument/2006/relationships/hyperlink" Target="Photos\PE010172.JPG" TargetMode="External"/><Relationship Id="rId1109" Type="http://schemas.openxmlformats.org/officeDocument/2006/relationships/hyperlink" Target="Photos\PE010173.JPG" TargetMode="External"/><Relationship Id="rId1110" Type="http://schemas.openxmlformats.org/officeDocument/2006/relationships/hyperlink" Target="Photos\PE010174.JPG" TargetMode="External"/><Relationship Id="rId1111" Type="http://schemas.openxmlformats.org/officeDocument/2006/relationships/hyperlink" Target="Photos\PE010175.JPG" TargetMode="External"/><Relationship Id="rId1112" Type="http://schemas.openxmlformats.org/officeDocument/2006/relationships/hyperlink" Target="Photos\PE010176.JPG" TargetMode="External"/><Relationship Id="rId1113" Type="http://schemas.openxmlformats.org/officeDocument/2006/relationships/hyperlink" Target="Photos\PE010177.JPG" TargetMode="External"/><Relationship Id="rId1114" Type="http://schemas.openxmlformats.org/officeDocument/2006/relationships/hyperlink" Target="Photos\PE010178.JPG" TargetMode="External"/><Relationship Id="rId1115" Type="http://schemas.openxmlformats.org/officeDocument/2006/relationships/hyperlink" Target="Photos\PE010179.JPG" TargetMode="External"/><Relationship Id="rId1116" Type="http://schemas.openxmlformats.org/officeDocument/2006/relationships/hyperlink" Target="Photos\PE010180.JPG" TargetMode="External"/><Relationship Id="rId1117" Type="http://schemas.openxmlformats.org/officeDocument/2006/relationships/hyperlink" Target="Photos\PE010179.JPG" TargetMode="External"/><Relationship Id="rId1118" Type="http://schemas.openxmlformats.org/officeDocument/2006/relationships/hyperlink" Target="Photos\PE010181.JPG" TargetMode="External"/><Relationship Id="rId1119" Type="http://schemas.openxmlformats.org/officeDocument/2006/relationships/hyperlink" Target="Photos\PE010182.JPG" TargetMode="External"/><Relationship Id="rId1120" Type="http://schemas.openxmlformats.org/officeDocument/2006/relationships/hyperlink" Target="Photos\PE010183.JPG" TargetMode="External"/><Relationship Id="rId1121" Type="http://schemas.openxmlformats.org/officeDocument/2006/relationships/hyperlink" Target="Photos\PE010184.JPG" TargetMode="External"/><Relationship Id="rId1122" Type="http://schemas.openxmlformats.org/officeDocument/2006/relationships/hyperlink" Target="Photos\PE010185.JPG" TargetMode="External"/><Relationship Id="rId1123" Type="http://schemas.openxmlformats.org/officeDocument/2006/relationships/hyperlink" Target="Photos\PE010186.JPG" TargetMode="External"/><Relationship Id="rId1124" Type="http://schemas.openxmlformats.org/officeDocument/2006/relationships/hyperlink" Target="Photos\PE010187.JPG" TargetMode="External"/><Relationship Id="rId1125" Type="http://schemas.openxmlformats.org/officeDocument/2006/relationships/hyperlink" Target="Photos\PE010188.JPG" TargetMode="External"/><Relationship Id="rId1126" Type="http://schemas.openxmlformats.org/officeDocument/2006/relationships/hyperlink" Target="Photos\PE010189.JPG" TargetMode="External"/><Relationship Id="rId1127" Type="http://schemas.openxmlformats.org/officeDocument/2006/relationships/hyperlink" Target="Photos\PE010190.JPG" TargetMode="External"/><Relationship Id="rId1128" Type="http://schemas.openxmlformats.org/officeDocument/2006/relationships/hyperlink" Target="Photos\PE010191.JPG" TargetMode="External"/><Relationship Id="rId1129" Type="http://schemas.openxmlformats.org/officeDocument/2006/relationships/hyperlink" Target="Photos\PE010191.JPG" TargetMode="External"/><Relationship Id="rId1130" Type="http://schemas.openxmlformats.org/officeDocument/2006/relationships/hyperlink" Target="Photos\PE010192.JPG" TargetMode="External"/><Relationship Id="rId1131" Type="http://schemas.openxmlformats.org/officeDocument/2006/relationships/hyperlink" Target="Photos\PE010193.JPG" TargetMode="External"/><Relationship Id="rId1132" Type="http://schemas.openxmlformats.org/officeDocument/2006/relationships/hyperlink" Target="Photos\PE010193.JPG" TargetMode="External"/><Relationship Id="rId1133" Type="http://schemas.openxmlformats.org/officeDocument/2006/relationships/hyperlink" Target="Photos\PE010192.JPG" TargetMode="External"/><Relationship Id="rId1134" Type="http://schemas.openxmlformats.org/officeDocument/2006/relationships/hyperlink" Target="Photos\PE010194.JPG" TargetMode="External"/><Relationship Id="rId1135" Type="http://schemas.openxmlformats.org/officeDocument/2006/relationships/hyperlink" Target="Photos\PE010192.JPG" TargetMode="External"/><Relationship Id="rId1136" Type="http://schemas.openxmlformats.org/officeDocument/2006/relationships/hyperlink" Target="Photos\PE010195.JPG" TargetMode="External"/><Relationship Id="rId1137" Type="http://schemas.openxmlformats.org/officeDocument/2006/relationships/hyperlink" Target="Photos\PE010195.JPG" TargetMode="External"/><Relationship Id="rId1138" Type="http://schemas.openxmlformats.org/officeDocument/2006/relationships/hyperlink" Target="Photos\PE010196.JPG" TargetMode="External"/><Relationship Id="rId1139" Type="http://schemas.openxmlformats.org/officeDocument/2006/relationships/hyperlink" Target="Photos\PE010197.JPG" TargetMode="External"/><Relationship Id="rId1140" Type="http://schemas.openxmlformats.org/officeDocument/2006/relationships/hyperlink" Target="Photos\PE010198.JPG" TargetMode="External"/><Relationship Id="rId1141" Type="http://schemas.openxmlformats.org/officeDocument/2006/relationships/hyperlink" Target="Photos\PE010197.JPG" TargetMode="External"/><Relationship Id="rId1142" Type="http://schemas.openxmlformats.org/officeDocument/2006/relationships/hyperlink" Target="Photos\PE010199.JPG" TargetMode="External"/><Relationship Id="rId1143" Type="http://schemas.openxmlformats.org/officeDocument/2006/relationships/hyperlink" Target="Photos\PE010200.JPG" TargetMode="External"/><Relationship Id="rId1144" Type="http://schemas.openxmlformats.org/officeDocument/2006/relationships/hyperlink" Target="Photos\PE010197.JPG" TargetMode="External"/><Relationship Id="rId1145" Type="http://schemas.openxmlformats.org/officeDocument/2006/relationships/hyperlink" Target="Photos\PE010201.JPG" TargetMode="External"/><Relationship Id="rId1146" Type="http://schemas.openxmlformats.org/officeDocument/2006/relationships/hyperlink" Target="Photos\PE010201A.JPG" TargetMode="External"/><Relationship Id="rId1147" Type="http://schemas.openxmlformats.org/officeDocument/2006/relationships/hyperlink" Target="Photos\PE010202.JPG" TargetMode="External"/><Relationship Id="rId1148" Type="http://schemas.openxmlformats.org/officeDocument/2006/relationships/hyperlink" Target="Photos\PE010203.JPG" TargetMode="External"/><Relationship Id="rId1149" Type="http://schemas.openxmlformats.org/officeDocument/2006/relationships/hyperlink" Target="Photos\PE010204.JPG" TargetMode="External"/><Relationship Id="rId1150" Type="http://schemas.openxmlformats.org/officeDocument/2006/relationships/hyperlink" Target="Photos\PE010205.JPG" TargetMode="External"/><Relationship Id="rId1151" Type="http://schemas.openxmlformats.org/officeDocument/2006/relationships/hyperlink" Target="Photos\PE010195.JPG" TargetMode="External"/><Relationship Id="rId1152" Type="http://schemas.openxmlformats.org/officeDocument/2006/relationships/hyperlink" Target="Photos\PE010206.JPG" TargetMode="External"/><Relationship Id="rId1153" Type="http://schemas.openxmlformats.org/officeDocument/2006/relationships/hyperlink" Target="Photos\PE010206.JPG" TargetMode="External"/><Relationship Id="rId1154" Type="http://schemas.openxmlformats.org/officeDocument/2006/relationships/hyperlink" Target="Photos\PE010207.JPG" TargetMode="External"/><Relationship Id="rId1155" Type="http://schemas.openxmlformats.org/officeDocument/2006/relationships/hyperlink" Target="Photos\PE010208.JPG" TargetMode="External"/><Relationship Id="rId1156" Type="http://schemas.openxmlformats.org/officeDocument/2006/relationships/hyperlink" Target="Photos\PE010209.JPG" TargetMode="External"/><Relationship Id="rId1157" Type="http://schemas.openxmlformats.org/officeDocument/2006/relationships/hyperlink" Target="Photos\PE010210.JPG" TargetMode="External"/><Relationship Id="rId1158" Type="http://schemas.openxmlformats.org/officeDocument/2006/relationships/hyperlink" Target="Photos\PE010211.JPG" TargetMode="External"/><Relationship Id="rId1159" Type="http://schemas.openxmlformats.org/officeDocument/2006/relationships/hyperlink" Target="Photos\PE010212.JPG" TargetMode="External"/><Relationship Id="rId1160" Type="http://schemas.openxmlformats.org/officeDocument/2006/relationships/hyperlink" Target="Photos\PE010213.JPG" TargetMode="External"/><Relationship Id="rId1161" Type="http://schemas.openxmlformats.org/officeDocument/2006/relationships/hyperlink" Target="Photos\PE010214.JPG" TargetMode="External"/><Relationship Id="rId1162" Type="http://schemas.openxmlformats.org/officeDocument/2006/relationships/hyperlink" Target="Photos\PE010215.JPG" TargetMode="External"/><Relationship Id="rId1163" Type="http://schemas.openxmlformats.org/officeDocument/2006/relationships/hyperlink" Target="Photos\PE010216.JPG" TargetMode="External"/><Relationship Id="rId1164" Type="http://schemas.openxmlformats.org/officeDocument/2006/relationships/hyperlink" Target="Photos\PE010217.JPG" TargetMode="External"/><Relationship Id="rId1165" Type="http://schemas.openxmlformats.org/officeDocument/2006/relationships/hyperlink" Target="Photos\PE010218.JPG" TargetMode="External"/><Relationship Id="rId1166" Type="http://schemas.openxmlformats.org/officeDocument/2006/relationships/hyperlink" Target="Photos\PE010219.JPG" TargetMode="External"/><Relationship Id="rId1167" Type="http://schemas.openxmlformats.org/officeDocument/2006/relationships/hyperlink" Target="Photos\PE010220.JPG" TargetMode="External"/><Relationship Id="rId1168" Type="http://schemas.openxmlformats.org/officeDocument/2006/relationships/hyperlink" Target="Photos\PE010221.JPG" TargetMode="External"/><Relationship Id="rId1169" Type="http://schemas.openxmlformats.org/officeDocument/2006/relationships/hyperlink" Target="Photos\PE010222.JPG" TargetMode="External"/><Relationship Id="rId1170" Type="http://schemas.openxmlformats.org/officeDocument/2006/relationships/hyperlink" Target="Photos\PE010223.JPG" TargetMode="External"/><Relationship Id="rId1171" Type="http://schemas.openxmlformats.org/officeDocument/2006/relationships/hyperlink" Target="Photos\PD030187.JPG" TargetMode="External"/><Relationship Id="rId1172" Type="http://schemas.openxmlformats.org/officeDocument/2006/relationships/hyperlink" Target="Photos\PD030188.JPG" TargetMode="External"/><Relationship Id="rId1173" Type="http://schemas.openxmlformats.org/officeDocument/2006/relationships/hyperlink" Target="Photos\PD020112.JPG" TargetMode="External"/><Relationship Id="rId1174" Type="http://schemas.openxmlformats.org/officeDocument/2006/relationships/hyperlink" Target="Photos\PD030212.JPG" TargetMode="External"/><Relationship Id="rId1175" Type="http://schemas.openxmlformats.org/officeDocument/2006/relationships/hyperlink" Target="Photos\PD030213.JPG" TargetMode="External"/><Relationship Id="rId1176" Type="http://schemas.openxmlformats.org/officeDocument/2006/relationships/hyperlink" Target="Photos\PD020113.JPG" TargetMode="External"/><Relationship Id="rId1177" Type="http://schemas.openxmlformats.org/officeDocument/2006/relationships/hyperlink" Target="Photos\PD020114.JPG" TargetMode="External"/><Relationship Id="rId1178" Type="http://schemas.openxmlformats.org/officeDocument/2006/relationships/hyperlink" Target="Photos\P2060242.JPG" TargetMode="External"/><Relationship Id="rId1179" Type="http://schemas.openxmlformats.org/officeDocument/2006/relationships/hyperlink" Target="Photos\PF010001.JPG" TargetMode="External"/><Relationship Id="rId1180" Type="http://schemas.openxmlformats.org/officeDocument/2006/relationships/hyperlink" Target="Photos\PF010002.JPG" TargetMode="External"/><Relationship Id="rId1181" Type="http://schemas.openxmlformats.org/officeDocument/2006/relationships/hyperlink" Target="Photos\PF010003.JPG" TargetMode="External"/><Relationship Id="rId1182" Type="http://schemas.openxmlformats.org/officeDocument/2006/relationships/hyperlink" Target="Photos\PF010004.JPG" TargetMode="External"/><Relationship Id="rId1183" Type="http://schemas.openxmlformats.org/officeDocument/2006/relationships/hyperlink" Target="Photos\PF010005.JPG" TargetMode="External"/><Relationship Id="rId1184" Type="http://schemas.openxmlformats.org/officeDocument/2006/relationships/hyperlink" Target="Photos\PF010006.JPG" TargetMode="External"/><Relationship Id="rId1185" Type="http://schemas.openxmlformats.org/officeDocument/2006/relationships/hyperlink" Target="Photos\PF010007.JPG" TargetMode="External"/><Relationship Id="rId1186" Type="http://schemas.openxmlformats.org/officeDocument/2006/relationships/hyperlink" Target="Photos\PF010008.JPG" TargetMode="External"/><Relationship Id="rId1187" Type="http://schemas.openxmlformats.org/officeDocument/2006/relationships/hyperlink" Target="Photos\PF010009.JPG" TargetMode="External"/><Relationship Id="rId1188" Type="http://schemas.openxmlformats.org/officeDocument/2006/relationships/hyperlink" Target="Photos\PF010010.JPG" TargetMode="External"/><Relationship Id="rId1189" Type="http://schemas.openxmlformats.org/officeDocument/2006/relationships/hyperlink" Target="Photos\PF010011.JPG" TargetMode="External"/><Relationship Id="rId1190" Type="http://schemas.openxmlformats.org/officeDocument/2006/relationships/hyperlink" Target="Photos\PF010012.JPG" TargetMode="External"/><Relationship Id="rId1191" Type="http://schemas.openxmlformats.org/officeDocument/2006/relationships/hyperlink" Target="Photos\PF010013.JPG" TargetMode="External"/><Relationship Id="rId1192" Type="http://schemas.openxmlformats.org/officeDocument/2006/relationships/hyperlink" Target="Photos\PF010014.JPG" TargetMode="External"/><Relationship Id="rId1193" Type="http://schemas.openxmlformats.org/officeDocument/2006/relationships/hyperlink" Target="Photos\PF010015.JPG" TargetMode="External"/><Relationship Id="rId1194" Type="http://schemas.openxmlformats.org/officeDocument/2006/relationships/hyperlink" Target="Photos\PF010016.JPG" TargetMode="External"/><Relationship Id="rId1195" Type="http://schemas.openxmlformats.org/officeDocument/2006/relationships/hyperlink" Target="Photos\PF010017.JPG" TargetMode="External"/><Relationship Id="rId1196" Type="http://schemas.openxmlformats.org/officeDocument/2006/relationships/hyperlink" Target="Photos\PF010018.JPG" TargetMode="External"/><Relationship Id="rId1197" Type="http://schemas.openxmlformats.org/officeDocument/2006/relationships/hyperlink" Target="Photos\PF010019.JPG" TargetMode="External"/><Relationship Id="rId1198" Type="http://schemas.openxmlformats.org/officeDocument/2006/relationships/hyperlink" Target="Photos\PF010020.JPG" TargetMode="External"/><Relationship Id="rId1199" Type="http://schemas.openxmlformats.org/officeDocument/2006/relationships/hyperlink" Target="Photos\PF010021.JPG" TargetMode="External"/><Relationship Id="rId1200" Type="http://schemas.openxmlformats.org/officeDocument/2006/relationships/hyperlink" Target="Photos\PF010022.JPG" TargetMode="External"/><Relationship Id="rId1201" Type="http://schemas.openxmlformats.org/officeDocument/2006/relationships/hyperlink" Target="Photos\PF010023.JPG" TargetMode="External"/><Relationship Id="rId1202" Type="http://schemas.openxmlformats.org/officeDocument/2006/relationships/hyperlink" Target="Photos\PF010024.JPG" TargetMode="External"/><Relationship Id="rId1203" Type="http://schemas.openxmlformats.org/officeDocument/2006/relationships/hyperlink" Target="Photos\PF010025.JPG" TargetMode="External"/><Relationship Id="rId1204" Type="http://schemas.openxmlformats.org/officeDocument/2006/relationships/hyperlink" Target="Photos\PF010026.JPG" TargetMode="External"/><Relationship Id="rId1205" Type="http://schemas.openxmlformats.org/officeDocument/2006/relationships/hyperlink" Target="Photos\PF010027.JPG" TargetMode="External"/><Relationship Id="rId1206" Type="http://schemas.openxmlformats.org/officeDocument/2006/relationships/hyperlink" Target="Photos\PF010028.JPG" TargetMode="External"/><Relationship Id="rId1207" Type="http://schemas.openxmlformats.org/officeDocument/2006/relationships/hyperlink" Target="Photos\PF010029.JPG" TargetMode="External"/><Relationship Id="rId1208" Type="http://schemas.openxmlformats.org/officeDocument/2006/relationships/hyperlink" Target="Photos\PF010030.JPG" TargetMode="External"/><Relationship Id="rId1209" Type="http://schemas.openxmlformats.org/officeDocument/2006/relationships/hyperlink" Target="Photos\PF010031.JPG" TargetMode="External"/><Relationship Id="rId1210" Type="http://schemas.openxmlformats.org/officeDocument/2006/relationships/hyperlink" Target="Photos\PF010032.JPG" TargetMode="External"/><Relationship Id="rId1211" Type="http://schemas.openxmlformats.org/officeDocument/2006/relationships/hyperlink" Target="Photos\PF010033.JPG" TargetMode="External"/><Relationship Id="rId1212" Type="http://schemas.openxmlformats.org/officeDocument/2006/relationships/hyperlink" Target="Photos\PF010034.JPG" TargetMode="External"/><Relationship Id="rId1213" Type="http://schemas.openxmlformats.org/officeDocument/2006/relationships/hyperlink" Target="Photos\PF010035.JPG" TargetMode="External"/><Relationship Id="rId1214" Type="http://schemas.openxmlformats.org/officeDocument/2006/relationships/hyperlink" Target="Photos\PF010036.JPG" TargetMode="External"/><Relationship Id="rId1215" Type="http://schemas.openxmlformats.org/officeDocument/2006/relationships/hyperlink" Target="Photos\PF010037.JPG" TargetMode="External"/><Relationship Id="rId1216" Type="http://schemas.openxmlformats.org/officeDocument/2006/relationships/hyperlink" Target="Photos\PF010038.JPG" TargetMode="External"/><Relationship Id="rId1217" Type="http://schemas.openxmlformats.org/officeDocument/2006/relationships/hyperlink" Target="Photos\PF010039.JPG" TargetMode="External"/><Relationship Id="rId1218" Type="http://schemas.openxmlformats.org/officeDocument/2006/relationships/hyperlink" Target="Photos\PF010040.JPG" TargetMode="External"/><Relationship Id="rId1219" Type="http://schemas.openxmlformats.org/officeDocument/2006/relationships/hyperlink" Target="Photos\PF010041.JPG" TargetMode="External"/><Relationship Id="rId1220" Type="http://schemas.openxmlformats.org/officeDocument/2006/relationships/hyperlink" Target="Photos\PF010042.JPG" TargetMode="External"/><Relationship Id="rId1221" Type="http://schemas.openxmlformats.org/officeDocument/2006/relationships/hyperlink" Target="Photos\PF010043.JPG" TargetMode="External"/><Relationship Id="rId1222" Type="http://schemas.openxmlformats.org/officeDocument/2006/relationships/hyperlink" Target="Photos\PF010044.JPG" TargetMode="External"/><Relationship Id="rId1223" Type="http://schemas.openxmlformats.org/officeDocument/2006/relationships/hyperlink" Target="Photos\PF010045.JPG" TargetMode="External"/><Relationship Id="rId1224" Type="http://schemas.openxmlformats.org/officeDocument/2006/relationships/hyperlink" Target="Photos\PF010046.JPG" TargetMode="External"/><Relationship Id="rId1225" Type="http://schemas.openxmlformats.org/officeDocument/2006/relationships/hyperlink" Target="Photos\PF010047.JPG" TargetMode="External"/><Relationship Id="rId1226" Type="http://schemas.openxmlformats.org/officeDocument/2006/relationships/hyperlink" Target="Photos\PF010048.JPG" TargetMode="External"/><Relationship Id="rId1227" Type="http://schemas.openxmlformats.org/officeDocument/2006/relationships/hyperlink" Target="Photos\PF010049.JPG" TargetMode="External"/><Relationship Id="rId1228" Type="http://schemas.openxmlformats.org/officeDocument/2006/relationships/hyperlink" Target="Photos\PF010050.JPG" TargetMode="External"/><Relationship Id="rId1229" Type="http://schemas.openxmlformats.org/officeDocument/2006/relationships/hyperlink" Target="Photos\PF010051.JPG" TargetMode="External"/><Relationship Id="rId1230" Type="http://schemas.openxmlformats.org/officeDocument/2006/relationships/hyperlink" Target="Photos\PF010052.JPG" TargetMode="External"/><Relationship Id="rId1231" Type="http://schemas.openxmlformats.org/officeDocument/2006/relationships/hyperlink" Target="Photos\PF010053.JPG" TargetMode="External"/><Relationship Id="rId1232" Type="http://schemas.openxmlformats.org/officeDocument/2006/relationships/hyperlink" Target="Photos\PF010054.JPG" TargetMode="External"/><Relationship Id="rId1233" Type="http://schemas.openxmlformats.org/officeDocument/2006/relationships/hyperlink" Target="Photos\PF010055.JPG" TargetMode="External"/><Relationship Id="rId1234" Type="http://schemas.openxmlformats.org/officeDocument/2006/relationships/hyperlink" Target="Photos\PF010056.JPG" TargetMode="External"/><Relationship Id="rId1235" Type="http://schemas.openxmlformats.org/officeDocument/2006/relationships/hyperlink" Target="Photos\PF010057.JPG" TargetMode="External"/><Relationship Id="rId1236" Type="http://schemas.openxmlformats.org/officeDocument/2006/relationships/hyperlink" Target="Photos\PF010058.JPG" TargetMode="External"/><Relationship Id="rId1237" Type="http://schemas.openxmlformats.org/officeDocument/2006/relationships/hyperlink" Target="Photos\PF010059.JPG" TargetMode="External"/><Relationship Id="rId1238" Type="http://schemas.openxmlformats.org/officeDocument/2006/relationships/hyperlink" Target="Photos\PF010060.JPG" TargetMode="External"/><Relationship Id="rId1239" Type="http://schemas.openxmlformats.org/officeDocument/2006/relationships/hyperlink" Target="Photos\PF010061.JPG" TargetMode="External"/><Relationship Id="rId1240" Type="http://schemas.openxmlformats.org/officeDocument/2006/relationships/hyperlink" Target="Photos\PF010062.JPG" TargetMode="External"/><Relationship Id="rId1241" Type="http://schemas.openxmlformats.org/officeDocument/2006/relationships/hyperlink" Target="Photos\PF010063.JPG" TargetMode="External"/><Relationship Id="rId1242" Type="http://schemas.openxmlformats.org/officeDocument/2006/relationships/hyperlink" Target="Photos\PF010064.JPG" TargetMode="External"/><Relationship Id="rId1243" Type="http://schemas.openxmlformats.org/officeDocument/2006/relationships/hyperlink" Target="Photos\PF010065.JPG" TargetMode="External"/><Relationship Id="rId1244" Type="http://schemas.openxmlformats.org/officeDocument/2006/relationships/hyperlink" Target="Photos\PF010066.JPG" TargetMode="External"/><Relationship Id="rId1245" Type="http://schemas.openxmlformats.org/officeDocument/2006/relationships/hyperlink" Target="Photos\PF010067.JPG" TargetMode="External"/><Relationship Id="rId1246" Type="http://schemas.openxmlformats.org/officeDocument/2006/relationships/hyperlink" Target="Photos\PF010068.JPG" TargetMode="External"/><Relationship Id="rId1247" Type="http://schemas.openxmlformats.org/officeDocument/2006/relationships/hyperlink" Target="Photos\PF010069.JPG" TargetMode="External"/><Relationship Id="rId1248" Type="http://schemas.openxmlformats.org/officeDocument/2006/relationships/hyperlink" Target="Photos\PF010070.JPG" TargetMode="External"/><Relationship Id="rId1249" Type="http://schemas.openxmlformats.org/officeDocument/2006/relationships/hyperlink" Target="Photos\PF010071.JPG" TargetMode="External"/><Relationship Id="rId1250" Type="http://schemas.openxmlformats.org/officeDocument/2006/relationships/hyperlink" Target="Photos\PF010072.JPG" TargetMode="External"/><Relationship Id="rId1251" Type="http://schemas.openxmlformats.org/officeDocument/2006/relationships/hyperlink" Target="Photos\PF010073.JPG" TargetMode="External"/><Relationship Id="rId1252" Type="http://schemas.openxmlformats.org/officeDocument/2006/relationships/hyperlink" Target="Photos\PF010074.JPG" TargetMode="External"/><Relationship Id="rId1253" Type="http://schemas.openxmlformats.org/officeDocument/2006/relationships/hyperlink" Target="Photos\PF010075.JPG" TargetMode="External"/><Relationship Id="rId1254" Type="http://schemas.openxmlformats.org/officeDocument/2006/relationships/hyperlink" Target="Photos\PF010076.JPG" TargetMode="External"/><Relationship Id="rId1255" Type="http://schemas.openxmlformats.org/officeDocument/2006/relationships/hyperlink" Target="Photos\PG010001.JPG" TargetMode="External"/><Relationship Id="rId1256" Type="http://schemas.openxmlformats.org/officeDocument/2006/relationships/hyperlink" Target="Photos\PG010002.JPG" TargetMode="External"/><Relationship Id="rId1257" Type="http://schemas.openxmlformats.org/officeDocument/2006/relationships/hyperlink" Target="Photos\PG010003.JPG" TargetMode="External"/><Relationship Id="rId1258" Type="http://schemas.openxmlformats.org/officeDocument/2006/relationships/hyperlink" Target="Photos\PG010004.JPG" TargetMode="External"/><Relationship Id="rId1259" Type="http://schemas.openxmlformats.org/officeDocument/2006/relationships/hyperlink" Target="Photos\PG010005.JPG" TargetMode="External"/><Relationship Id="rId1260" Type="http://schemas.openxmlformats.org/officeDocument/2006/relationships/hyperlink" Target="Photos\PG010006.JPG" TargetMode="External"/><Relationship Id="rId1261" Type="http://schemas.openxmlformats.org/officeDocument/2006/relationships/hyperlink" Target="Photos\PG010007.JPG" TargetMode="External"/><Relationship Id="rId1262" Type="http://schemas.openxmlformats.org/officeDocument/2006/relationships/hyperlink" Target="Photos\PG010008.JPG" TargetMode="External"/><Relationship Id="rId1263" Type="http://schemas.openxmlformats.org/officeDocument/2006/relationships/hyperlink" Target="Photos\PG010009.JPG" TargetMode="External"/><Relationship Id="rId1264" Type="http://schemas.openxmlformats.org/officeDocument/2006/relationships/hyperlink" Target="Photos\PG010010.JPG" TargetMode="External"/><Relationship Id="rId1265" Type="http://schemas.openxmlformats.org/officeDocument/2006/relationships/hyperlink" Target="Photos\PG010011.JPG" TargetMode="External"/><Relationship Id="rId1266" Type="http://schemas.openxmlformats.org/officeDocument/2006/relationships/hyperlink" Target="Photos\PG010012.JPG" TargetMode="External"/><Relationship Id="rId1267" Type="http://schemas.openxmlformats.org/officeDocument/2006/relationships/hyperlink" Target="Photos\PG010013.JPG" TargetMode="External"/><Relationship Id="rId1268" Type="http://schemas.openxmlformats.org/officeDocument/2006/relationships/hyperlink" Target="Photos\PG010014.JPG" TargetMode="External"/><Relationship Id="rId1269" Type="http://schemas.openxmlformats.org/officeDocument/2006/relationships/hyperlink" Target="Photos\PG010015.JPG" TargetMode="External"/><Relationship Id="rId1270" Type="http://schemas.openxmlformats.org/officeDocument/2006/relationships/hyperlink" Target="Photos\PG010016.JPG" TargetMode="External"/><Relationship Id="rId1271" Type="http://schemas.openxmlformats.org/officeDocument/2006/relationships/hyperlink" Target="Photos\PG010017.JPG" TargetMode="External"/><Relationship Id="rId1272" Type="http://schemas.openxmlformats.org/officeDocument/2006/relationships/hyperlink" Target="Photos\PG010018.JPG" TargetMode="External"/><Relationship Id="rId1273" Type="http://schemas.openxmlformats.org/officeDocument/2006/relationships/hyperlink" Target="Photos\PG010019.JPG" TargetMode="External"/><Relationship Id="rId1274" Type="http://schemas.openxmlformats.org/officeDocument/2006/relationships/hyperlink" Target="Photos\PG010020.JPG" TargetMode="External"/><Relationship Id="rId1275" Type="http://schemas.openxmlformats.org/officeDocument/2006/relationships/hyperlink" Target="Photos\PG010021.JPG" TargetMode="External"/><Relationship Id="rId1276" Type="http://schemas.openxmlformats.org/officeDocument/2006/relationships/hyperlink" Target="Photos\PG010022.JPG" TargetMode="External"/><Relationship Id="rId1277" Type="http://schemas.openxmlformats.org/officeDocument/2006/relationships/hyperlink" Target="Photos\PG010022A.JPG" TargetMode="External"/><Relationship Id="rId1278" Type="http://schemas.openxmlformats.org/officeDocument/2006/relationships/hyperlink" Target="Photos\PG010023.JPG" TargetMode="External"/><Relationship Id="rId1279" Type="http://schemas.openxmlformats.org/officeDocument/2006/relationships/hyperlink" Target="Photos\PG010024.JPG" TargetMode="External"/><Relationship Id="rId1280" Type="http://schemas.openxmlformats.org/officeDocument/2006/relationships/hyperlink" Target="Photos\PG010025.JPG" TargetMode="External"/><Relationship Id="rId1281" Type="http://schemas.openxmlformats.org/officeDocument/2006/relationships/hyperlink" Target="Photos\PG010026.JPG" TargetMode="External"/><Relationship Id="rId1282" Type="http://schemas.openxmlformats.org/officeDocument/2006/relationships/hyperlink" Target="Photos\PG010027.JPG" TargetMode="External"/><Relationship Id="rId1283" Type="http://schemas.openxmlformats.org/officeDocument/2006/relationships/hyperlink" Target="Photos\PG010028.JPG" TargetMode="External"/><Relationship Id="rId1284" Type="http://schemas.openxmlformats.org/officeDocument/2006/relationships/hyperlink" Target="Photos\PG010029.JPG" TargetMode="External"/><Relationship Id="rId1285" Type="http://schemas.openxmlformats.org/officeDocument/2006/relationships/hyperlink" Target="Photos\PG010030.JPG" TargetMode="External"/><Relationship Id="rId1286" Type="http://schemas.openxmlformats.org/officeDocument/2006/relationships/hyperlink" Target="Photos\PG010031.JPG" TargetMode="External"/><Relationship Id="rId1287" Type="http://schemas.openxmlformats.org/officeDocument/2006/relationships/hyperlink" Target="Photos\PG010032.JPG" TargetMode="External"/><Relationship Id="rId1288" Type="http://schemas.openxmlformats.org/officeDocument/2006/relationships/hyperlink" Target="Photos\PG010033.JPG" TargetMode="External"/><Relationship Id="rId1289" Type="http://schemas.openxmlformats.org/officeDocument/2006/relationships/hyperlink" Target="Photos\PG010034.JPG" TargetMode="External"/><Relationship Id="rId1290" Type="http://schemas.openxmlformats.org/officeDocument/2006/relationships/hyperlink" Target="Photos\PG010035.JPG" TargetMode="External"/><Relationship Id="rId1291" Type="http://schemas.openxmlformats.org/officeDocument/2006/relationships/hyperlink" Target="Photos\PG010036.JPG" TargetMode="External"/><Relationship Id="rId1292" Type="http://schemas.openxmlformats.org/officeDocument/2006/relationships/hyperlink" Target="Photos\PG010037.JPG" TargetMode="External"/><Relationship Id="rId1293" Type="http://schemas.openxmlformats.org/officeDocument/2006/relationships/hyperlink" Target="Photos\PG010038.JPG" TargetMode="External"/><Relationship Id="rId1294" Type="http://schemas.openxmlformats.org/officeDocument/2006/relationships/hyperlink" Target="Photos\PG010039.JPG" TargetMode="External"/><Relationship Id="rId1295" Type="http://schemas.openxmlformats.org/officeDocument/2006/relationships/hyperlink" Target="Photos\PG010040.JPG" TargetMode="External"/><Relationship Id="rId1296" Type="http://schemas.openxmlformats.org/officeDocument/2006/relationships/hyperlink" Target="Photos\PG010041.JPG" TargetMode="External"/><Relationship Id="rId1297" Type="http://schemas.openxmlformats.org/officeDocument/2006/relationships/hyperlink" Target="Photos\PG010042.JPG" TargetMode="External"/><Relationship Id="rId1298" Type="http://schemas.openxmlformats.org/officeDocument/2006/relationships/hyperlink" Target="Photos\PG010043.JPG" TargetMode="External"/><Relationship Id="rId1299" Type="http://schemas.openxmlformats.org/officeDocument/2006/relationships/hyperlink" Target="Photos\PG010044.JPG" TargetMode="External"/><Relationship Id="rId1300" Type="http://schemas.openxmlformats.org/officeDocument/2006/relationships/hyperlink" Target="Photos\PG010045.JPG" TargetMode="External"/><Relationship Id="rId1301" Type="http://schemas.openxmlformats.org/officeDocument/2006/relationships/hyperlink" Target="Photos\PG010046.JPG" TargetMode="External"/><Relationship Id="rId1302" Type="http://schemas.openxmlformats.org/officeDocument/2006/relationships/hyperlink" Target="Photos\PG010047.JPG" TargetMode="External"/><Relationship Id="rId1303" Type="http://schemas.openxmlformats.org/officeDocument/2006/relationships/hyperlink" Target="Photos\PG010048.JPG" TargetMode="External"/><Relationship Id="rId1304" Type="http://schemas.openxmlformats.org/officeDocument/2006/relationships/hyperlink" Target="Photos\PG010049.JPG" TargetMode="External"/><Relationship Id="rId1305" Type="http://schemas.openxmlformats.org/officeDocument/2006/relationships/hyperlink" Target="Photos\PG010050.JPG" TargetMode="External"/><Relationship Id="rId1306" Type="http://schemas.openxmlformats.org/officeDocument/2006/relationships/hyperlink" Target="Photos\PG010051.JPG" TargetMode="External"/><Relationship Id="rId1307" Type="http://schemas.openxmlformats.org/officeDocument/2006/relationships/hyperlink" Target="Photos\PG010052.JPG" TargetMode="External"/><Relationship Id="rId1308" Type="http://schemas.openxmlformats.org/officeDocument/2006/relationships/hyperlink" Target="Photos\PG010053.JPG" TargetMode="External"/><Relationship Id="rId1309" Type="http://schemas.openxmlformats.org/officeDocument/2006/relationships/hyperlink" Target="Photos\PG010054.JPG" TargetMode="External"/><Relationship Id="rId1310" Type="http://schemas.openxmlformats.org/officeDocument/2006/relationships/hyperlink" Target="Photos\PG010055.JPG" TargetMode="External"/><Relationship Id="rId1311" Type="http://schemas.openxmlformats.org/officeDocument/2006/relationships/hyperlink" Target="Photos\PG010056.JPG" TargetMode="External"/><Relationship Id="rId1312" Type="http://schemas.openxmlformats.org/officeDocument/2006/relationships/hyperlink" Target="Photos\PG010057.JPG" TargetMode="External"/><Relationship Id="rId1313" Type="http://schemas.openxmlformats.org/officeDocument/2006/relationships/hyperlink" Target="Photos\PG010058.JPG" TargetMode="External"/><Relationship Id="rId1314" Type="http://schemas.openxmlformats.org/officeDocument/2006/relationships/hyperlink" Target="Photos\PG010059.JPG" TargetMode="External"/><Relationship Id="rId1315" Type="http://schemas.openxmlformats.org/officeDocument/2006/relationships/hyperlink" Target="Photos\PG010060.JPG" TargetMode="External"/><Relationship Id="rId1316" Type="http://schemas.openxmlformats.org/officeDocument/2006/relationships/hyperlink" Target="Photos\PG010061.JPG" TargetMode="External"/><Relationship Id="rId1317" Type="http://schemas.openxmlformats.org/officeDocument/2006/relationships/hyperlink" Target="Photos\PG010062.JPG" TargetMode="External"/><Relationship Id="rId1318" Type="http://schemas.openxmlformats.org/officeDocument/2006/relationships/hyperlink" Target="Photos\PG010063.JPG" TargetMode="External"/><Relationship Id="rId1319" Type="http://schemas.openxmlformats.org/officeDocument/2006/relationships/hyperlink" Target="Photos\PG010064.JPG" TargetMode="External"/><Relationship Id="rId1320" Type="http://schemas.openxmlformats.org/officeDocument/2006/relationships/hyperlink" Target="Photos\PG010065.JPG" TargetMode="External"/><Relationship Id="rId1321" Type="http://schemas.openxmlformats.org/officeDocument/2006/relationships/hyperlink" Target="Photos\PG010066.JPG" TargetMode="External"/><Relationship Id="rId1322" Type="http://schemas.openxmlformats.org/officeDocument/2006/relationships/hyperlink" Target="Photos\PG010067.JPG" TargetMode="External"/><Relationship Id="rId1323" Type="http://schemas.openxmlformats.org/officeDocument/2006/relationships/hyperlink" Target="Photos\PG010068.JPG" TargetMode="External"/><Relationship Id="rId1324" Type="http://schemas.openxmlformats.org/officeDocument/2006/relationships/hyperlink" Target="Photos\PG010069.JPG" TargetMode="External"/><Relationship Id="rId1325" Type="http://schemas.openxmlformats.org/officeDocument/2006/relationships/hyperlink" Target="Photos\PG010070.JPG" TargetMode="External"/><Relationship Id="rId1326" Type="http://schemas.openxmlformats.org/officeDocument/2006/relationships/hyperlink" Target="Photos\PG010071.JPG" TargetMode="External"/><Relationship Id="rId1327" Type="http://schemas.openxmlformats.org/officeDocument/2006/relationships/hyperlink" Target="Photos\PG010072.JPG" TargetMode="External"/><Relationship Id="rId1328" Type="http://schemas.openxmlformats.org/officeDocument/2006/relationships/hyperlink" Target="Photos\PG010073.JPG" TargetMode="External"/><Relationship Id="rId1329" Type="http://schemas.openxmlformats.org/officeDocument/2006/relationships/hyperlink" Target="Photos\PG010074.JPG" TargetMode="External"/><Relationship Id="rId1330" Type="http://schemas.openxmlformats.org/officeDocument/2006/relationships/hyperlink" Target="Photos\PG010075.JPG" TargetMode="External"/><Relationship Id="rId1331" Type="http://schemas.openxmlformats.org/officeDocument/2006/relationships/hyperlink" Target="Photos\PG010076.JPG" TargetMode="External"/><Relationship Id="rId1332" Type="http://schemas.openxmlformats.org/officeDocument/2006/relationships/hyperlink" Target="Photos\PG010077.JPG" TargetMode="External"/><Relationship Id="rId1333" Type="http://schemas.openxmlformats.org/officeDocument/2006/relationships/hyperlink" Target="Photos\PG010078.JPG" TargetMode="External"/><Relationship Id="rId1334" Type="http://schemas.openxmlformats.org/officeDocument/2006/relationships/hyperlink" Target="Photos\PG010079.JPG" TargetMode="External"/><Relationship Id="rId1335" Type="http://schemas.openxmlformats.org/officeDocument/2006/relationships/hyperlink" Target="Photos\PG010088.JPG" TargetMode="External"/><Relationship Id="rId1336" Type="http://schemas.openxmlformats.org/officeDocument/2006/relationships/hyperlink" Target="Photos\PG010080.JPG" TargetMode="External"/><Relationship Id="rId1337" Type="http://schemas.openxmlformats.org/officeDocument/2006/relationships/hyperlink" Target="Photos\PG010081.JPG" TargetMode="External"/><Relationship Id="rId1338" Type="http://schemas.openxmlformats.org/officeDocument/2006/relationships/hyperlink" Target="Photos\PG010082.JPG" TargetMode="External"/><Relationship Id="rId1339" Type="http://schemas.openxmlformats.org/officeDocument/2006/relationships/hyperlink" Target="Photos\PG010083.JPG" TargetMode="External"/><Relationship Id="rId1340" Type="http://schemas.openxmlformats.org/officeDocument/2006/relationships/hyperlink" Target="Photos\PG010084.JPG" TargetMode="External"/><Relationship Id="rId1341" Type="http://schemas.openxmlformats.org/officeDocument/2006/relationships/hyperlink" Target="Photos\PG010085.JPG" TargetMode="External"/><Relationship Id="rId1342" Type="http://schemas.openxmlformats.org/officeDocument/2006/relationships/hyperlink" Target="Photos\PG010086.JPG" TargetMode="External"/><Relationship Id="rId1343" Type="http://schemas.openxmlformats.org/officeDocument/2006/relationships/hyperlink" Target="Photos\PG010087.JPG" TargetMode="External"/><Relationship Id="rId1344" Type="http://schemas.openxmlformats.org/officeDocument/2006/relationships/hyperlink" Target="Photos\PG010089.JPG" TargetMode="External"/><Relationship Id="rId1345" Type="http://schemas.openxmlformats.org/officeDocument/2006/relationships/hyperlink" Target="Photos\PG010090.JPG" TargetMode="External"/><Relationship Id="rId1346" Type="http://schemas.openxmlformats.org/officeDocument/2006/relationships/hyperlink" Target="Photos\PG010091.JPG" TargetMode="External"/><Relationship Id="rId1347" Type="http://schemas.openxmlformats.org/officeDocument/2006/relationships/hyperlink" Target="Photos\PG010092.JPG" TargetMode="External"/><Relationship Id="rId1348" Type="http://schemas.openxmlformats.org/officeDocument/2006/relationships/hyperlink" Target="Photos\PG010093.JPG" TargetMode="External"/><Relationship Id="rId1349" Type="http://schemas.openxmlformats.org/officeDocument/2006/relationships/hyperlink" Target="Photos\PG010094.JPG" TargetMode="External"/><Relationship Id="rId1350" Type="http://schemas.openxmlformats.org/officeDocument/2006/relationships/hyperlink" Target="Photos\PG010095.JPG" TargetMode="External"/><Relationship Id="rId1351" Type="http://schemas.openxmlformats.org/officeDocument/2006/relationships/hyperlink" Target="Photos\PG010096.JPG" TargetMode="External"/><Relationship Id="rId1352" Type="http://schemas.openxmlformats.org/officeDocument/2006/relationships/hyperlink" Target="Photos\PG010097.JPG" TargetMode="External"/><Relationship Id="rId1353" Type="http://schemas.openxmlformats.org/officeDocument/2006/relationships/hyperlink" Target="Photos\PG010098.JP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oyrarities.com/blogs/wikitoys/toy-makers-a-z" TargetMode="External"/></Relationships>
</file>

<file path=xl/worksheets/sheet1.xml><?xml version="1.0" encoding="utf-8"?>
<worksheet xmlns="http://schemas.openxmlformats.org/spreadsheetml/2006/main" xmlns:r="http://schemas.openxmlformats.org/officeDocument/2006/relationships">
  <dimension ref="A1:AC711"/>
  <sheetViews>
    <sheetView workbookViewId="0" rightToLeft="0"/>
  </sheetViews>
  <sheetData>
    <row r="1">
      <c r="A1" t="str">
        <v>No.</v>
      </c>
      <c r="B1" t="str">
        <v>Name (italic when unknown formal name)</v>
      </c>
      <c r="C1" t="str">
        <v>Model</v>
      </c>
      <c r="D1" t="str">
        <v>Type of toy</v>
      </c>
      <c r="E1" t="str">
        <v>Topic</v>
      </c>
      <c r="F1" t="str">
        <v>Description</v>
      </c>
      <c r="G1" t="str">
        <v>Mechanism</v>
      </c>
      <c r="H1" t="str">
        <v>Description of movement (italic when to be confirmed)</v>
      </c>
      <c r="I1" t="str">
        <v xml:space="preserve">Materials used </v>
      </c>
      <c r="J1" t="str">
        <v>Dimensions (LxWxH) cm</v>
      </c>
      <c r="K1" t="str">
        <v>Trademark</v>
      </c>
      <c r="L1" t="str">
        <v>Toy Condition</v>
      </c>
      <c r="M1" t="str">
        <v>1st Year of Manufacture</v>
      </c>
      <c r="N1" t="str">
        <v>Last year of manufacture</v>
      </c>
      <c r="O1" t="str">
        <v>Box (Description, condition)</v>
      </c>
      <c r="P1" t="str">
        <v>Cost</v>
      </c>
      <c r="Q1" t="str">
        <v>Date of purchase</v>
      </c>
      <c r="R1" t="str">
        <v>Source of purchase</v>
      </c>
      <c r="S1" t="str">
        <v>Value (date)</v>
      </c>
      <c r="T1" t="str">
        <v>Books (pages)</v>
      </c>
      <c r="U1" t="str">
        <v>Research (patent no., background, scarcity)</v>
      </c>
      <c r="V1" t="str">
        <v>Obs.</v>
      </c>
      <c r="W1" t="str">
        <v>Photo</v>
      </c>
      <c r="X1" t="str">
        <v>Photo</v>
      </c>
      <c r="Y1" t="str">
        <v>Photo</v>
      </c>
      <c r="Z1" t="str">
        <v>Photo</v>
      </c>
    </row>
    <row r="2">
      <c r="A2">
        <v>1</v>
      </c>
      <c r="B2" t="str">
        <v>Smoking and Shoe Shining Panda Bear</v>
      </c>
      <c r="D2" t="str">
        <v>Animals</v>
      </c>
      <c r="E2" t="str">
        <v>Professions/Industrial</v>
      </c>
      <c r="F2" t="str">
        <v>Seated Panda Bear smoking a pipe and holding 2 shoe bruhses</v>
      </c>
      <c r="G2" t="str">
        <v>Battery</v>
      </c>
      <c r="H2" t="str">
        <v>pipe lights, smokes, moves arms and legs to polish its shoes, eyes light</v>
      </c>
      <c r="I2" t="str">
        <v>Tin, plastic and cloth</v>
      </c>
      <c r="J2" t="str">
        <v>16x12x26</v>
      </c>
      <c r="K2" t="str">
        <v>Alps</v>
      </c>
      <c r="L2" t="str">
        <v>Very Good</v>
      </c>
      <c r="M2" t="str">
        <v>1955</v>
      </c>
      <c r="N2" t="str">
        <v>1959</v>
      </c>
      <c r="S2" t="str">
        <v>120 (2024) 420 (2024) w/ box</v>
      </c>
      <c r="T2" t="str">
        <v>17 (49) 35 (162)</v>
      </c>
      <c r="U2" t="str">
        <v xml:space="preserve"> has a second trademark: Fukuda Seisakusho (logo with R.F inside a losangle (see 52(35)) rarity 5/10 desirability 4/6</v>
      </c>
      <c r="W2" t="str">
        <v>PB190383</v>
      </c>
      <c r="X2" t="str">
        <v xml:space="preserve"> PB190384</v>
      </c>
      <c r="Y2" t="str">
        <v xml:space="preserve"> PB190385</v>
      </c>
    </row>
    <row r="3">
      <c r="A3">
        <v>2</v>
      </c>
      <c r="B3" t="str">
        <v>Mother Bear - Sitting and Knitting in her old Rocking Chair</v>
      </c>
      <c r="D3" t="str">
        <v>Animals</v>
      </c>
      <c r="E3" t="str">
        <v>Sports &amp; Leisure</v>
      </c>
      <c r="F3" t="str">
        <v>Bear knitting, seated in a rocking chair</v>
      </c>
      <c r="G3" t="str">
        <v>Battery</v>
      </c>
      <c r="H3" t="str">
        <v>Moves the knitting needles while rocking the chair, eyes light</v>
      </c>
      <c r="I3" t="str">
        <v>Tin, plastic and cloth</v>
      </c>
      <c r="J3" t="str">
        <v>17x11x23</v>
      </c>
      <c r="K3" t="str">
        <v>Modern Toys</v>
      </c>
      <c r="L3" t="str">
        <v>Good</v>
      </c>
      <c r="M3" t="str">
        <v>1959</v>
      </c>
      <c r="N3" t="str">
        <v>1959</v>
      </c>
      <c r="O3" t="str">
        <v>Very Good</v>
      </c>
      <c r="S3" t="str">
        <v>250 (2024) w/ box</v>
      </c>
      <c r="T3" t="str">
        <v>17 (32), 35 (121), 78 (54)</v>
      </c>
      <c r="U3" t="str">
        <v>rarity 4/10 desirability 4/6</v>
      </c>
      <c r="W3" t="str">
        <v>PB200001</v>
      </c>
      <c r="X3" t="str">
        <v>PB200002</v>
      </c>
    </row>
    <row r="4">
      <c r="A4">
        <v>3</v>
      </c>
      <c r="B4" t="str">
        <v>Papa Bear - Reading &amp; Drinking in his old Rocking Chair</v>
      </c>
      <c r="C4" t="str">
        <v>#1925</v>
      </c>
      <c r="D4" t="str">
        <v>Animals</v>
      </c>
      <c r="E4" t="str">
        <v>Sports &amp; Leisure</v>
      </c>
      <c r="F4" t="str">
        <v>Bear reading and drinking, seated in a rocking chair</v>
      </c>
      <c r="G4" t="str">
        <v>Battery</v>
      </c>
      <c r="H4" t="str">
        <v>Raises and lowers arm to drink, moves head to read, seated in a rocking chair, eyes light</v>
      </c>
      <c r="I4" t="str">
        <v>Tin, plastic and cloth</v>
      </c>
      <c r="J4" t="str">
        <v>17x11x25</v>
      </c>
      <c r="K4" t="str">
        <v>Modern Toys</v>
      </c>
      <c r="L4" t="str">
        <v>Good</v>
      </c>
      <c r="M4" t="str">
        <v>1959</v>
      </c>
      <c r="N4" t="str">
        <v>1959</v>
      </c>
      <c r="S4" t="str">
        <v>150 (2024)</v>
      </c>
      <c r="T4" t="str">
        <v>17 (32), 35 (131), 78 (51)</v>
      </c>
      <c r="U4" t="str">
        <v>rarity 6/10 desirability 4/6</v>
      </c>
      <c r="V4" t="str">
        <v>The book is new; book 78 calls it "Father Bear"</v>
      </c>
      <c r="W4" t="str">
        <v>PB200003</v>
      </c>
      <c r="X4" t="str">
        <v xml:space="preserve"> PB200004</v>
      </c>
      <c r="Y4" t="str">
        <v>PB200005</v>
      </c>
    </row>
    <row r="5">
      <c r="A5">
        <v>4</v>
      </c>
      <c r="B5" t="str">
        <v>Telephone Bear</v>
      </c>
      <c r="D5" t="str">
        <v>Animals</v>
      </c>
      <c r="E5" t="str">
        <v>Sports &amp; Leisure</v>
      </c>
      <c r="F5" t="str">
        <v>Bear seated holding an old telephone</v>
      </c>
      <c r="G5" t="str">
        <v>Battery</v>
      </c>
      <c r="H5" t="str">
        <v>Raises and lowers arm to speak on the phone</v>
      </c>
      <c r="I5" t="str">
        <v>Tin and cloth</v>
      </c>
      <c r="J5" t="str">
        <v>17x12x24</v>
      </c>
      <c r="K5" t="str">
        <v>Modern Toys</v>
      </c>
      <c r="L5" t="str">
        <v>Good</v>
      </c>
      <c r="M5" t="str">
        <v>1955</v>
      </c>
      <c r="N5" t="str">
        <v>1959</v>
      </c>
      <c r="S5" t="str">
        <v>150 (2024)</v>
      </c>
      <c r="T5" t="str">
        <v>17 (32), 35 (185)</v>
      </c>
      <c r="U5" t="str">
        <v>rarity 5/10 desirability 4/6</v>
      </c>
      <c r="W5" t="str">
        <v>PB200006</v>
      </c>
      <c r="X5" t="str">
        <v>PB200007</v>
      </c>
      <c r="Y5" t="str">
        <v xml:space="preserve"> PB200008</v>
      </c>
    </row>
    <row r="6">
      <c r="A6">
        <v>5</v>
      </c>
      <c r="B6" t="str">
        <v>Telephone Talking Bear</v>
      </c>
      <c r="D6" t="str">
        <v>Animals</v>
      </c>
      <c r="E6" t="str">
        <v>Sports &amp; Leisure</v>
      </c>
      <c r="F6" t="str">
        <v>Bear seated holding a telephone</v>
      </c>
      <c r="G6" t="str">
        <v>Battery</v>
      </c>
      <c r="H6" t="str">
        <v>Raises and lowers arm to speak on the phone</v>
      </c>
      <c r="I6" t="str">
        <v>Tin and cloth</v>
      </c>
      <c r="J6" t="str">
        <v>14x12x24</v>
      </c>
      <c r="K6" t="str">
        <v>Modern Toys</v>
      </c>
      <c r="L6" t="str">
        <v>Good</v>
      </c>
      <c r="M6" t="str">
        <v>1955</v>
      </c>
      <c r="N6" t="str">
        <v>1959</v>
      </c>
      <c r="S6" t="str">
        <v>150 (2024)</v>
      </c>
      <c r="T6" t="str">
        <v>17 (32), 35 (185)</v>
      </c>
      <c r="U6" t="str">
        <v>rarity 8/10 desirability 4/6</v>
      </c>
      <c r="W6" t="str">
        <v>PB200009</v>
      </c>
      <c r="X6" t="str">
        <v>PB200010</v>
      </c>
      <c r="Y6" t="str">
        <v>PB200011</v>
      </c>
    </row>
    <row r="7">
      <c r="A7">
        <v>6</v>
      </c>
      <c r="B7" t="str">
        <v>Shoe Shine Joe with lighted pipe</v>
      </c>
      <c r="D7" t="str">
        <v>Animals</v>
      </c>
      <c r="E7" t="str">
        <v>Professions/Industrial</v>
      </c>
      <c r="F7" t="str">
        <v>Monkey w/ straw hat seated polishing a red boot</v>
      </c>
      <c r="G7" t="str">
        <v>Battery</v>
      </c>
      <c r="H7" t="str">
        <v>Waves head, lights pipe, polishes boot</v>
      </c>
      <c r="I7" t="str">
        <v>Tin, plastic and cloth</v>
      </c>
      <c r="J7" t="str">
        <v>13x8x23</v>
      </c>
      <c r="K7" t="str">
        <v>Nomura</v>
      </c>
      <c r="L7" t="str">
        <v>Very Good</v>
      </c>
      <c r="M7" t="str">
        <v>1955</v>
      </c>
      <c r="N7" t="str">
        <v>1959</v>
      </c>
      <c r="P7">
        <v>10</v>
      </c>
      <c r="R7" t="str">
        <v>Feira da Ladra</v>
      </c>
      <c r="T7" t="str">
        <v>17 (39), 35 (157)</v>
      </c>
      <c r="U7" t="str">
        <v>there is a variant with a beret rarity 3/10 desirability 3/6</v>
      </c>
      <c r="V7" t="str">
        <v xml:space="preserve">glasses missing </v>
      </c>
      <c r="W7" t="str">
        <v>PB190357</v>
      </c>
      <c r="X7" t="str">
        <v>PB190358</v>
      </c>
      <c r="Y7" t="str">
        <v xml:space="preserve"> PB190359</v>
      </c>
    </row>
    <row r="8">
      <c r="A8">
        <v>7</v>
      </c>
      <c r="B8" t="str">
        <v>Shoeshine Boy</v>
      </c>
      <c r="C8">
        <v>549</v>
      </c>
      <c r="D8" t="str">
        <v>People</v>
      </c>
      <c r="E8" t="str">
        <v>Professions/Industrial</v>
      </c>
      <c r="F8" t="str">
        <v>Kid w/ blue cap polishing black boot</v>
      </c>
      <c r="G8" t="str">
        <v>Clockwork</v>
      </c>
      <c r="H8" t="str">
        <v xml:space="preserve">Waves head and both arms, poshing a boot </v>
      </c>
      <c r="I8" t="str">
        <v>Plastic and cloth</v>
      </c>
      <c r="J8" t="str">
        <v>9x8x18</v>
      </c>
      <c r="K8" t="str">
        <v>Carl</v>
      </c>
      <c r="L8" t="str">
        <v>Excellent</v>
      </c>
      <c r="M8" t="str">
        <v>1957</v>
      </c>
      <c r="N8" t="str">
        <v>1965</v>
      </c>
      <c r="T8" t="str">
        <v>2 (48)</v>
      </c>
      <c r="U8" t="str">
        <v>catalogue names it as "Shoe Black"</v>
      </c>
      <c r="V8" t="str">
        <v>brush is new</v>
      </c>
      <c r="W8" t="str">
        <v>PB190366</v>
      </c>
      <c r="X8" t="str">
        <v>PB190367</v>
      </c>
    </row>
    <row r="9">
      <c r="A9">
        <v>8</v>
      </c>
      <c r="B9" t="str">
        <v>Little Shoemaker</v>
      </c>
      <c r="D9" t="str">
        <v>People</v>
      </c>
      <c r="E9" t="str">
        <v>Professions/Industrial</v>
      </c>
      <c r="F9" t="str">
        <v>Old Man shoemaker hammering a shoesole</v>
      </c>
      <c r="G9" t="str">
        <v>Clockwork</v>
      </c>
      <c r="H9" t="str">
        <v>"Picks" a nail from his mouth and hammers it on a shoesole</v>
      </c>
      <c r="I9" t="str">
        <v>Tin and plastic</v>
      </c>
      <c r="J9" t="str">
        <v>9x8x16</v>
      </c>
      <c r="K9" t="str">
        <v>Alps</v>
      </c>
      <c r="L9" t="str">
        <v>Excellent</v>
      </c>
      <c r="M9" t="str">
        <v>1955</v>
      </c>
      <c r="N9" t="str">
        <v>1959</v>
      </c>
      <c r="S9" t="str">
        <v>150 (2024)</v>
      </c>
      <c r="T9" t="str">
        <v>3 (441) 110 (658)</v>
      </c>
      <c r="U9" t="str">
        <v>there is a variant with a red beret "Paddy Leprechaun Shoemaker"</v>
      </c>
      <c r="W9" t="str">
        <v>PB190368</v>
      </c>
      <c r="X9" t="str">
        <v>PB190369</v>
      </c>
      <c r="Y9" t="str">
        <v>PB190370</v>
      </c>
    </row>
    <row r="10">
      <c r="A10">
        <v>9</v>
      </c>
      <c r="B10" t="str">
        <v>Little Monkey Shoemaker</v>
      </c>
      <c r="D10" t="str">
        <v>Animals</v>
      </c>
      <c r="E10" t="str">
        <v>Professions/Industrial</v>
      </c>
      <c r="F10" t="str">
        <v>Monkey shoemaker hammering a shoesole</v>
      </c>
      <c r="G10" t="str">
        <v>Clockwork</v>
      </c>
      <c r="H10" t="str">
        <v>Waves its head while hammering a sole</v>
      </c>
      <c r="I10" t="str">
        <v>Tin, plastic and cloth</v>
      </c>
      <c r="J10" t="str">
        <v>8x5x17</v>
      </c>
      <c r="K10" t="str">
        <v>Nomura</v>
      </c>
      <c r="L10" t="str">
        <v>Excellent</v>
      </c>
      <c r="M10" t="str">
        <v>1955</v>
      </c>
      <c r="N10" t="str">
        <v>1955</v>
      </c>
      <c r="O10" t="str">
        <v>Good, with some tape</v>
      </c>
      <c r="S10" t="str">
        <v>220 (2024) wthout box</v>
      </c>
      <c r="U10" t="str">
        <v>Has a second trademark: Fuji Press Kogyo (logo with "m.m" below a mountain (see 52(42))</v>
      </c>
      <c r="W10" t="str">
        <v>PB190371</v>
      </c>
      <c r="X10" t="str">
        <v>PB190372</v>
      </c>
      <c r="Y10" t="str">
        <v>PB190373</v>
      </c>
    </row>
    <row r="11">
      <c r="A11">
        <v>10</v>
      </c>
      <c r="B11" t="str">
        <v>Knitting Rabbit</v>
      </c>
      <c r="C11">
        <v>535</v>
      </c>
      <c r="D11" t="str">
        <v>Animals</v>
      </c>
      <c r="E11" t="str">
        <v>Sports &amp; Leisure</v>
      </c>
      <c r="F11" t="str">
        <v>Rabitt w/ glasses and yellow apron knitting</v>
      </c>
      <c r="G11" t="str">
        <v>Clockwork</v>
      </c>
      <c r="H11" t="str">
        <v>Arms move in a knitting fashion</v>
      </c>
      <c r="I11" t="str">
        <v>Plastic and cloth</v>
      </c>
      <c r="J11" t="str">
        <v>9x7x19</v>
      </c>
      <c r="K11" t="str">
        <v>Carl</v>
      </c>
      <c r="L11" t="str">
        <v>Excellent</v>
      </c>
      <c r="M11" t="str">
        <v>1957</v>
      </c>
      <c r="N11" t="str">
        <v>1969</v>
      </c>
      <c r="T11" t="str">
        <v>2 (62)</v>
      </c>
      <c r="W11" t="str">
        <v>PB190374</v>
      </c>
      <c r="X11" t="str">
        <v>PB190375</v>
      </c>
    </row>
    <row r="12">
      <c r="A12">
        <v>11</v>
      </c>
      <c r="B12" t="str">
        <v>CUBBY the Reading Bear</v>
      </c>
      <c r="D12" t="str">
        <v>Animals</v>
      </c>
      <c r="E12" t="str">
        <v>Sports &amp; Leisure</v>
      </c>
      <c r="F12" t="str">
        <v>Bear reading a book</v>
      </c>
      <c r="G12" t="str">
        <v>Clockwork</v>
      </c>
      <c r="H12" t="str">
        <v>Right arm changes page of the book, while head waves vertically</v>
      </c>
      <c r="I12" t="str">
        <v>Tin, plastic and cloth</v>
      </c>
      <c r="J12" t="str">
        <v>10x8x17</v>
      </c>
      <c r="K12" t="str">
        <v>Alps</v>
      </c>
      <c r="L12" t="str">
        <v>Excellent</v>
      </c>
      <c r="M12" t="str">
        <v>1955</v>
      </c>
      <c r="N12" t="str">
        <v>1967</v>
      </c>
      <c r="O12" t="str">
        <v>Good, a little discolouring</v>
      </c>
      <c r="S12" t="str">
        <v>80 - 200 (2024) w/ box</v>
      </c>
      <c r="T12" t="str">
        <v>62 (109) 71 (96) 73 (124)</v>
      </c>
      <c r="U12" t="str">
        <v>variant with Santa (no. 12)</v>
      </c>
      <c r="W12" t="str">
        <v>PB190376</v>
      </c>
      <c r="X12" t="str">
        <v>PB190377</v>
      </c>
    </row>
    <row r="13">
      <c r="A13">
        <v>12</v>
      </c>
      <c r="B13" t="str">
        <v>Reading SANTA CLAUS</v>
      </c>
      <c r="D13" t="str">
        <v>People</v>
      </c>
      <c r="E13" t="str">
        <v>Character</v>
      </c>
      <c r="F13" t="str">
        <v>Santa reading a book</v>
      </c>
      <c r="G13" t="str">
        <v>Clockwork</v>
      </c>
      <c r="H13" t="str">
        <v>Right arm changes page of the book, while head waves vertically</v>
      </c>
      <c r="I13" t="str">
        <v>Tin, plastic and cloth</v>
      </c>
      <c r="J13" t="str">
        <v>10x8x19</v>
      </c>
      <c r="K13" t="str">
        <v>Alps</v>
      </c>
      <c r="L13" t="str">
        <v>Excellent</v>
      </c>
      <c r="M13" t="str">
        <v>1955</v>
      </c>
      <c r="N13" t="str">
        <v>1967</v>
      </c>
      <c r="S13" t="str">
        <v>80 - 250 (2024) w/ box</v>
      </c>
      <c r="T13" t="str">
        <v>62 (107)</v>
      </c>
      <c r="U13" t="str">
        <v>variant with bear (no. 11)</v>
      </c>
      <c r="W13" t="str">
        <v>PB190378</v>
      </c>
      <c r="X13" t="str">
        <v>PB190379</v>
      </c>
    </row>
    <row r="14">
      <c r="A14">
        <v>13</v>
      </c>
      <c r="B14" t="str">
        <v>Telephone Bear</v>
      </c>
      <c r="D14" t="str">
        <v>Animals</v>
      </c>
      <c r="E14" t="str">
        <v>Sports &amp; Leisure</v>
      </c>
      <c r="F14" t="str">
        <v>Small bear talking on a blue telephone</v>
      </c>
      <c r="G14" t="str">
        <v>Clockwork</v>
      </c>
      <c r="H14" t="str">
        <v>Phone rings, bear lifts arm to ear and open/closes mouth quickly, then lowers arm</v>
      </c>
      <c r="I14" t="str">
        <v>Tin and cloth</v>
      </c>
      <c r="J14" t="str">
        <v>10x7x16</v>
      </c>
      <c r="K14" t="str">
        <v>Alps</v>
      </c>
      <c r="L14" t="str">
        <v>Excellent</v>
      </c>
      <c r="M14" t="str">
        <v>1960</v>
      </c>
      <c r="N14" t="str">
        <v>1967</v>
      </c>
      <c r="S14" t="str">
        <v>80 (2024) w/ box</v>
      </c>
      <c r="T14" t="str">
        <v>62 (109)</v>
      </c>
      <c r="W14" t="str">
        <v>PB190380</v>
      </c>
      <c r="X14" t="str">
        <v>PB190381</v>
      </c>
      <c r="Y14" t="str">
        <v>PB190382</v>
      </c>
    </row>
    <row r="15">
      <c r="A15">
        <v>14</v>
      </c>
      <c r="B15" t="str">
        <v>Switchboard Operator</v>
      </c>
      <c r="D15" t="str">
        <v>People</v>
      </c>
      <c r="E15" t="str">
        <v>Professions/Industrial</v>
      </c>
      <c r="F15" t="str">
        <v>Girl operating a telephone switchboard</v>
      </c>
      <c r="G15" t="str">
        <v>Battery</v>
      </c>
      <c r="H15" t="str">
        <v>Moves arms to change connections in a lighted board</v>
      </c>
      <c r="I15" t="str">
        <v>Tin and plastic</v>
      </c>
      <c r="J15" t="str">
        <v>18x12x18</v>
      </c>
      <c r="K15" t="str">
        <v>Linemar</v>
      </c>
      <c r="L15" t="str">
        <v>Excellent</v>
      </c>
      <c r="M15" t="str">
        <v>1955</v>
      </c>
      <c r="N15" t="str">
        <v>1959</v>
      </c>
      <c r="S15" t="str">
        <v>100-200 (2024)</v>
      </c>
      <c r="T15" t="str">
        <v>35 (181)</v>
      </c>
      <c r="U15" t="str">
        <v>rarity 7/10</v>
      </c>
      <c r="V15" t="str">
        <v>headphone is new</v>
      </c>
      <c r="W15" t="str">
        <v>PB200019</v>
      </c>
      <c r="X15" t="str">
        <v xml:space="preserve"> PB200020</v>
      </c>
      <c r="Y15" t="str">
        <v>PB200022</v>
      </c>
      <c r="Z15" t="str">
        <v>PB200023</v>
      </c>
    </row>
    <row r="16">
      <c r="A16">
        <v>15</v>
      </c>
      <c r="B16" t="str">
        <v>Busy Secretary</v>
      </c>
      <c r="D16" t="str">
        <v>People</v>
      </c>
      <c r="E16" t="str">
        <v>Professions/Industrial</v>
      </c>
      <c r="F16" t="str">
        <v>Secretary typing a letter reading "always be a good boy and a good girl" on a typewritter, girl moves head</v>
      </c>
      <c r="G16" t="str">
        <v>Battery</v>
      </c>
      <c r="H16" t="str">
        <v>Types lighted keyboard with both hands, paper moves up and down , typewriter roll (?) also moves</v>
      </c>
      <c r="I16" t="str">
        <v>Tin and plastic</v>
      </c>
      <c r="J16" t="str">
        <v>18x16x19</v>
      </c>
      <c r="K16" t="str">
        <v>Nomura</v>
      </c>
      <c r="L16" t="str">
        <v>Excellent</v>
      </c>
      <c r="M16" t="str">
        <v>1955</v>
      </c>
      <c r="N16" t="str">
        <v>1959</v>
      </c>
      <c r="O16" t="str">
        <v>Very Good</v>
      </c>
      <c r="S16" t="str">
        <v>700-1000 (2024) w/ box</v>
      </c>
      <c r="T16" t="str">
        <v>17 (671) 35 (39)</v>
      </c>
      <c r="U16" t="str">
        <v>Several websites say it was manufactuted by Linemar rarity 7/10 desirability 6/10</v>
      </c>
      <c r="W16" t="str">
        <v>PB200013</v>
      </c>
      <c r="X16" t="str">
        <v xml:space="preserve"> PB200014</v>
      </c>
      <c r="Y16" t="str">
        <v xml:space="preserve"> PB200015</v>
      </c>
      <c r="Z16" t="str">
        <v>PB200016</v>
      </c>
    </row>
    <row r="17">
      <c r="A17">
        <v>16</v>
      </c>
      <c r="B17" t="str">
        <v>Miss Busy-Bee the Typist</v>
      </c>
      <c r="D17" t="str">
        <v>People</v>
      </c>
      <c r="E17" t="str">
        <v>Professions/Industrial</v>
      </c>
      <c r="F17" t="str">
        <v>Small secretary typing</v>
      </c>
      <c r="G17" t="str">
        <v>Clockwork</v>
      </c>
      <c r="H17" t="str">
        <v>Moves both arms to type</v>
      </c>
      <c r="I17" t="str">
        <v>Tin and plastic</v>
      </c>
      <c r="J17" t="str">
        <v>9x9x13</v>
      </c>
      <c r="K17" t="str">
        <v>Kanto</v>
      </c>
      <c r="L17" t="str">
        <v>Excellent</v>
      </c>
      <c r="M17" t="str">
        <v>1955</v>
      </c>
      <c r="N17" t="str">
        <v>1959</v>
      </c>
      <c r="O17" t="str">
        <v>Excellent</v>
      </c>
      <c r="S17" t="str">
        <v>150 (2024) w/box</v>
      </c>
      <c r="T17" t="str">
        <v>17 (153)</v>
      </c>
      <c r="U17" t="str">
        <v>clockwork version of the  Miss Friday toy</v>
      </c>
      <c r="W17" t="str">
        <v>PB200031</v>
      </c>
      <c r="X17" t="str">
        <v>PB200032</v>
      </c>
      <c r="Y17" t="str">
        <v>PB200033</v>
      </c>
    </row>
    <row r="18">
      <c r="A18">
        <v>17</v>
      </c>
      <c r="B18" t="str">
        <v>Miss Friday The Typist</v>
      </c>
      <c r="D18" t="str">
        <v>People</v>
      </c>
      <c r="E18" t="str">
        <v>Professions/Industrial</v>
      </c>
      <c r="F18" t="str">
        <v>Secretary typing a letter, has a plaque with name</v>
      </c>
      <c r="G18" t="str">
        <v>Battery</v>
      </c>
      <c r="H18" t="str">
        <v>Moves both armas to type, the type writer "hammers" the letter and moves the roll</v>
      </c>
      <c r="I18" t="str">
        <v>Tin, plastic and cloth</v>
      </c>
      <c r="J18" t="str">
        <v>14x22x19</v>
      </c>
      <c r="K18" t="str">
        <v>Nomura</v>
      </c>
      <c r="L18" t="str">
        <v>Excellent</v>
      </c>
      <c r="M18" t="str">
        <v>1955</v>
      </c>
      <c r="N18" t="str">
        <v>1959</v>
      </c>
      <c r="O18" t="str">
        <v>Very Good</v>
      </c>
      <c r="S18" t="str">
        <v>570 (2024)</v>
      </c>
      <c r="T18" t="str">
        <v>35 (115)</v>
      </c>
      <c r="U18" t="str">
        <v>rarity 4/10 desirability 4/6</v>
      </c>
      <c r="W18" t="str">
        <v>PB200027</v>
      </c>
      <c r="X18" t="str">
        <v>PB200028</v>
      </c>
      <c r="Y18" t="str">
        <v>PB200029</v>
      </c>
      <c r="Z18" t="str">
        <v>PB200030</v>
      </c>
    </row>
    <row r="19">
      <c r="A19">
        <v>18</v>
      </c>
      <c r="B19" t="str">
        <v>Lucky Baby Sewing Machine</v>
      </c>
      <c r="D19" t="str">
        <v>People</v>
      </c>
      <c r="E19" t="str">
        <v>Professions/Industrial</v>
      </c>
      <c r="F19" t="str">
        <v>Celulloid Girl w/ Sewing Machine</v>
      </c>
      <c r="G19" t="str">
        <v>Clockwork</v>
      </c>
      <c r="H19" t="str">
        <v>The pedal of the machine waves and the needle oscillates vertically</v>
      </c>
      <c r="I19" t="str">
        <v>Tin and celluloid</v>
      </c>
      <c r="J19" t="str">
        <v>8x12x13</v>
      </c>
      <c r="K19" t="str">
        <v>Marusan</v>
      </c>
      <c r="L19" t="str">
        <v>Very Good</v>
      </c>
      <c r="M19" t="str">
        <v>1955</v>
      </c>
      <c r="N19" t="str">
        <v>1959</v>
      </c>
      <c r="T19" t="str">
        <v>3 (431)</v>
      </c>
      <c r="V19" t="str">
        <v>neck glued, chain transmission new</v>
      </c>
      <c r="W19" t="str">
        <v>PB210037</v>
      </c>
      <c r="X19" t="str">
        <v xml:space="preserve"> PB210038</v>
      </c>
      <c r="Y19" t="str">
        <v xml:space="preserve"> PB210039</v>
      </c>
      <c r="Z19" t="str">
        <v xml:space="preserve"> PB210040</v>
      </c>
    </row>
    <row r="20">
      <c r="A20">
        <v>19</v>
      </c>
      <c r="B20" t="str">
        <v>V.I.P The Busy Boss</v>
      </c>
      <c r="D20" t="str">
        <v>Animals</v>
      </c>
      <c r="E20" t="str">
        <v>Professions/Industrial</v>
      </c>
      <c r="F20" t="str">
        <v>Bear seated in from of a desk with a lamp and a phone, coupled to a large separated telephone</v>
      </c>
      <c r="G20" t="str">
        <v>Battery</v>
      </c>
      <c r="H20" t="str">
        <v>Dialing the phone initates the action, the telephone rings and lights, bear raises its arm to hold the phone and moves nouth. Light of lamp is on.</v>
      </c>
      <c r="I20" t="str">
        <v>Tin, plastic and cloth</v>
      </c>
      <c r="J20" t="str">
        <v>16x15x19</v>
      </c>
      <c r="K20" t="str">
        <v>Susuki &amp; Eduards</v>
      </c>
      <c r="L20" t="str">
        <v>Very Good</v>
      </c>
      <c r="M20" t="str">
        <v>1955</v>
      </c>
      <c r="N20" t="str">
        <v>1959</v>
      </c>
      <c r="S20" t="str">
        <v>200 (2024)</v>
      </c>
      <c r="T20" t="str">
        <v>17 (28) 35 (200)</v>
      </c>
      <c r="U20" t="str">
        <v>Distributed by Cragstan rarity 3/10 desirability 4/6</v>
      </c>
      <c r="V20" t="str">
        <v>Lamp is new (this is usual); phone cable is broken</v>
      </c>
      <c r="W20" t="str">
        <v>PB210049</v>
      </c>
      <c r="X20" t="str">
        <v xml:space="preserve"> PB210050</v>
      </c>
    </row>
    <row r="21">
      <c r="A21">
        <v>20</v>
      </c>
      <c r="B21" t="str">
        <v>Telephone Bear Winky Eyes</v>
      </c>
      <c r="D21" t="str">
        <v>Animals</v>
      </c>
      <c r="E21" t="str">
        <v>Professions/Industrial</v>
      </c>
      <c r="F21" t="str">
        <v>Bear seated in front of a desk w/ "I am the boss"</v>
      </c>
      <c r="G21" t="str">
        <v>Battery</v>
      </c>
      <c r="H21" t="str">
        <v>Telephone rings, bear raises his arm to hold the phone and makes noises (speaks), nods head, pad lights and bear writes</v>
      </c>
      <c r="I21" t="str">
        <v>Tin and cloth</v>
      </c>
      <c r="J21" t="str">
        <v>18x13x19</v>
      </c>
      <c r="K21" t="str">
        <v>Nomura</v>
      </c>
      <c r="L21" t="str">
        <v>Excellent</v>
      </c>
      <c r="M21" t="str">
        <v>1955</v>
      </c>
      <c r="N21" t="str">
        <v>1959</v>
      </c>
      <c r="O21" t="str">
        <v>Very Good</v>
      </c>
      <c r="S21" t="str">
        <v>200 (2024)</v>
      </c>
      <c r="T21" t="str">
        <v>35 (185)</v>
      </c>
      <c r="U21" t="str">
        <v>Has a second trademark: SHOWA Kogyo Co Ltd (logo SHOWA , see 5s (37)) rarity 7/10 desirability 4/6</v>
      </c>
      <c r="W21" t="str">
        <v>PB210054</v>
      </c>
      <c r="X21" t="str">
        <v>PB210056</v>
      </c>
      <c r="Y21" t="str">
        <v>PB210057</v>
      </c>
      <c r="Z21" t="str">
        <v>PB210058</v>
      </c>
    </row>
    <row r="22">
      <c r="A22">
        <v>21</v>
      </c>
      <c r="B22" t="str">
        <v>Dolly Dressmaker</v>
      </c>
      <c r="D22" t="str">
        <v>People</v>
      </c>
      <c r="E22" t="str">
        <v>Professions/Industrial</v>
      </c>
      <c r="F22" t="str">
        <v>Girl operating a sewing machine</v>
      </c>
      <c r="G22" t="str">
        <v>Battery</v>
      </c>
      <c r="H22" t="str">
        <v>Girl waves feet and head, machine  works (wheel turns, needle oscillates verically), light shows pattern, hands move to move cloth</v>
      </c>
      <c r="I22" t="str">
        <v>Tin, plastic and cloth</v>
      </c>
      <c r="J22" t="str">
        <v>16x15x18</v>
      </c>
      <c r="K22" t="str">
        <v>Nomura</v>
      </c>
      <c r="L22" t="str">
        <v>Excellent</v>
      </c>
      <c r="M22" t="str">
        <v>1955</v>
      </c>
      <c r="N22" t="str">
        <v>1959</v>
      </c>
      <c r="S22" t="str">
        <v>300 (2024)</v>
      </c>
      <c r="T22" t="str">
        <v>17 (61) 35 (62)</v>
      </c>
      <c r="U22" t="str">
        <v>Box names it "DollySeamstress"; rarity 4/10 desirability 4/6</v>
      </c>
      <c r="W22" t="str">
        <v>PB210060</v>
      </c>
      <c r="X22" t="str">
        <v>PB210061</v>
      </c>
      <c r="Y22" t="str">
        <v>PB210063</v>
      </c>
    </row>
    <row r="23">
      <c r="A23">
        <v>22</v>
      </c>
      <c r="B23" t="str">
        <v>Teddy the Artist</v>
      </c>
      <c r="D23" t="str">
        <v>Animals</v>
      </c>
      <c r="E23" t="str">
        <v>Professions/Industrial</v>
      </c>
      <c r="F23" t="str">
        <v>Bear w/ beret drawing on a paper</v>
      </c>
      <c r="G23" t="str">
        <v>Battery</v>
      </c>
      <c r="H23" t="str">
        <v>After inserting a cam in the tray, when "on" the bear moves his arms to draw that shape  same while moving eyes and head</v>
      </c>
      <c r="I23" t="str">
        <v>Tin, plastic and cloth</v>
      </c>
      <c r="J23" t="str">
        <v>18x16x23</v>
      </c>
      <c r="K23" t="str">
        <v>Yonezawa</v>
      </c>
      <c r="L23" t="str">
        <v>Excellent</v>
      </c>
      <c r="M23" t="str">
        <v>1955</v>
      </c>
      <c r="N23" t="str">
        <v>1959</v>
      </c>
      <c r="S23" t="str">
        <v>150 (2024)</v>
      </c>
      <c r="T23" t="str">
        <v>17 (41) 35 (184)</v>
      </c>
      <c r="U23" t="str">
        <v>rarity 5/10 desirability 5/6</v>
      </c>
      <c r="V23" t="str">
        <v>only 1/9 cams available</v>
      </c>
      <c r="W23" t="str">
        <v>PB210065</v>
      </c>
      <c r="X23" t="str">
        <v xml:space="preserve"> PB210066</v>
      </c>
      <c r="Y23" t="str">
        <v>PB210067</v>
      </c>
      <c r="Z23" t="str">
        <v>PB210068</v>
      </c>
    </row>
    <row r="24">
      <c r="A24">
        <v>23</v>
      </c>
      <c r="B24" t="str">
        <v>Fruit Juice Counter</v>
      </c>
      <c r="C24" t="str">
        <v>0693/075</v>
      </c>
      <c r="D24" t="str">
        <v>People</v>
      </c>
      <c r="E24" t="str">
        <v>Professions/Industrial</v>
      </c>
      <c r="F24" t="str">
        <v>Fruit bar with an attendant girl</v>
      </c>
      <c r="G24" t="str">
        <v>Battery</v>
      </c>
      <c r="H24" t="str">
        <v>Push button, mixer works, pours juice on glass, girl rotates pushing tray</v>
      </c>
      <c r="I24" t="str">
        <v>Tin and plastic</v>
      </c>
      <c r="J24" t="str">
        <v>20x12x20</v>
      </c>
      <c r="K24" t="str">
        <v>Maruyoshi Toy</v>
      </c>
      <c r="L24" t="str">
        <v>Excellent</v>
      </c>
      <c r="M24" t="str">
        <v>1965</v>
      </c>
      <c r="N24" t="str">
        <v>1969</v>
      </c>
      <c r="O24" t="str">
        <v>Very Good, works as scenario</v>
      </c>
      <c r="T24" t="str">
        <v>35 (82)</v>
      </c>
      <c r="U24" t="str">
        <v xml:space="preserve">box mentions "An exclusive G.P.C. toy" rarity 6/10 </v>
      </c>
      <c r="W24" t="str">
        <v>PB230023</v>
      </c>
      <c r="X24" t="str">
        <v>PB230025</v>
      </c>
      <c r="Y24" t="str">
        <v>PB230026</v>
      </c>
      <c r="Z24" t="str">
        <v>PB230028</v>
      </c>
    </row>
    <row r="25">
      <c r="A25">
        <v>24</v>
      </c>
      <c r="B25" t="str">
        <v>Monkey on a Picnic</v>
      </c>
      <c r="C25">
        <v>40247</v>
      </c>
      <c r="D25" t="str">
        <v>Animals</v>
      </c>
      <c r="E25" t="str">
        <v>Sports &amp; Leisure</v>
      </c>
      <c r="F25" t="str">
        <v>Monkey eating a banana and holding a juice can</v>
      </c>
      <c r="G25" t="str">
        <v>Battery</v>
      </c>
      <c r="H25" t="str">
        <v>Monkey eats and drinks and his belly grows</v>
      </c>
      <c r="I25" t="str">
        <v>Tin and cloth</v>
      </c>
      <c r="J25" t="str">
        <v>13x10x24</v>
      </c>
      <c r="K25" t="str">
        <v>Alps</v>
      </c>
      <c r="L25" t="str">
        <v>Excellent</v>
      </c>
      <c r="M25" t="str">
        <v>1955</v>
      </c>
      <c r="N25" t="str">
        <v>1959</v>
      </c>
      <c r="S25" t="str">
        <v>100 (2024)</v>
      </c>
      <c r="T25" t="str">
        <v>17 (44) 35 (134)</v>
      </c>
      <c r="U25" t="str">
        <v>distributed by Cragstan rarity 4/10 desirability 5/6</v>
      </c>
      <c r="W25" t="str">
        <v>PB230029</v>
      </c>
      <c r="X25" t="str">
        <v xml:space="preserve"> PB230030</v>
      </c>
      <c r="Y25" t="str">
        <v>PB230031</v>
      </c>
    </row>
    <row r="26">
      <c r="A26">
        <v>25</v>
      </c>
      <c r="B26" t="str">
        <v>Maxwell Coffee-Loving Bear</v>
      </c>
      <c r="C26">
        <v>840</v>
      </c>
      <c r="D26" t="str">
        <v>Animals</v>
      </c>
      <c r="E26" t="str">
        <v>Sports &amp; Leisure</v>
      </c>
      <c r="F26" t="str">
        <v>Bear holding a coffe-pot and a mug, next to a tree trunk with bread</v>
      </c>
      <c r="G26" t="str">
        <v>Battery</v>
      </c>
      <c r="H26" t="str">
        <v>Eyes ligth, pours coffe into mug, takes it to mouth, leans head</v>
      </c>
      <c r="I26" t="str">
        <v>Tin, plastic and cloth</v>
      </c>
      <c r="J26" t="str">
        <v>13x9x24</v>
      </c>
      <c r="K26" t="str">
        <v>Nomura</v>
      </c>
      <c r="L26" t="str">
        <v>Excellent</v>
      </c>
      <c r="M26" t="str">
        <v>1962</v>
      </c>
      <c r="N26" t="str">
        <v>1969</v>
      </c>
      <c r="S26" t="str">
        <v>100 (2024)</v>
      </c>
      <c r="T26" t="str">
        <v>14 (40) 35 (111) 62 (13)</v>
      </c>
      <c r="U26" t="str">
        <v>Rosko tested rarity2/10 desirability 4/6</v>
      </c>
      <c r="W26" t="str">
        <v>PB230032</v>
      </c>
      <c r="X26" t="str">
        <v>PB230034</v>
      </c>
      <c r="Y26" t="str">
        <v>PB230035</v>
      </c>
    </row>
    <row r="27">
      <c r="A27">
        <v>26</v>
      </c>
      <c r="B27" t="str">
        <v>Susette the Eating Monkey</v>
      </c>
      <c r="D27" t="str">
        <v>Animals</v>
      </c>
      <c r="E27" t="str">
        <v>Professions/Industrial</v>
      </c>
      <c r="F27" t="str">
        <v>Monkey at the table eating meat w/ fork and knife</v>
      </c>
      <c r="G27" t="str">
        <v>Battery</v>
      </c>
      <c r="H27" t="str">
        <v>Moves fork and knife to cut the meat, raises arm and puts it in mouth  while raising head and moving eyes; the meat falls through a hidden channel and goes back to the plate</v>
      </c>
      <c r="I27" t="str">
        <v>Tin and cloth</v>
      </c>
      <c r="J27" t="str">
        <v>18x14x22</v>
      </c>
      <c r="K27" t="str">
        <v>Linemar</v>
      </c>
      <c r="L27" t="str">
        <v>Very Good</v>
      </c>
      <c r="M27" t="str">
        <v>1955</v>
      </c>
      <c r="N27" t="str">
        <v>1959</v>
      </c>
      <c r="R27" t="str">
        <v>Marché aux Puces, Paris</v>
      </c>
      <c r="S27" t="str">
        <v>200 (2024)</v>
      </c>
      <c r="T27" t="str">
        <v>17 (44) 35 (180)</v>
      </c>
      <c r="U27" t="str">
        <v>scarcity 8/10 desirability 5/6</v>
      </c>
      <c r="V27" t="str">
        <v>one eye is out of position</v>
      </c>
      <c r="W27" t="str">
        <v>PB230037</v>
      </c>
      <c r="X27" t="str">
        <v>PB230038</v>
      </c>
      <c r="Y27" t="str">
        <v>PB230040</v>
      </c>
      <c r="Z27" t="str">
        <v>PB230041</v>
      </c>
    </row>
    <row r="28">
      <c r="A28">
        <v>27</v>
      </c>
      <c r="B28" t="str">
        <v>Piggy Cook</v>
      </c>
      <c r="C28">
        <v>10621</v>
      </c>
      <c r="D28" t="str">
        <v>Animals</v>
      </c>
      <c r="E28" t="str">
        <v>Professions/Industrial</v>
      </c>
      <c r="F28" t="str">
        <v>Piggy cook, holding pan and pepper in front of cooker</v>
      </c>
      <c r="G28" t="str">
        <v>Battery</v>
      </c>
      <c r="H28" t="str">
        <v>Pours pepper, waves body, rigth arm throws egg in the air (this flips and turns around to reveal a steak); the cooker lights</v>
      </c>
      <c r="I28" t="str">
        <v>Tin, plastic and cloth</v>
      </c>
      <c r="J28" t="str">
        <v>15x16x27</v>
      </c>
      <c r="K28" t="str">
        <v>Yonezawa</v>
      </c>
      <c r="L28" t="str">
        <v>Very Good</v>
      </c>
      <c r="M28" t="str">
        <v>1955</v>
      </c>
      <c r="N28" t="str">
        <v>1959</v>
      </c>
      <c r="O28" t="str">
        <v>Excellent</v>
      </c>
      <c r="S28" t="str">
        <v>400-700 (2024) w/ box</v>
      </c>
      <c r="T28" t="str">
        <v>17 (27) 35 (135)</v>
      </c>
      <c r="U28" t="str">
        <v>scarcity 2/10 desirability 3/6</v>
      </c>
      <c r="W28" t="str">
        <v>PB230042</v>
      </c>
      <c r="X28" t="str">
        <v>PB230043</v>
      </c>
      <c r="Y28" t="str">
        <v>PB230044</v>
      </c>
    </row>
    <row r="29">
      <c r="A29">
        <v>28</v>
      </c>
      <c r="B29" t="str">
        <v>Hamburger Chef</v>
      </c>
      <c r="C29" t="str">
        <v>0693/80</v>
      </c>
      <c r="D29" t="str">
        <v>People</v>
      </c>
      <c r="E29" t="str">
        <v>Professions/Industrial</v>
      </c>
      <c r="F29" t="str">
        <v>Hambuger restaurant w/ chef</v>
      </c>
      <c r="G29" t="str">
        <v>Battery</v>
      </c>
      <c r="H29" t="str">
        <v>chef moves pan from the fire, throws hamburger in air, cooker lights</v>
      </c>
      <c r="I29" t="str">
        <v>Tin and plastic</v>
      </c>
      <c r="J29" t="str">
        <v>20x12x20</v>
      </c>
      <c r="K29" t="str">
        <v>Maruyoshi Toy</v>
      </c>
      <c r="L29" t="str">
        <v>Excellent</v>
      </c>
      <c r="M29" t="str">
        <v>1965</v>
      </c>
      <c r="N29" t="str">
        <v>1969</v>
      </c>
      <c r="O29" t="str">
        <v>Very Good, works as scenario</v>
      </c>
      <c r="T29" t="str">
        <v>35 (87)</v>
      </c>
      <c r="U29" t="str">
        <v>box mentions "An exclusive G.P.C. toy" rarity 3/10</v>
      </c>
      <c r="W29" t="str">
        <v>PB230045</v>
      </c>
      <c r="X29" t="str">
        <v>PB230046</v>
      </c>
      <c r="Y29" t="str">
        <v>PB230048</v>
      </c>
      <c r="Z29" t="str">
        <v>PB230049</v>
      </c>
    </row>
    <row r="30">
      <c r="A30">
        <v>29</v>
      </c>
      <c r="B30" t="str">
        <v>Snoopy Cook with Flipping Action</v>
      </c>
      <c r="C30">
        <v>829</v>
      </c>
      <c r="D30" t="str">
        <v>Animals</v>
      </c>
      <c r="E30" t="str">
        <v>Character</v>
      </c>
      <c r="F30" t="str">
        <v>Snoopy Cook</v>
      </c>
      <c r="G30" t="str">
        <v>Clockwork</v>
      </c>
      <c r="H30" t="str">
        <v>Snoopy flips pan</v>
      </c>
      <c r="I30" t="str">
        <v>Plastic and cloth</v>
      </c>
      <c r="J30" t="str">
        <v>13x8x20</v>
      </c>
      <c r="L30" t="str">
        <v>Excellent</v>
      </c>
      <c r="M30" t="str">
        <v>1985</v>
      </c>
      <c r="N30" t="str">
        <v>1989</v>
      </c>
      <c r="O30" t="str">
        <v>Very Good</v>
      </c>
      <c r="S30" t="str">
        <v>40-80 (2024) w/ box</v>
      </c>
      <c r="U30" t="str">
        <v>re-released version of the original Snoopy World’s Greatest Chef Wind-up Toy made by Aviva in 1977; box mentions licence</v>
      </c>
      <c r="V30" t="str">
        <v>made in China</v>
      </c>
      <c r="W30" t="str">
        <v>PB230011</v>
      </c>
    </row>
    <row r="31">
      <c r="A31">
        <v>30</v>
      </c>
      <c r="B31" t="str">
        <v>Super Susie</v>
      </c>
      <c r="C31" t="str">
        <v>J-4670</v>
      </c>
      <c r="D31" t="str">
        <v>Animals</v>
      </c>
      <c r="E31" t="str">
        <v>Professions/Industrial</v>
      </c>
      <c r="F31" t="str">
        <v>Bear chashier</v>
      </c>
      <c r="G31" t="str">
        <v>Battery</v>
      </c>
      <c r="H31" t="str">
        <v>left arm pulls items from the cashier belt, right end pushes cash machine (prices change), while head turns</v>
      </c>
      <c r="I31" t="str">
        <v>Tin and cloth</v>
      </c>
      <c r="J31" t="str">
        <v>15x13x22</v>
      </c>
      <c r="K31" t="str">
        <v>Linemar</v>
      </c>
      <c r="L31" t="str">
        <v>Excellent</v>
      </c>
      <c r="M31" t="str">
        <v>1955</v>
      </c>
      <c r="N31" t="str">
        <v>1959</v>
      </c>
      <c r="O31" t="str">
        <v>excellent</v>
      </c>
      <c r="S31" t="str">
        <v>600 (2024) w/ box</v>
      </c>
      <c r="T31" t="str">
        <v>35 (180)</v>
      </c>
      <c r="U31" t="str">
        <v>scarcity 7/10 desirability 5/6</v>
      </c>
      <c r="W31" t="str">
        <v>PB230001</v>
      </c>
      <c r="X31" t="str">
        <v xml:space="preserve"> PB230004</v>
      </c>
      <c r="Y31" t="str">
        <v>PB230005</v>
      </c>
      <c r="Z31" t="str">
        <v>PB230006</v>
      </c>
    </row>
    <row r="32">
      <c r="A32">
        <v>31</v>
      </c>
      <c r="B32" t="str">
        <v>Skating Chef</v>
      </c>
      <c r="D32" t="str">
        <v>People</v>
      </c>
      <c r="E32" t="str">
        <v>Professions/Industrial</v>
      </c>
      <c r="F32" t="str">
        <v>Skating Chef w/ fruit platter</v>
      </c>
      <c r="G32" t="str">
        <v>Clockwork</v>
      </c>
      <c r="H32" t="str">
        <v>Skates on left foot with right leg pushing off causing the body to dip</v>
      </c>
      <c r="I32" t="str">
        <v>Tin and cloth</v>
      </c>
      <c r="J32" t="str">
        <v>9x7x16</v>
      </c>
      <c r="K32" t="str">
        <v>TPS</v>
      </c>
      <c r="L32" t="str">
        <v>Good</v>
      </c>
      <c r="M32" t="str">
        <v>1956</v>
      </c>
      <c r="N32" t="str">
        <v>1959</v>
      </c>
      <c r="T32" t="str">
        <v>51 (169) 73 (88)</v>
      </c>
      <c r="U32" t="str">
        <v>version with dark hair, add 20% to value scarcity 2,5/5 patent no. 53073</v>
      </c>
      <c r="W32" t="str">
        <v>PB230012</v>
      </c>
      <c r="X32" t="str">
        <v>PB230013</v>
      </c>
      <c r="Y32" t="str">
        <v>PB230014</v>
      </c>
    </row>
    <row r="33">
      <c r="A33">
        <v>32</v>
      </c>
      <c r="B33" t="str">
        <v>Mr. DAN Hot Dog Eating Man</v>
      </c>
      <c r="D33" t="str">
        <v>People</v>
      </c>
      <c r="E33" t="str">
        <v>Sports &amp; Leisure</v>
      </c>
      <c r="F33" t="str">
        <v>Man eating hot dog and cleaning his mouth</v>
      </c>
      <c r="G33" t="str">
        <v>Clockwork</v>
      </c>
      <c r="H33" t="str">
        <v>Takes hot dog to mouth with one arm, cleans mouth with other arm, face moves</v>
      </c>
      <c r="I33" t="str">
        <v>Tin, plastic and cloth</v>
      </c>
      <c r="J33" t="str">
        <v>8x8x18</v>
      </c>
      <c r="K33" t="str">
        <v>Nomura</v>
      </c>
      <c r="L33" t="str">
        <v>Excellent</v>
      </c>
      <c r="M33" t="str">
        <v>1955</v>
      </c>
      <c r="N33" t="str">
        <v>1959</v>
      </c>
      <c r="O33" t="str">
        <v>excellent</v>
      </c>
      <c r="P33">
        <v>50</v>
      </c>
      <c r="Q33">
        <v>1988</v>
      </c>
      <c r="S33" t="str">
        <v>100 (2024) w/ box</v>
      </c>
      <c r="T33" t="str">
        <v>89 (33)</v>
      </c>
      <c r="U33" t="str">
        <v>there is a version with shaker and glass</v>
      </c>
      <c r="V33" t="str">
        <v>movement is not well sinchronized</v>
      </c>
      <c r="W33" t="str">
        <v>PB230015</v>
      </c>
      <c r="X33" t="str">
        <v>PB230016</v>
      </c>
    </row>
    <row r="34">
      <c r="A34">
        <v>33</v>
      </c>
      <c r="B34" t="str">
        <v>Piggy Cook</v>
      </c>
      <c r="C34">
        <v>10751</v>
      </c>
      <c r="D34" t="str">
        <v>Animals</v>
      </c>
      <c r="E34" t="str">
        <v>Professions/Industrial</v>
      </c>
      <c r="F34" t="str">
        <v>Pig chef w/ pan and seasoner</v>
      </c>
      <c r="G34" t="str">
        <v>Clockwork</v>
      </c>
      <c r="H34" t="str">
        <v xml:space="preserve">Seasons food, throws food in the air (which flips from egg to meat) </v>
      </c>
      <c r="I34" t="str">
        <v>Tin, plastic and cloth</v>
      </c>
      <c r="J34" t="str">
        <v>8x8x13</v>
      </c>
      <c r="K34" t="str">
        <v>Yonezawa</v>
      </c>
      <c r="L34" t="str">
        <v>Excellent</v>
      </c>
      <c r="M34" t="str">
        <v>1960</v>
      </c>
      <c r="N34" t="str">
        <v>1969</v>
      </c>
      <c r="O34" t="str">
        <v>very good</v>
      </c>
      <c r="S34" t="str">
        <v>100 (2024) w/ box</v>
      </c>
      <c r="T34" t="str">
        <v>17 (148)</v>
      </c>
      <c r="U34" t="str">
        <v>clockwork version of the battery toy</v>
      </c>
      <c r="W34" t="str">
        <v>PB230017</v>
      </c>
      <c r="X34" t="str">
        <v>PB230018</v>
      </c>
      <c r="Y34" t="str">
        <v>PB230019</v>
      </c>
    </row>
    <row r="35">
      <c r="A35">
        <v>34</v>
      </c>
      <c r="B35" t="str">
        <v>Food Flippin' Mario</v>
      </c>
      <c r="C35">
        <v>905</v>
      </c>
      <c r="D35" t="str">
        <v>People</v>
      </c>
      <c r="E35" t="str">
        <v>Professions/Industrial</v>
      </c>
      <c r="F35" t="str">
        <v>Red hair chef w/ pan and seasoner</v>
      </c>
      <c r="G35" t="str">
        <v>Clockwork</v>
      </c>
      <c r="H35" t="str">
        <v xml:space="preserve">Seasons food, throws food in the air (which flips from spagheti to meat balls) </v>
      </c>
      <c r="I35" t="str">
        <v>Tin, plastic and cloth</v>
      </c>
      <c r="J35" t="str">
        <v>8x10x13</v>
      </c>
      <c r="L35" t="str">
        <v>Excellent</v>
      </c>
      <c r="M35" t="str">
        <v>2005</v>
      </c>
      <c r="N35" t="str">
        <v>2009</v>
      </c>
      <c r="O35" t="str">
        <v>excellent</v>
      </c>
      <c r="S35" t="str">
        <v>30 (2024) w/ box</v>
      </c>
      <c r="U35" t="str">
        <v>Cook Mario Batali; Rockey USA TM</v>
      </c>
      <c r="V35" t="str">
        <v>made in China</v>
      </c>
      <c r="W35" t="str">
        <v>PB230020</v>
      </c>
      <c r="X35" t="str">
        <v xml:space="preserve"> PB230021</v>
      </c>
    </row>
    <row r="36">
      <c r="A36">
        <v>35</v>
      </c>
      <c r="B36" t="str">
        <v>Professor Owl The friendly Teacher</v>
      </c>
      <c r="D36" t="str">
        <v>Animals</v>
      </c>
      <c r="E36" t="str">
        <v>Professions/Industrial</v>
      </c>
      <c r="F36" t="str">
        <v>Owl teacher pointing to the blackboard</v>
      </c>
      <c r="G36" t="str">
        <v>Battery</v>
      </c>
      <c r="H36" t="str">
        <v>Moves head and arm with pointer, while images and corresponding names rotate and appear on the blackboard</v>
      </c>
      <c r="I36" t="str">
        <v>Tin</v>
      </c>
      <c r="J36" t="str">
        <v>12x20x21</v>
      </c>
      <c r="K36" t="str">
        <v>Yonezawa</v>
      </c>
      <c r="L36" t="str">
        <v>Good</v>
      </c>
      <c r="M36" t="str">
        <v>1955</v>
      </c>
      <c r="N36" t="str">
        <v>1959</v>
      </c>
      <c r="S36" t="str">
        <v>400 (2023) w/ box</v>
      </c>
      <c r="T36" t="str">
        <v>17 (43) 35 (141)</v>
      </c>
      <c r="U36" t="str">
        <v>scarcity 8/10 desirability 4/6</v>
      </c>
      <c r="V36" t="str">
        <v>includes 2 discs, but misses pointer (hand new)</v>
      </c>
      <c r="W36" t="str">
        <v>PB270008</v>
      </c>
      <c r="X36" t="str">
        <v>PB270009</v>
      </c>
      <c r="Y36" t="str">
        <v>PB2700010</v>
      </c>
    </row>
    <row r="37">
      <c r="A37">
        <v>36</v>
      </c>
      <c r="B37" t="str">
        <v>Blacksmith Bear</v>
      </c>
      <c r="D37" t="str">
        <v>Animals</v>
      </c>
      <c r="E37" t="str">
        <v>Professions/Industrial</v>
      </c>
      <c r="F37" t="str">
        <v>Blacksmith bear hammering an horseshoe on an anvil</v>
      </c>
      <c r="G37" t="str">
        <v>Battery</v>
      </c>
      <c r="H37" t="str">
        <v>Bear holds an horseshoe over the forge and then hammers it on an anvil&gt;; eyes, anvil and forge light</v>
      </c>
      <c r="I37" t="str">
        <v>Tin, plastic and cloth</v>
      </c>
      <c r="J37" t="str">
        <v>11x17x22</v>
      </c>
      <c r="K37" t="str">
        <v>Toyo</v>
      </c>
      <c r="L37" t="str">
        <v>Excellent</v>
      </c>
      <c r="M37" t="str">
        <v>1955</v>
      </c>
      <c r="N37" t="str">
        <v>1959</v>
      </c>
      <c r="S37" t="str">
        <v>220 (2024)</v>
      </c>
      <c r="T37" t="str">
        <v>17 (25) 35 (32)</v>
      </c>
      <c r="U37" t="str">
        <v>scarcity 5/10 desirability 3/6</v>
      </c>
      <c r="W37" t="str">
        <v>PB270016</v>
      </c>
      <c r="X37" t="str">
        <v>PB270017</v>
      </c>
      <c r="Y37" t="str">
        <v>PB270018</v>
      </c>
    </row>
    <row r="38">
      <c r="A38">
        <v>37</v>
      </c>
      <c r="B38" t="str">
        <v>Smoking GrandPa</v>
      </c>
      <c r="D38" t="str">
        <v>People</v>
      </c>
      <c r="E38" t="str">
        <v>Sports &amp; Leisure</v>
      </c>
      <c r="F38" t="str">
        <v>Old man smoking sitting in a rocking chair</v>
      </c>
      <c r="G38" t="str">
        <v>Battery</v>
      </c>
      <c r="H38" t="str">
        <v>While the chair moves, he lifts a lighted pipe to his mouth and exhales smoke</v>
      </c>
      <c r="I38" t="str">
        <v>Tin and cloth</v>
      </c>
      <c r="J38" t="str">
        <v>22x12x20</v>
      </c>
      <c r="K38" t="str">
        <v>Marusan</v>
      </c>
      <c r="L38" t="str">
        <v>Reasonable</v>
      </c>
      <c r="M38" t="str">
        <v>1955</v>
      </c>
      <c r="N38" t="str">
        <v>1959</v>
      </c>
      <c r="S38" t="str">
        <v>60-100 (2024)</v>
      </c>
      <c r="T38" t="str">
        <v>17 (62) 35 (163)</v>
      </c>
      <c r="U38" t="str">
        <v>box mentions "An exclusive G.P.C. toy" scarcity 2/10 desirability 4/6</v>
      </c>
      <c r="W38" t="str">
        <v>PB260001</v>
      </c>
      <c r="X38" t="str">
        <v>PB260002</v>
      </c>
    </row>
    <row r="39">
      <c r="A39">
        <v>38</v>
      </c>
      <c r="B39" t="str">
        <v>Sleeping Baby Bear</v>
      </c>
      <c r="D39" t="str">
        <v>Animals</v>
      </c>
      <c r="E39" t="str">
        <v>Sports &amp; Leisure</v>
      </c>
      <c r="F39" t="str">
        <v>Bear sleeping in bed</v>
      </c>
      <c r="G39" t="str">
        <v>Battery</v>
      </c>
      <c r="H39" t="str">
        <v>The alarm goes-off,opens eyes,  sits, stretches arms, opens mouth, then closes eyes, makes yawning sound and goes back to sleep; clock hand move</v>
      </c>
      <c r="I39" t="str">
        <v>Tin, cloth and plastic</v>
      </c>
      <c r="J39" t="str">
        <v>23x12x17</v>
      </c>
      <c r="K39" t="str">
        <v>Linemar</v>
      </c>
      <c r="L39" t="str">
        <v>Excellent</v>
      </c>
      <c r="M39" t="str">
        <v>1955</v>
      </c>
      <c r="N39" t="str">
        <v>1959</v>
      </c>
      <c r="O39" t="str">
        <v>Very Good</v>
      </c>
      <c r="S39" t="str">
        <v>380 (2024) w/ box</v>
      </c>
      <c r="T39" t="str">
        <v>17 (41) 35 (162)</v>
      </c>
      <c r="U39" t="str">
        <v>scarcity 1/10 desirability 4/6</v>
      </c>
      <c r="W39" t="str">
        <v>PB260003</v>
      </c>
      <c r="X39" t="str">
        <v>PB260004</v>
      </c>
      <c r="Y39" t="str">
        <v>PB260005</v>
      </c>
    </row>
    <row r="40">
      <c r="A40">
        <v>39</v>
      </c>
      <c r="B40" t="str">
        <v>Smoking PaPa Bear</v>
      </c>
      <c r="C40">
        <v>3608</v>
      </c>
      <c r="D40" t="str">
        <v>Animals</v>
      </c>
      <c r="E40" t="str">
        <v>Sports &amp; Leisure</v>
      </c>
      <c r="F40" t="str">
        <v>Bear walks and smokes</v>
      </c>
      <c r="G40" t="str">
        <v>Battery</v>
      </c>
      <c r="H40" t="str">
        <v>Walks, lifts the lighted pipe to mouth and exhales smoke</v>
      </c>
      <c r="I40" t="str">
        <v>Tin ad cloth</v>
      </c>
      <c r="J40" t="str">
        <v>11x11x21</v>
      </c>
      <c r="K40" t="str">
        <v>Marusan</v>
      </c>
      <c r="L40" t="str">
        <v>Very Good</v>
      </c>
      <c r="M40" t="str">
        <v>1965</v>
      </c>
      <c r="N40" t="str">
        <v>1969</v>
      </c>
      <c r="O40" t="str">
        <v>Excellent</v>
      </c>
      <c r="S40" t="str">
        <v>150-250 2024) w/ box</v>
      </c>
      <c r="T40" t="str">
        <v>17 /39)</v>
      </c>
      <c r="U40" t="str">
        <v>box contains a second trademark "An AMICO Toy"; Patents: 229336, 233066, 461953, 461954, 462760; scarcity 2/10 desirability 3/6</v>
      </c>
      <c r="V40" t="str">
        <v>rubber nose is sagging with time</v>
      </c>
      <c r="W40" t="str">
        <v>PB270047</v>
      </c>
      <c r="X40" t="str">
        <v>PB270048</v>
      </c>
      <c r="Y40" t="str">
        <v>PB270049</v>
      </c>
    </row>
    <row r="41">
      <c r="A41">
        <v>40</v>
      </c>
      <c r="B41" t="str">
        <v>Lady with Sweeper</v>
      </c>
      <c r="D41" t="str">
        <v>People</v>
      </c>
      <c r="E41" t="str">
        <v>Professions/Industrial</v>
      </c>
      <c r="F41" t="str">
        <v>Lady w/ Ewbank-type sweeper</v>
      </c>
      <c r="G41" t="str">
        <v>Clockwork</v>
      </c>
      <c r="H41" t="str">
        <v>Moves around the floor</v>
      </c>
      <c r="I41" t="str">
        <v>Tin</v>
      </c>
      <c r="J41" t="str">
        <v>12x5x12</v>
      </c>
      <c r="K41" t="str">
        <v>Wells</v>
      </c>
      <c r="L41" t="str">
        <v>Very Good</v>
      </c>
      <c r="M41" t="str">
        <v>1955</v>
      </c>
      <c r="N41" t="str">
        <v>1959</v>
      </c>
      <c r="S41" t="str">
        <v>100 (2024)</v>
      </c>
      <c r="W41" t="str">
        <v>PB270046</v>
      </c>
      <c r="X41" t="str">
        <v xml:space="preserve"> PB270046A</v>
      </c>
    </row>
    <row r="42">
      <c r="A42">
        <v>41</v>
      </c>
      <c r="B42" t="str">
        <v>The Busy Housekeeper</v>
      </c>
      <c r="C42">
        <v>714</v>
      </c>
      <c r="D42" t="str">
        <v>Animals</v>
      </c>
      <c r="E42" t="str">
        <v>Professions/Industrial</v>
      </c>
      <c r="F42" t="str">
        <v xml:space="preserve">Bear w/ waxer </v>
      </c>
      <c r="G42" t="str">
        <v>Battery</v>
      </c>
      <c r="H42" t="str">
        <v>Moves forward and back and turns head, cleaner lights</v>
      </c>
      <c r="I42" t="str">
        <v>Tin, plastic and cloth</v>
      </c>
      <c r="J42" t="str">
        <v>17x8x22</v>
      </c>
      <c r="K42" t="str">
        <v>Alps</v>
      </c>
      <c r="L42" t="str">
        <v>Excellent</v>
      </c>
      <c r="M42" t="str">
        <v>1955</v>
      </c>
      <c r="N42" t="str">
        <v>1959</v>
      </c>
      <c r="O42" t="str">
        <v>Very Good</v>
      </c>
      <c r="S42" t="str">
        <v>200 (2024) w/ box</v>
      </c>
      <c r="T42" t="str">
        <v>17 (31) 35 (38)</v>
      </c>
      <c r="U42" t="str">
        <v>Cragstan trademark; scarcity 6/10 desirability 4/6</v>
      </c>
      <c r="V42" t="str">
        <v>we have two</v>
      </c>
      <c r="W42" t="str">
        <v>PB270020</v>
      </c>
      <c r="X42" t="str">
        <v>PB270021</v>
      </c>
    </row>
    <row r="43">
      <c r="A43">
        <v>42</v>
      </c>
      <c r="B43" t="str">
        <v>Tumbles the Bear</v>
      </c>
      <c r="D43" t="str">
        <v>Animals</v>
      </c>
      <c r="E43" t="str">
        <v>Sports &amp; Leisure</v>
      </c>
      <c r="F43" t="str">
        <v>Bear w/n two cases</v>
      </c>
      <c r="G43" t="str">
        <v>Battery</v>
      </c>
      <c r="H43" t="str">
        <v>Walks, tumbles rotating over the cases, walls again</v>
      </c>
      <c r="I43" t="str">
        <v>Plastic and cloth</v>
      </c>
      <c r="J43" t="str">
        <v>11x17x23</v>
      </c>
      <c r="K43" t="str">
        <v>Yano Man</v>
      </c>
      <c r="L43" t="str">
        <v>Excellent</v>
      </c>
      <c r="M43" t="str">
        <v>1965</v>
      </c>
      <c r="N43" t="str">
        <v>1969</v>
      </c>
      <c r="O43" t="str">
        <v>Very Good</v>
      </c>
      <c r="S43" t="str">
        <v>160 (2024) w/ box</v>
      </c>
      <c r="T43" t="str">
        <v>35 (195)</v>
      </c>
      <c r="U43" t="str">
        <v xml:space="preserve">Distributed by Woolworth, NY, USA; scarcity 2/10 </v>
      </c>
      <c r="V43" t="str">
        <v>hat missing</v>
      </c>
      <c r="W43" t="str">
        <v>PC110001</v>
      </c>
    </row>
    <row r="44">
      <c r="A44">
        <v>43</v>
      </c>
      <c r="B44" t="str">
        <v>Barber Bear</v>
      </c>
      <c r="D44" t="str">
        <v>Animals</v>
      </c>
      <c r="E44" t="str">
        <v>Professions/Industrial</v>
      </c>
      <c r="F44" t="str">
        <v>Bear cutting hair of a smaller sitted bear</v>
      </c>
      <c r="G44" t="str">
        <v>Battery</v>
      </c>
      <c r="H44" t="str">
        <v>Moves arms to cut hair, the smaller bear looks at mirror and kicks feet and moves arms to show approval</v>
      </c>
      <c r="I44" t="str">
        <v>Tin, plastic and cloth</v>
      </c>
      <c r="J44" t="str">
        <v>17x11x23</v>
      </c>
      <c r="K44" t="str">
        <v>Linemar</v>
      </c>
      <c r="L44" t="str">
        <v>Very Good</v>
      </c>
      <c r="M44" t="str">
        <v>1955</v>
      </c>
      <c r="N44" t="str">
        <v>1959</v>
      </c>
      <c r="S44" t="str">
        <v>300 (2024)</v>
      </c>
      <c r="T44" t="str">
        <v>17 (23) 35 (26)</v>
      </c>
      <c r="U44" t="str">
        <v>Also made by Nomura?; desirability 5/6 scarcity 5/10</v>
      </c>
      <c r="W44" t="str">
        <v>PB270023</v>
      </c>
      <c r="X44" t="str">
        <v>PB270024</v>
      </c>
    </row>
    <row r="45">
      <c r="A45">
        <v>44</v>
      </c>
      <c r="B45" t="str">
        <v>Dentist Bear</v>
      </c>
      <c r="D45" t="str">
        <v>Animals</v>
      </c>
      <c r="E45" t="str">
        <v>Professions/Industrial</v>
      </c>
      <c r="F45" t="str">
        <v>Bear drilling a tooth of a smaller bear</v>
      </c>
      <c r="G45" t="str">
        <v>Battery</v>
      </c>
      <c r="H45" t="str">
        <v>Moves head and with the rigth arms drills (drill lights), then stops and small bear moves head and "spits"</v>
      </c>
      <c r="I45" t="str">
        <v>Tin, plastic and cloth</v>
      </c>
      <c r="J45" t="str">
        <v>17x11x23</v>
      </c>
      <c r="K45" t="str">
        <v>Susuki &amp; Eduards</v>
      </c>
      <c r="L45" t="str">
        <v>Very Good</v>
      </c>
      <c r="M45" t="str">
        <v>1955</v>
      </c>
      <c r="N45" t="str">
        <v>1959</v>
      </c>
      <c r="S45" t="str">
        <v>350 (2024)</v>
      </c>
      <c r="T45" t="str">
        <v>17 (23) 35 (59)</v>
      </c>
      <c r="U45" t="str">
        <v>desirability 5/6 scarcity 6/10</v>
      </c>
      <c r="W45" t="str">
        <v>PB270028</v>
      </c>
      <c r="X45" t="str">
        <v>PB270029</v>
      </c>
      <c r="Y45" t="str">
        <v>PB270030</v>
      </c>
    </row>
    <row r="46">
      <c r="A46">
        <v>45</v>
      </c>
      <c r="B46" t="str">
        <v>Beauty Parlor Bear with Lighted Dryer Stand</v>
      </c>
      <c r="D46" t="str">
        <v>Animals</v>
      </c>
      <c r="E46" t="str">
        <v>Professions/Industrial</v>
      </c>
      <c r="F46" t="str">
        <v>Bear combing the hair of a smaller bear</v>
      </c>
      <c r="G46" t="str">
        <v>Battery</v>
      </c>
      <c r="H46" t="str">
        <v>Moves arms to cut hair, hair dryer lights, smaller bear kicks feet and moves arms to show approval</v>
      </c>
      <c r="I46" t="str">
        <v>Tin, plastic and cloth</v>
      </c>
      <c r="J46" t="str">
        <v>17x11x25</v>
      </c>
      <c r="K46" t="str">
        <v>Linemar</v>
      </c>
      <c r="L46" t="str">
        <v>Very Good</v>
      </c>
      <c r="M46" t="str">
        <v>1955</v>
      </c>
      <c r="N46" t="str">
        <v>1959</v>
      </c>
      <c r="S46" t="str">
        <v>500 (2024) w/ box</v>
      </c>
      <c r="T46" t="str">
        <v>17 (23) 35 (28)</v>
      </c>
      <c r="U46" t="str">
        <v xml:space="preserve"> desirability 5/6 scarcity 9/10</v>
      </c>
      <c r="W46" t="str">
        <v>PB270036</v>
      </c>
      <c r="X46" t="str">
        <v>PB270037</v>
      </c>
      <c r="Y46" t="str">
        <v>PB270039</v>
      </c>
    </row>
    <row r="47">
      <c r="A47">
        <v>46</v>
      </c>
      <c r="B47" t="str">
        <v>Animal Barber Shop</v>
      </c>
      <c r="C47">
        <v>410</v>
      </c>
      <c r="D47" t="str">
        <v>Animals</v>
      </c>
      <c r="E47" t="str">
        <v>Professions/Industrial</v>
      </c>
      <c r="F47" t="str">
        <v>Mouse barber shaving a rabbit</v>
      </c>
      <c r="G47" t="str">
        <v>Clockwork</v>
      </c>
      <c r="H47" t="str">
        <v>Barber  waves head and arms with razor and cream</v>
      </c>
      <c r="I47" t="str">
        <v>Tin</v>
      </c>
      <c r="J47" t="str">
        <v>12x7x12</v>
      </c>
      <c r="K47" t="str">
        <v>TPS</v>
      </c>
      <c r="L47" t="str">
        <v>Very Good</v>
      </c>
      <c r="M47" t="str">
        <v>1955</v>
      </c>
      <c r="N47" t="str">
        <v>1959</v>
      </c>
      <c r="S47" t="str">
        <v>550 (2024) w/ box</v>
      </c>
      <c r="T47" t="str">
        <v>51 (48)</v>
      </c>
      <c r="U47" t="str">
        <v>has a second trademark "HTC" (Hishimo Dsangyo Ltd 52 (42)); scarcity 4/5</v>
      </c>
      <c r="W47" t="str">
        <v>PB270041</v>
      </c>
      <c r="X47" t="str">
        <v>PB270042</v>
      </c>
      <c r="Y47" t="str">
        <v>PB270044</v>
      </c>
    </row>
    <row r="48">
      <c r="A48">
        <v>47</v>
      </c>
      <c r="B48" t="str">
        <v>Girl on wood skis</v>
      </c>
      <c r="D48" t="str">
        <v>People</v>
      </c>
      <c r="E48" t="str">
        <v>Sports &amp; Leisure</v>
      </c>
      <c r="F48" t="str">
        <v>Large girl on wood skis</v>
      </c>
      <c r="G48" t="str">
        <v>Other</v>
      </c>
      <c r="H48" t="str">
        <v>Moves legs walk on skis</v>
      </c>
      <c r="I48" t="str">
        <v>Plastic and cloth</v>
      </c>
      <c r="J48" t="str">
        <v>30x16x30</v>
      </c>
      <c r="L48" t="str">
        <v>Good</v>
      </c>
      <c r="M48" t="str">
        <v>1965</v>
      </c>
      <c r="N48" t="str">
        <v>1969</v>
      </c>
      <c r="W48" t="str">
        <v>PC120001</v>
      </c>
      <c r="X48" t="str">
        <v>PC120002</v>
      </c>
    </row>
    <row r="49">
      <c r="A49">
        <v>48</v>
      </c>
      <c r="B49" t="str">
        <v>Gustav the Miller</v>
      </c>
      <c r="C49">
        <v>230</v>
      </c>
      <c r="D49" t="str">
        <v>People</v>
      </c>
      <c r="E49" t="str">
        <v>Professions/Industrial</v>
      </c>
      <c r="F49" t="str">
        <v>Miller climbing to the mill w/ a sack of flour on head</v>
      </c>
      <c r="G49" t="str">
        <v>Other</v>
      </c>
      <c r="H49" t="str">
        <v>When pushing down the miller, he climbs to the top, moving arms and legs, while sails rotate; he "picks" the sack of flour and descends</v>
      </c>
      <c r="I49" t="str">
        <v>Tin</v>
      </c>
      <c r="J49" t="str">
        <v>14x11x48</v>
      </c>
      <c r="K49" t="str">
        <v>Lehmann</v>
      </c>
      <c r="L49" t="str">
        <v>Excellent</v>
      </c>
      <c r="M49" t="str">
        <v>1927</v>
      </c>
      <c r="N49" t="str">
        <v>1945</v>
      </c>
      <c r="O49" t="str">
        <v>Good</v>
      </c>
      <c r="T49" t="str">
        <v>59 (127)</v>
      </c>
      <c r="U49" t="str">
        <v>pat. DRP 49749</v>
      </c>
      <c r="W49" t="str">
        <v>PC120005</v>
      </c>
      <c r="X49" t="str">
        <v>PC120005A</v>
      </c>
    </row>
    <row r="50">
      <c r="A50">
        <v>49</v>
      </c>
      <c r="B50" t="str">
        <v>Ballon Blowing Teddy</v>
      </c>
      <c r="D50" t="str">
        <v>Animals</v>
      </c>
      <c r="E50" t="str">
        <v>Sports &amp; Leisure</v>
      </c>
      <c r="F50" t="str">
        <v>Bear seated and blowing a baloon</v>
      </c>
      <c r="G50" t="str">
        <v>Battery</v>
      </c>
      <c r="H50" t="str">
        <v>kicks feert, raises the baloon to mouth and inflates it; eyes light</v>
      </c>
      <c r="I50" t="str">
        <v>Tin and cloth</v>
      </c>
      <c r="J50" t="str">
        <v>14x13x29</v>
      </c>
      <c r="K50" t="str">
        <v>Alps</v>
      </c>
      <c r="L50" t="str">
        <v>Very Good</v>
      </c>
      <c r="M50" t="str">
        <v>1955</v>
      </c>
      <c r="N50" t="str">
        <v>1959</v>
      </c>
      <c r="S50" t="str">
        <v>80-100 (2024)</v>
      </c>
      <c r="T50" t="str">
        <v>17 (24)</v>
      </c>
      <c r="U50" t="str">
        <v>Second trademark: Iwaia (Rock Valley Toys(VIA), 52 (40)) Variant with monkey scarcity 3/10 desirability 3/6</v>
      </c>
      <c r="W50" t="str">
        <v>PC120004</v>
      </c>
      <c r="X50" t="str">
        <v>PC120006</v>
      </c>
      <c r="Y50" t="str">
        <v>PC120007</v>
      </c>
    </row>
    <row r="51">
      <c r="A51">
        <v>50</v>
      </c>
      <c r="B51" t="str">
        <v>Gino Neapolitan Baloon Blower</v>
      </c>
      <c r="C51">
        <v>110</v>
      </c>
      <c r="D51" t="str">
        <v>People</v>
      </c>
      <c r="E51" t="str">
        <v>Professions/Industrial</v>
      </c>
      <c r="F51" t="str">
        <v>Man w/ bell and gas bottle to blow bubbles</v>
      </c>
      <c r="G51" t="str">
        <v>Battery</v>
      </c>
      <c r="H51" t="str">
        <v>Moves eyes, rings a bell and lifts soap solution to blow bubbles</v>
      </c>
      <c r="I51" t="str">
        <v>Tin, plastic and cloth</v>
      </c>
      <c r="J51" t="str">
        <v>19x17x27</v>
      </c>
      <c r="K51" t="str">
        <v>Tomiyama</v>
      </c>
      <c r="L51" t="str">
        <v>Excellent</v>
      </c>
      <c r="M51" t="str">
        <v>1965</v>
      </c>
      <c r="N51" t="str">
        <v>1969</v>
      </c>
      <c r="O51" t="str">
        <v>Very good + instructions</v>
      </c>
      <c r="S51" t="str">
        <v>150-200 (2024) w/ box</v>
      </c>
      <c r="T51" t="str">
        <v>17 (65) 35 (83)</v>
      </c>
      <c r="U51" t="str">
        <v>"Rosko Toy, Rosko Tested" scarcity 3/10 desirability 4/6</v>
      </c>
      <c r="W51" t="str">
        <v>PC120009</v>
      </c>
      <c r="X51" t="str">
        <v>PC120010</v>
      </c>
      <c r="Y51" t="str">
        <v>PC120011</v>
      </c>
    </row>
    <row r="52">
      <c r="A52">
        <v>51</v>
      </c>
      <c r="B52" t="str">
        <v>Bubble Blowing Monkey</v>
      </c>
      <c r="D52" t="str">
        <v>Animals</v>
      </c>
      <c r="E52" t="str">
        <v>Sports &amp; Leisure</v>
      </c>
      <c r="F52" t="str">
        <v>Seated Monkey blowing bubbles</v>
      </c>
      <c r="G52" t="str">
        <v>Battery</v>
      </c>
      <c r="H52" t="str">
        <v>Lowers arm to pick up soap, raises arm and blow bubbles; eyes light</v>
      </c>
      <c r="I52" t="str">
        <v>Tin, plastic and cloth</v>
      </c>
      <c r="J52" t="str">
        <v>12x13x28</v>
      </c>
      <c r="K52" t="str">
        <v>Alps</v>
      </c>
      <c r="L52" t="str">
        <v>Very Good</v>
      </c>
      <c r="M52" t="str">
        <v>1955</v>
      </c>
      <c r="N52" t="str">
        <v>1959</v>
      </c>
      <c r="O52" t="str">
        <v>Base of box missing</v>
      </c>
      <c r="S52" t="str">
        <v>100 (2024)</v>
      </c>
      <c r="T52" t="str">
        <v>17 (33) 35( 36) 73 (43)</v>
      </c>
      <c r="U52" t="str">
        <v>Second trademark: Iwaya (Rock Valley Toys(VIA), 52 (40)) Patents:  32-26828.47809.14867.16154.5274 38-12251.12252 scarcity 3/10 desirability 2/6</v>
      </c>
      <c r="W52" t="str">
        <v>PC120012</v>
      </c>
      <c r="X52" t="str">
        <v>PC120013</v>
      </c>
    </row>
    <row r="53">
      <c r="A53">
        <v>52</v>
      </c>
      <c r="B53" t="str">
        <v>Bubble  Panda</v>
      </c>
      <c r="C53" t="str">
        <v>ME781</v>
      </c>
      <c r="D53" t="str">
        <v>Animals</v>
      </c>
      <c r="E53" t="str">
        <v>Sports &amp; Leisure</v>
      </c>
      <c r="F53" t="str">
        <v>Seated Panda Bear blowing bubbles</v>
      </c>
      <c r="G53" t="str">
        <v>Battery</v>
      </c>
      <c r="H53" t="str">
        <v>Lowers arm to pick up soap, raises arm and blow bubbles; eyes light</v>
      </c>
      <c r="I53" t="str">
        <v>Tin, plastic and cloth</v>
      </c>
      <c r="J53" t="str">
        <v>21x14x27</v>
      </c>
      <c r="L53" t="str">
        <v>Very Good</v>
      </c>
      <c r="M53" t="str">
        <v>1960</v>
      </c>
      <c r="N53" t="str">
        <v>1969</v>
      </c>
      <c r="S53" t="str">
        <v>140 (2024)</v>
      </c>
      <c r="U53" t="str">
        <v>Rarity 5/5</v>
      </c>
      <c r="V53" t="str">
        <v>Made in China; diificult to stand without batteries</v>
      </c>
      <c r="W53" t="str">
        <v>PC120056</v>
      </c>
      <c r="X53" t="str">
        <v>PC120058</v>
      </c>
    </row>
    <row r="54">
      <c r="A54">
        <v>53</v>
      </c>
      <c r="B54" t="str">
        <v>Bubble Blowing Boy</v>
      </c>
      <c r="D54" t="str">
        <v>People</v>
      </c>
      <c r="E54" t="str">
        <v>Sports &amp; Leisure</v>
      </c>
      <c r="F54" t="str">
        <v>Seated boy blowing bubbles</v>
      </c>
      <c r="G54" t="str">
        <v>Battery</v>
      </c>
      <c r="H54" t="str">
        <v>Boy bends forward to pick-up soap, then back and blows bubbles</v>
      </c>
      <c r="I54" t="str">
        <v>Tin and plastic</v>
      </c>
      <c r="J54" t="str">
        <v>15x11x19</v>
      </c>
      <c r="K54" t="str">
        <v>Yonezawa</v>
      </c>
      <c r="L54" t="str">
        <v>Very Good</v>
      </c>
      <c r="M54" t="str">
        <v>1955</v>
      </c>
      <c r="N54" t="str">
        <v>1959</v>
      </c>
      <c r="S54" t="str">
        <v>120 (2024)</v>
      </c>
      <c r="T54" t="str">
        <v>17 (58) 35 (36)</v>
      </c>
      <c r="U54" t="str">
        <v xml:space="preserve">Second trademark Tomiyama (ETCo 52 (28) used until 1959) scarcity 6/10 desirability 4/6 </v>
      </c>
      <c r="V54" t="str">
        <v>plastic cup missing</v>
      </c>
      <c r="W54" t="str">
        <v>PC120014</v>
      </c>
      <c r="X54" t="str">
        <v>PC120015</v>
      </c>
      <c r="Y54" t="str">
        <v>PC120016</v>
      </c>
    </row>
    <row r="55">
      <c r="A55">
        <v>54</v>
      </c>
      <c r="B55" t="str">
        <v>Champ on Ice Bear Skater Trio</v>
      </c>
      <c r="D55" t="str">
        <v>Animals</v>
      </c>
      <c r="E55" t="str">
        <v>Sports &amp; Leisure</v>
      </c>
      <c r="F55" t="str">
        <v>Trio of Bear Skaters</v>
      </c>
      <c r="G55" t="str">
        <v>Clockwork</v>
      </c>
      <c r="H55" t="str">
        <v>Front bear swings arms  as other bears kick their left legs in skating motion</v>
      </c>
      <c r="I55" t="str">
        <v>Tin</v>
      </c>
      <c r="J55" t="str">
        <v>22x5x14</v>
      </c>
      <c r="K55" t="str">
        <v>TPS</v>
      </c>
      <c r="L55" t="str">
        <v>Excellent</v>
      </c>
      <c r="M55" t="str">
        <v>1960</v>
      </c>
      <c r="N55" t="str">
        <v>1969</v>
      </c>
      <c r="O55" t="str">
        <v>Excellent</v>
      </c>
      <c r="S55" t="str">
        <v>450-500 (2024) w/ box</v>
      </c>
      <c r="T55" t="str">
        <v>51 (62)</v>
      </c>
      <c r="U55" t="str">
        <v>"Fino", name of variant from Greece scarcity 4/5</v>
      </c>
      <c r="W55" t="str">
        <v>PC120017</v>
      </c>
      <c r="X55" t="str">
        <v>PC120018</v>
      </c>
      <c r="Y55" t="str">
        <v xml:space="preserve"> PC120019</v>
      </c>
    </row>
    <row r="56">
      <c r="A56">
        <v>55</v>
      </c>
      <c r="B56" t="str">
        <v>Girl on Handcar</v>
      </c>
      <c r="D56" t="str">
        <v>People</v>
      </c>
      <c r="E56" t="str">
        <v>Sports &amp; Leisure</v>
      </c>
      <c r="F56" t="str">
        <v>Celluloid Girl on  Handcar</v>
      </c>
      <c r="G56" t="str">
        <v>Clockwork</v>
      </c>
      <c r="H56" t="str">
        <v>Girl "pulls" handcar and this moves, bell rings</v>
      </c>
      <c r="I56" t="str">
        <v>Tin</v>
      </c>
      <c r="J56" t="str">
        <v>12x5x15</v>
      </c>
      <c r="L56" t="str">
        <v>Very Good</v>
      </c>
      <c r="M56" t="str">
        <v>1930</v>
      </c>
      <c r="N56" t="str">
        <v>1939</v>
      </c>
      <c r="U56" t="str">
        <v>Logo: Five point star inside a circle; has paper stamp "Passed TCMA Inspection"</v>
      </c>
      <c r="V56" t="str">
        <v>made in Japan</v>
      </c>
      <c r="W56" t="str">
        <v>PC120020</v>
      </c>
      <c r="X56" t="str">
        <v>PC120021</v>
      </c>
      <c r="Y56" t="str">
        <v>PC120023</v>
      </c>
    </row>
    <row r="57">
      <c r="A57">
        <v>56</v>
      </c>
      <c r="B57" t="str">
        <v>Ski-Jumper "Skilaufer"</v>
      </c>
      <c r="C57">
        <v>220</v>
      </c>
      <c r="D57" t="str">
        <v>People</v>
      </c>
      <c r="E57" t="str">
        <v>Sports &amp; Leisure</v>
      </c>
      <c r="F57" t="str">
        <v>Girl w/ yellow jacket and red scarf on skis</v>
      </c>
      <c r="G57" t="str">
        <v>Clockwork</v>
      </c>
      <c r="H57" t="str">
        <v>Both arms rotate making her move forward</v>
      </c>
      <c r="I57" t="str">
        <v>Tin</v>
      </c>
      <c r="J57" t="str">
        <v>11x9x12</v>
      </c>
      <c r="K57" t="str">
        <v>Blomer &amp; Schuler</v>
      </c>
      <c r="L57" t="str">
        <v>Very Good</v>
      </c>
      <c r="M57" t="str">
        <v>1953</v>
      </c>
      <c r="N57" t="str">
        <v>1962</v>
      </c>
      <c r="S57" t="str">
        <v>230 (2024)</v>
      </c>
      <c r="T57" t="str">
        <v>46 (54)</v>
      </c>
      <c r="U57" t="str">
        <v>Variant with blue jacket</v>
      </c>
      <c r="V57" t="str">
        <v>made in US Zone Germany</v>
      </c>
      <c r="W57" t="str">
        <v>PC120024</v>
      </c>
      <c r="X57" t="str">
        <v>PC120025</v>
      </c>
      <c r="Y57" t="str">
        <v>PC120026</v>
      </c>
    </row>
    <row r="58">
      <c r="A58">
        <v>57</v>
      </c>
      <c r="B58" t="str">
        <v>Acrobat Skier</v>
      </c>
      <c r="D58" t="str">
        <v>People</v>
      </c>
      <c r="E58" t="str">
        <v>Sports &amp; Leisure</v>
      </c>
      <c r="F58" t="str">
        <v>Skier no.7</v>
      </c>
      <c r="G58" t="str">
        <v>Clockwork</v>
      </c>
      <c r="H58" t="str">
        <v>Both arms rotate making her move forward</v>
      </c>
      <c r="I58" t="str">
        <v>Tin</v>
      </c>
      <c r="J58" t="str">
        <v>10x8x8</v>
      </c>
      <c r="K58" t="str">
        <v>Toy Hero</v>
      </c>
      <c r="L58" t="str">
        <v>Good</v>
      </c>
      <c r="M58" t="str">
        <v>1980</v>
      </c>
      <c r="N58" t="str">
        <v>1989</v>
      </c>
      <c r="S58" t="str">
        <v>50 (2024) w/ box</v>
      </c>
      <c r="W58" t="str">
        <v>PC120027</v>
      </c>
      <c r="X58" t="str">
        <v>PC120029</v>
      </c>
      <c r="Y58" t="str">
        <v>PC120030</v>
      </c>
    </row>
    <row r="59">
      <c r="A59">
        <v>58</v>
      </c>
      <c r="B59" t="str">
        <v>Bob-boy</v>
      </c>
      <c r="C59" t="str">
        <v>57/3</v>
      </c>
      <c r="D59" t="str">
        <v>People</v>
      </c>
      <c r="E59" t="str">
        <v>Sports &amp; Leisure</v>
      </c>
      <c r="F59" t="str">
        <v>Boy on sled</v>
      </c>
      <c r="G59" t="str">
        <v>Clockwork</v>
      </c>
      <c r="H59" t="str">
        <v>Boy runs and pushes sled, then jumps on it and rides, and repeats</v>
      </c>
      <c r="I59" t="str">
        <v xml:space="preserve">Tin </v>
      </c>
      <c r="J59" t="str">
        <v>11x4x8</v>
      </c>
      <c r="K59" t="str">
        <v>Gescha</v>
      </c>
      <c r="L59" t="str">
        <v>Very Good</v>
      </c>
      <c r="M59" t="str">
        <v>1952</v>
      </c>
      <c r="N59" t="str">
        <v>1959</v>
      </c>
      <c r="S59" t="str">
        <v>350 (2024) w/poor  box</v>
      </c>
      <c r="T59" t="str">
        <v>46 (116)</v>
      </c>
      <c r="W59" t="str">
        <v>PC120031</v>
      </c>
      <c r="X59" t="str">
        <v>PC120032</v>
      </c>
    </row>
    <row r="60">
      <c r="A60">
        <v>59</v>
      </c>
      <c r="B60" t="str">
        <v>Hess-Roller Kismet</v>
      </c>
      <c r="D60" t="str">
        <v>People</v>
      </c>
      <c r="E60" t="str">
        <v>Sports &amp; Leisure</v>
      </c>
      <c r="F60" t="str">
        <v>Boy w/ grey jacket on sled</v>
      </c>
      <c r="G60" t="str">
        <v>Friction</v>
      </c>
      <c r="H60" t="str">
        <v>When pushed rides forward</v>
      </c>
      <c r="I60" t="str">
        <v>Tin</v>
      </c>
      <c r="J60" t="str">
        <v>16x4x8</v>
      </c>
      <c r="K60" t="str">
        <v>Hess</v>
      </c>
      <c r="L60" t="str">
        <v>Very Good</v>
      </c>
      <c r="M60" t="str">
        <v>1911</v>
      </c>
      <c r="N60" t="str">
        <v>1919</v>
      </c>
      <c r="S60" t="str">
        <v>300-400 (2024)</v>
      </c>
      <c r="T60" t="str">
        <v>66 (179)</v>
      </c>
      <c r="U60" t="str">
        <v>“JLH”logo, Marke, Germany, D. R. Patent, D.R.G.M., U.S. Patent applied for</v>
      </c>
      <c r="W60" t="str">
        <v>PC120034</v>
      </c>
      <c r="X60" t="str">
        <v>PC120035</v>
      </c>
    </row>
    <row r="61">
      <c r="A61">
        <v>60</v>
      </c>
      <c r="B61" t="str">
        <v>Comical Clara</v>
      </c>
      <c r="D61" t="str">
        <v>People</v>
      </c>
      <c r="E61" t="str">
        <v>Sports &amp; Leisure</v>
      </c>
      <c r="F61" t="str">
        <v>Girl w/ popping eyes</v>
      </c>
      <c r="G61" t="str">
        <v>Clockwork</v>
      </c>
      <c r="H61" t="str">
        <v>Girl wiggles laterally causing arms to move like she is walking, while eyes pop in and out</v>
      </c>
      <c r="I61" t="str">
        <v>Tin</v>
      </c>
      <c r="J61" t="str">
        <v>6x7x13</v>
      </c>
      <c r="K61" t="str">
        <v>TPS</v>
      </c>
      <c r="L61" t="str">
        <v>Excellent</v>
      </c>
      <c r="M61" t="str">
        <v>1967</v>
      </c>
      <c r="N61" t="str">
        <v>1969</v>
      </c>
      <c r="O61" t="str">
        <v>Excellent</v>
      </c>
      <c r="S61" t="str">
        <v>270 (2024) w/ box</v>
      </c>
      <c r="T61" t="str">
        <v>51 (77)</v>
      </c>
      <c r="U61" t="str">
        <v>" The Cute Kids with the Comical Eyes and the Wig Wag Walk"  Pairs with Pop Eye Pete Scarcity 3/5</v>
      </c>
      <c r="W61" t="str">
        <v>PC120036</v>
      </c>
    </row>
    <row r="62">
      <c r="A62">
        <v>61</v>
      </c>
      <c r="B62" t="str">
        <v>Pop Eye Pete</v>
      </c>
      <c r="D62" t="str">
        <v>People</v>
      </c>
      <c r="E62" t="str">
        <v>Sports &amp; Leisure</v>
      </c>
      <c r="F62" t="str">
        <v>Boy w/ popping eyes</v>
      </c>
      <c r="G62" t="str">
        <v>Clockwork</v>
      </c>
      <c r="H62" t="str">
        <v>Boywiggles laterally causing arms to move like she is walking, while eyes pop in and out</v>
      </c>
      <c r="I62" t="str">
        <v>Tin</v>
      </c>
      <c r="J62" t="str">
        <v>6x7x13</v>
      </c>
      <c r="K62" t="str">
        <v>TPS</v>
      </c>
      <c r="L62" t="str">
        <v>Excellent</v>
      </c>
      <c r="M62" t="str">
        <v>1967</v>
      </c>
      <c r="N62" t="str">
        <v>1969</v>
      </c>
      <c r="O62" t="str">
        <v>Excellent</v>
      </c>
      <c r="S62" t="str">
        <v>450 (2024) w/ box</v>
      </c>
      <c r="T62" t="str">
        <v>51 (155)</v>
      </c>
      <c r="U62" t="str">
        <v xml:space="preserve"> The Cute Kids with the Comical Eyes and the Wig Wag Walk  Pairs with Comical Clara Scarcity 4/5</v>
      </c>
      <c r="W62" t="str">
        <v>PC120036</v>
      </c>
    </row>
    <row r="63">
      <c r="A63">
        <v>62</v>
      </c>
      <c r="B63" t="str">
        <v>Madi</v>
      </c>
      <c r="D63" t="str">
        <v>People</v>
      </c>
      <c r="E63" t="str">
        <v>Sports &amp; Leisure</v>
      </c>
      <c r="F63" t="str">
        <v>Girl w/ blue and white dots dress pushing pram</v>
      </c>
      <c r="G63" t="str">
        <v>Clockwork</v>
      </c>
      <c r="H63" t="str">
        <v>Pram moves forward, girl moves legs (4 legs rotate inside skirt)</v>
      </c>
      <c r="I63" t="str">
        <v>Tin</v>
      </c>
      <c r="J63" t="str">
        <v>16x5x10</v>
      </c>
      <c r="K63" t="str">
        <v>Voit</v>
      </c>
      <c r="L63" t="str">
        <v>Excellent</v>
      </c>
      <c r="M63" t="str">
        <v>1950</v>
      </c>
      <c r="N63" t="str">
        <v>1959</v>
      </c>
      <c r="R63" t="str">
        <v>Shop in Paris</v>
      </c>
      <c r="T63" t="str">
        <v>46 (273) 66 (467)</v>
      </c>
      <c r="V63" t="str">
        <v>made in US  Zone Germany</v>
      </c>
      <c r="W63" t="str">
        <v>PC120039</v>
      </c>
    </row>
    <row r="64">
      <c r="A64">
        <v>63</v>
      </c>
      <c r="B64" t="str">
        <v>Girl with Pram</v>
      </c>
      <c r="C64" t="str">
        <v>4/0</v>
      </c>
      <c r="D64" t="str">
        <v>People</v>
      </c>
      <c r="E64" t="str">
        <v>Sports &amp; Leisure</v>
      </c>
      <c r="F64" t="str">
        <v>Girl pushing blue pram</v>
      </c>
      <c r="G64" t="str">
        <v>Clockwork</v>
      </c>
      <c r="H64" t="str">
        <v>Pram moves in a circle, girl "moves"legs</v>
      </c>
      <c r="I64" t="str">
        <v>Tin</v>
      </c>
      <c r="J64" t="str">
        <v>11x4x8x10</v>
      </c>
      <c r="K64" t="str">
        <v>GOSO</v>
      </c>
      <c r="L64" t="str">
        <v>Very Good</v>
      </c>
      <c r="M64" t="str">
        <v>1950</v>
      </c>
      <c r="N64" t="str">
        <v>1959</v>
      </c>
      <c r="O64" t="str">
        <v>Poor</v>
      </c>
      <c r="P64">
        <v>0</v>
      </c>
      <c r="R64" t="str">
        <v>Offered by Joaquim Vieira</v>
      </c>
      <c r="T64" t="str">
        <v>46 (128)</v>
      </c>
      <c r="V64" t="str">
        <v>made in US  Zone Germany</v>
      </c>
      <c r="W64" t="str">
        <v>PC120040</v>
      </c>
      <c r="X64" t="str">
        <v xml:space="preserve"> PC120042</v>
      </c>
      <c r="Y64" t="str">
        <v>PC120043</v>
      </c>
    </row>
    <row r="65">
      <c r="A65">
        <v>64</v>
      </c>
      <c r="B65" t="str">
        <v>Playground</v>
      </c>
      <c r="C65">
        <v>370</v>
      </c>
      <c r="D65" t="str">
        <v>Tracks /Platform base</v>
      </c>
      <c r="E65" t="str">
        <v>Sports &amp; Leisure</v>
      </c>
      <c r="F65" t="str">
        <v>Small girl pushing  pram on a track w/ carroucel</v>
      </c>
      <c r="G65" t="str">
        <v>Clockwork</v>
      </c>
      <c r="H65" t="str">
        <v>Girl  moves forward towards carroucel (which turns), then turns 180º and moves towards house, repeats</v>
      </c>
      <c r="I65" t="str">
        <v>Tin</v>
      </c>
      <c r="J65" t="str">
        <v>38x4x7</v>
      </c>
      <c r="K65" t="str">
        <v>Arnold</v>
      </c>
      <c r="L65" t="str">
        <v>Excellent</v>
      </c>
      <c r="M65" t="str">
        <v>1957</v>
      </c>
      <c r="N65" t="str">
        <v>1959</v>
      </c>
      <c r="O65" t="str">
        <v>Excellent</v>
      </c>
      <c r="S65" t="str">
        <v>800 (2024)</v>
      </c>
      <c r="T65" t="str">
        <v>10 (93) 46 (33)</v>
      </c>
      <c r="W65" t="str">
        <v>PC120037</v>
      </c>
    </row>
    <row r="66">
      <c r="A66">
        <v>65</v>
      </c>
      <c r="B66" t="str">
        <v>Baby crawling</v>
      </c>
      <c r="D66" t="str">
        <v>People</v>
      </c>
      <c r="E66" t="str">
        <v>Sports &amp; Leisure</v>
      </c>
      <c r="F66" t="str">
        <v>Baby w/ red dotted clothes crawling</v>
      </c>
      <c r="G66" t="str">
        <v>Clockwork</v>
      </c>
      <c r="H66" t="str">
        <v>Wiggles arms and legs to move forward</v>
      </c>
      <c r="I66" t="str">
        <v>Celuloid</v>
      </c>
      <c r="J66" t="str">
        <v>14x8x9</v>
      </c>
      <c r="K66" t="str">
        <v>Alps</v>
      </c>
      <c r="L66" t="str">
        <v>Very Good</v>
      </c>
      <c r="M66" t="str">
        <v>1945</v>
      </c>
      <c r="N66" t="str">
        <v>1955</v>
      </c>
      <c r="S66" t="str">
        <v>60 (2024)</v>
      </c>
      <c r="T66" t="str">
        <v>126 (92, 94)</v>
      </c>
      <c r="U66" t="str">
        <v>probably Alps</v>
      </c>
      <c r="V66" t="str">
        <v>made in Occupied Japan</v>
      </c>
      <c r="W66" t="str">
        <v>PC120045</v>
      </c>
      <c r="X66" t="str">
        <v>PC120047</v>
      </c>
    </row>
    <row r="67">
      <c r="A67">
        <v>66</v>
      </c>
      <c r="B67" t="str">
        <v>Tyrolean with Alpine girl</v>
      </c>
      <c r="C67" t="str">
        <v>983/8</v>
      </c>
      <c r="D67" t="str">
        <v>People</v>
      </c>
      <c r="E67" t="str">
        <v>Sports &amp; Leisure</v>
      </c>
      <c r="F67" t="str">
        <v>Tyrolean boy holding in his arms an alpine girl</v>
      </c>
      <c r="G67" t="str">
        <v>Clockwork</v>
      </c>
      <c r="H67" t="str">
        <v>Vibrtaes and rotates, while raising and lowering girl</v>
      </c>
      <c r="I67" t="str">
        <v>Tin and cloth</v>
      </c>
      <c r="J67" t="str">
        <v>11x4x13</v>
      </c>
      <c r="K67" t="str">
        <v>Schuco</v>
      </c>
      <c r="L67" t="str">
        <v>Very Good</v>
      </c>
      <c r="M67" t="str">
        <v>1935</v>
      </c>
      <c r="N67" t="str">
        <v>1939</v>
      </c>
      <c r="S67" t="str">
        <v>300 (2024)</v>
      </c>
      <c r="T67" t="str">
        <v>92 (145)</v>
      </c>
      <c r="V67" t="str">
        <v>animal tail on hat was glued (wire broke)</v>
      </c>
      <c r="W67" t="str">
        <v>PC120048</v>
      </c>
      <c r="X67" t="str">
        <v>PC120049</v>
      </c>
    </row>
    <row r="68">
      <c r="A68">
        <v>67</v>
      </c>
      <c r="B68" t="str">
        <v>Walking Doll</v>
      </c>
      <c r="D68" t="str">
        <v>People</v>
      </c>
      <c r="E68" t="str">
        <v>Sports &amp; Leisure</v>
      </c>
      <c r="F68" t="str">
        <v>Boy in wanderer w/ white horse head</v>
      </c>
      <c r="G68" t="str">
        <v>Clockwork</v>
      </c>
      <c r="H68" t="str">
        <v>Moves legs and advances slowly</v>
      </c>
      <c r="I68" t="str">
        <v>Tin, plastic and cloth</v>
      </c>
      <c r="J68" t="str">
        <v>11x9x15</v>
      </c>
      <c r="K68" t="str">
        <v>Nomura</v>
      </c>
      <c r="L68" t="str">
        <v>Excellent</v>
      </c>
      <c r="M68" t="str">
        <v>1955</v>
      </c>
      <c r="N68" t="str">
        <v>1959</v>
      </c>
      <c r="O68" t="str">
        <v>Very good</v>
      </c>
      <c r="P68">
        <v>60</v>
      </c>
      <c r="Q68" t="str">
        <v>Sept 2015</v>
      </c>
      <c r="R68" t="str">
        <v>Street market in Viena</v>
      </c>
      <c r="V68" t="str">
        <v>socks in box</v>
      </c>
      <c r="W68" t="str">
        <v>PC120050</v>
      </c>
      <c r="X68" t="str">
        <v>PC120051</v>
      </c>
    </row>
    <row r="69">
      <c r="A69">
        <v>68</v>
      </c>
      <c r="B69" t="str">
        <v>Dutch Girl with Baby</v>
      </c>
      <c r="D69" t="str">
        <v>People</v>
      </c>
      <c r="E69" t="str">
        <v>Sports &amp; Leisure</v>
      </c>
      <c r="F69" t="str">
        <v>Celuloid dutch girl w/ baby</v>
      </c>
      <c r="G69" t="str">
        <v>Clockwork</v>
      </c>
      <c r="H69" t="str">
        <v>Moves forward</v>
      </c>
      <c r="I69" t="str">
        <v>Celuloid</v>
      </c>
      <c r="J69" t="str">
        <v>5x6x11</v>
      </c>
      <c r="K69" t="str">
        <v>Kawano</v>
      </c>
      <c r="L69" t="str">
        <v>Good</v>
      </c>
      <c r="M69" t="str">
        <v>1950</v>
      </c>
      <c r="N69" t="str">
        <v>1959</v>
      </c>
      <c r="Q69">
        <v>1987</v>
      </c>
      <c r="V69" t="str">
        <v>bought when André was born</v>
      </c>
      <c r="W69" t="str">
        <v>PC150003</v>
      </c>
      <c r="X69" t="str">
        <v xml:space="preserve"> PC150005</v>
      </c>
    </row>
    <row r="70">
      <c r="A70">
        <v>69</v>
      </c>
      <c r="B70" t="str">
        <v>Embarrassed Girl</v>
      </c>
      <c r="C70">
        <v>197</v>
      </c>
      <c r="D70" t="str">
        <v>People</v>
      </c>
      <c r="E70" t="str">
        <v>Sports &amp; Leisure</v>
      </c>
      <c r="F70" t="str">
        <v>Girl sitted on chamber pot</v>
      </c>
      <c r="G70" t="str">
        <v>Other</v>
      </c>
      <c r="H70" t="str">
        <v>when lever is pressed, girl stands up and a small mouse jumps from the pot</v>
      </c>
      <c r="I70" t="str">
        <v>Tin</v>
      </c>
      <c r="J70" t="str">
        <v>2x10x12</v>
      </c>
      <c r="K70" t="str">
        <v>Einfalt</v>
      </c>
      <c r="L70" t="str">
        <v>Very Good</v>
      </c>
      <c r="M70" t="str">
        <v>1925</v>
      </c>
      <c r="N70" t="str">
        <v>1929</v>
      </c>
      <c r="S70" t="str">
        <v>250 (2024)</v>
      </c>
      <c r="T70" t="str">
        <v>1 (39) 65 (132)</v>
      </c>
      <c r="U70" t="str">
        <v>DRGM</v>
      </c>
      <c r="W70" t="str">
        <v>PC120055</v>
      </c>
    </row>
    <row r="71">
      <c r="A71">
        <v>70</v>
      </c>
      <c r="B71" t="str">
        <v>Happy Life</v>
      </c>
      <c r="D71" t="str">
        <v>People</v>
      </c>
      <c r="E71" t="str">
        <v>Sports &amp; Leisure</v>
      </c>
      <c r="F71" t="str">
        <v>Girl seated in the sunshade w/ a goose nearby</v>
      </c>
      <c r="G71" t="str">
        <v>Clockwork</v>
      </c>
      <c r="H71" t="str">
        <v>Sunshade rotates, girl balances in the chair, goose rotates and makes noise</v>
      </c>
      <c r="I71" t="str">
        <v>Tin, plastic and celuloid</v>
      </c>
      <c r="J71" t="str">
        <v>11x15x24</v>
      </c>
      <c r="K71" t="str">
        <v>Alps</v>
      </c>
      <c r="L71" t="str">
        <v>Very Good</v>
      </c>
      <c r="M71" t="str">
        <v>1945</v>
      </c>
      <c r="N71" t="str">
        <v>1955</v>
      </c>
      <c r="P71">
        <v>243</v>
      </c>
      <c r="Q71">
        <v>45362</v>
      </c>
      <c r="R71" t="str">
        <v>Catawiki</v>
      </c>
      <c r="T71" t="str">
        <v>126 (88)</v>
      </c>
      <c r="U71" t="str">
        <v>"Improved on Pat. 174411 Applies For"; also made by Kuramochi?</v>
      </c>
      <c r="V71" t="str">
        <v>Made in Occupied Japan; neck was glued</v>
      </c>
      <c r="W71" t="str">
        <v>PC150017</v>
      </c>
      <c r="X71" t="str">
        <v>PC150018</v>
      </c>
    </row>
    <row r="72">
      <c r="A72">
        <v>71</v>
      </c>
      <c r="B72" t="str">
        <v>B. O. PLENTY</v>
      </c>
      <c r="D72" t="str">
        <v>People</v>
      </c>
      <c r="E72" t="str">
        <v>Sports &amp; Leisure</v>
      </c>
      <c r="F72" t="str">
        <v>Beared man w/ yellow hat holding a baby girl</v>
      </c>
      <c r="G72" t="str">
        <v>Clockwork</v>
      </c>
      <c r="H72" t="str">
        <v>Oscillates laterally, while hat pops up and down</v>
      </c>
      <c r="I72" t="str">
        <v>Tin</v>
      </c>
      <c r="J72" t="str">
        <v>6x7x22</v>
      </c>
      <c r="K72" t="str">
        <v>Marx</v>
      </c>
      <c r="L72" t="str">
        <v>Excellent</v>
      </c>
      <c r="M72" t="str">
        <v>1935</v>
      </c>
      <c r="N72" t="str">
        <v>1945</v>
      </c>
      <c r="O72" t="str">
        <v>Very Good</v>
      </c>
      <c r="S72" t="str">
        <v>250-300 (2024) w/ box</v>
      </c>
      <c r="T72" t="str">
        <v>7 (94) 50 (65,66)</v>
      </c>
      <c r="U72" t="str">
        <v>Caracter from Dick Tracy Comic strip; the baby is his daugther "Sparkle"; on the back "by permission of Famous Artists Syndicate Copyright by Chicago Trade (?)"</v>
      </c>
      <c r="W72" t="str">
        <v>PC150002</v>
      </c>
    </row>
    <row r="73">
      <c r="A73">
        <v>72</v>
      </c>
      <c r="B73" t="str">
        <v>Royal Cub</v>
      </c>
      <c r="D73" t="str">
        <v>Animals</v>
      </c>
      <c r="E73" t="str">
        <v>Sports &amp; Leisure</v>
      </c>
      <c r="F73" t="str">
        <v>Bear pushing a pram w/ small bear</v>
      </c>
      <c r="G73" t="str">
        <v>Battery</v>
      </c>
      <c r="H73" t="str">
        <v>Bear moves legs and pushes pram, baby bear lifts bottle to mouth and makes a crying sound</v>
      </c>
      <c r="I73" t="str">
        <v>Tin, plastic and cloth</v>
      </c>
      <c r="J73" t="str">
        <v>19x10x19</v>
      </c>
      <c r="K73" t="str">
        <v>Susuki &amp; Eduards</v>
      </c>
      <c r="L73" t="str">
        <v>Excellent</v>
      </c>
      <c r="M73" t="str">
        <v>1955</v>
      </c>
      <c r="N73" t="str">
        <v>1959</v>
      </c>
      <c r="S73" t="str">
        <v>300-500 (2024) w/ box</v>
      </c>
      <c r="T73" t="str">
        <v>17 (34) 35 (151)</v>
      </c>
      <c r="U73" t="str">
        <v xml:space="preserve">scarcity 2/10 desirability 4/6 </v>
      </c>
      <c r="W73" t="str">
        <v>PC150006</v>
      </c>
      <c r="X73" t="str">
        <v>PC150007</v>
      </c>
      <c r="Y73" t="str">
        <v>PC150008</v>
      </c>
    </row>
    <row r="74">
      <c r="A74">
        <v>73</v>
      </c>
      <c r="B74" t="str">
        <v>Baby and Carriage with Pony Tail Girl</v>
      </c>
      <c r="C74" t="str">
        <v>S-3100</v>
      </c>
      <c r="D74" t="str">
        <v>People</v>
      </c>
      <c r="E74" t="str">
        <v>Sports &amp; Leisure</v>
      </c>
      <c r="F74" t="str">
        <v>Girl pushing a pram w/ small baby</v>
      </c>
      <c r="G74" t="str">
        <v>Battery</v>
      </c>
      <c r="H74" t="str">
        <v>Girl moves legs and pushes pram, baby lifts bottle to mouth and makes a crying sound</v>
      </c>
      <c r="I74" t="str">
        <v>Tin, plastic and cloth</v>
      </c>
      <c r="J74" t="str">
        <v>16x8x20</v>
      </c>
      <c r="K74" t="str">
        <v>Susuki &amp; Eduards</v>
      </c>
      <c r="L74" t="str">
        <v>Excellent</v>
      </c>
      <c r="M74" t="str">
        <v>1955</v>
      </c>
      <c r="N74" t="str">
        <v>1959</v>
      </c>
      <c r="O74" t="str">
        <v>Good</v>
      </c>
      <c r="T74" t="str">
        <v>17 (61)</v>
      </c>
      <c r="U74" t="str">
        <v xml:space="preserve">desirability 4/6 </v>
      </c>
      <c r="W74" t="str">
        <v>PC150009</v>
      </c>
      <c r="X74" t="str">
        <v>PC150010</v>
      </c>
      <c r="Y74" t="str">
        <v>PC150011</v>
      </c>
    </row>
    <row r="75">
      <c r="A75">
        <v>74</v>
      </c>
      <c r="B75" t="str">
        <v>Hungry Baby Bear</v>
      </c>
      <c r="D75" t="str">
        <v>Animals</v>
      </c>
      <c r="E75" t="str">
        <v>Sports &amp; Leisure</v>
      </c>
      <c r="F75" t="str">
        <v>Mamma bear feeding a baby bear</v>
      </c>
      <c r="G75" t="str">
        <v>Battery</v>
      </c>
      <c r="H75" t="str">
        <v>Moves head, opens and closes eyes, feeds baby; when removes the bottle, the baby kicks arms and cries</v>
      </c>
      <c r="I75" t="str">
        <v>Tin and cloth</v>
      </c>
      <c r="J75" t="str">
        <v>15x13x23</v>
      </c>
      <c r="K75" t="str">
        <v>Yonezawa</v>
      </c>
      <c r="L75" t="str">
        <v>Good</v>
      </c>
      <c r="M75" t="str">
        <v>1955</v>
      </c>
      <c r="N75" t="str">
        <v>1959</v>
      </c>
      <c r="S75" t="str">
        <v>240 (2024)</v>
      </c>
      <c r="T75" t="str">
        <v>17 (34) 35 (94)</v>
      </c>
      <c r="U75" t="str">
        <v>scarcity 2/10 desirability 4/6</v>
      </c>
      <c r="W75" t="str">
        <v>PC150014</v>
      </c>
      <c r="X75" t="str">
        <v>PC150015</v>
      </c>
      <c r="Y75" t="str">
        <v>PC150016</v>
      </c>
    </row>
    <row r="76">
      <c r="A76">
        <v>75</v>
      </c>
      <c r="B76" t="str">
        <v>Spanky Bear</v>
      </c>
      <c r="D76" t="str">
        <v>Animals</v>
      </c>
      <c r="E76" t="str">
        <v>Sports &amp; Leisure</v>
      </c>
      <c r="F76" t="str">
        <v>Mamma bear spanking a baby bear</v>
      </c>
      <c r="G76" t="str">
        <v>Battery</v>
      </c>
      <c r="H76" t="str">
        <v>Moves head and opens and closes eyes; spanks the baby bottom several times, causing the baby to kick arms and legs and cry, moving mouth</v>
      </c>
      <c r="I76" t="str">
        <v>Tin and cloth</v>
      </c>
      <c r="J76" t="str">
        <v>13x13x23</v>
      </c>
      <c r="K76" t="str">
        <v>Yonezawa</v>
      </c>
      <c r="L76" t="str">
        <v>Reasonable</v>
      </c>
      <c r="M76" t="str">
        <v>1955</v>
      </c>
      <c r="N76" t="str">
        <v>1959</v>
      </c>
      <c r="T76" t="str">
        <v>17 (34) 35 (174)</v>
      </c>
      <c r="U76" t="str">
        <v>scarcity 5/10 desirability 5/6</v>
      </c>
      <c r="V76" t="str">
        <v>hand new; fur in ears is missing</v>
      </c>
      <c r="W76" t="str">
        <v>PC150012</v>
      </c>
      <c r="X76" t="str">
        <v>PC150013</v>
      </c>
    </row>
    <row r="77">
      <c r="A77">
        <v>76</v>
      </c>
      <c r="B77" t="str">
        <v>Lady Pup Tending Her Garden</v>
      </c>
      <c r="C77">
        <v>40145</v>
      </c>
      <c r="D77" t="str">
        <v>Animals</v>
      </c>
      <c r="E77" t="str">
        <v>Sports &amp; Leisure</v>
      </c>
      <c r="F77" t="str">
        <v>Lady Pup watering a flower</v>
      </c>
      <c r="G77" t="str">
        <v>Battery</v>
      </c>
      <c r="H77" t="str">
        <v>Bends forward and "waters" a flower, bends back and sees flower opening and inner light turn on</v>
      </c>
      <c r="I77" t="str">
        <v>Tin, plastic and cloth</v>
      </c>
      <c r="J77" t="str">
        <v>18x11x20</v>
      </c>
      <c r="K77" t="str">
        <v>Tomiyama</v>
      </c>
      <c r="L77" t="str">
        <v>Very Good</v>
      </c>
      <c r="M77" t="str">
        <v>1959</v>
      </c>
      <c r="N77" t="str">
        <v>1963</v>
      </c>
      <c r="O77" t="str">
        <v>Excellent, with instructions</v>
      </c>
      <c r="S77" t="str">
        <v>200 (2024) w/ box</v>
      </c>
      <c r="T77" t="str">
        <v>17 (48) 35 (102)</v>
      </c>
      <c r="U77" t="str">
        <v>"It's Gragstan for Toys" "Watch the flower open and light up as she realistically simulates watering her garden" scarcity 6/10 desirability 5/6</v>
      </c>
      <c r="V77" t="str">
        <v>rubber hand fragile</v>
      </c>
      <c r="W77" t="str">
        <v>P1010003</v>
      </c>
      <c r="X77" t="str">
        <v>P1010004</v>
      </c>
      <c r="Y77" t="str">
        <v xml:space="preserve"> P1010005</v>
      </c>
    </row>
    <row r="78">
      <c r="A78">
        <v>77</v>
      </c>
      <c r="B78" t="str">
        <v>The Jolly Bear Peanut Vendor - Walking Bear and Rolling Cart</v>
      </c>
      <c r="C78">
        <v>50111</v>
      </c>
      <c r="D78" t="str">
        <v>Animals</v>
      </c>
      <c r="E78" t="str">
        <v>Professions/Industrial</v>
      </c>
      <c r="F78" t="str">
        <v>Peanut vendor bear</v>
      </c>
      <c r="G78" t="str">
        <v>Battery</v>
      </c>
      <c r="H78" t="str">
        <v>Walks pushing the smoking cart, while the inside of the cart lights up and the peanuts jump</v>
      </c>
      <c r="I78" t="str">
        <v>Tin, plastic and cloth</v>
      </c>
      <c r="J78" t="str">
        <v>21x13x21</v>
      </c>
      <c r="K78" t="str">
        <v>Nomura</v>
      </c>
      <c r="L78" t="str">
        <v>Excellent</v>
      </c>
      <c r="M78" t="str">
        <v>1955</v>
      </c>
      <c r="N78" t="str">
        <v>1959</v>
      </c>
      <c r="O78" t="str">
        <v>Very Good</v>
      </c>
      <c r="P78">
        <v>0</v>
      </c>
      <c r="Q78" t="str">
        <v>Dec 2021</v>
      </c>
      <c r="R78" t="str">
        <v>Offered by André, purchased in Buenos Aires</v>
      </c>
      <c r="S78" t="str">
        <v>600 (2024) w/ box</v>
      </c>
      <c r="T78" t="str">
        <v>17 (43) 35 (187)</v>
      </c>
      <c r="U78" t="str">
        <v>"It's Cragstan for Toys" scarcity 5/10 desirability 4/6</v>
      </c>
      <c r="W78" t="str">
        <v>PC150030</v>
      </c>
      <c r="X78" t="str">
        <v xml:space="preserve"> PC150031</v>
      </c>
    </row>
    <row r="79">
      <c r="A79">
        <v>78</v>
      </c>
      <c r="B79" t="str">
        <v>Pop Corn Vendor</v>
      </c>
      <c r="D79" t="str">
        <v>Animals</v>
      </c>
      <c r="E79" t="str">
        <v>Professions/Industrial</v>
      </c>
      <c r="F79" t="str">
        <v>Pop corn vendor duck</v>
      </c>
      <c r="G79" t="str">
        <v>Battery</v>
      </c>
      <c r="H79" t="str">
        <v>Walks pushing cart and shaking head while corn pops inside cart</v>
      </c>
      <c r="I79" t="str">
        <v>Tin and plastic</v>
      </c>
      <c r="J79" t="str">
        <v>23x10x17</v>
      </c>
      <c r="K79" t="str">
        <v>Nomura</v>
      </c>
      <c r="L79" t="str">
        <v>Excellent</v>
      </c>
      <c r="M79" t="str">
        <v>1955</v>
      </c>
      <c r="N79" t="str">
        <v>1959</v>
      </c>
      <c r="O79" t="str">
        <v>Very Good</v>
      </c>
      <c r="P79">
        <v>270</v>
      </c>
      <c r="Q79" t="str">
        <v>July 2024</v>
      </c>
      <c r="R79" t="str">
        <v>Holland-Toy Collector (internet)</v>
      </c>
      <c r="T79" t="str">
        <v>17 (43) 35 (139)</v>
      </c>
      <c r="U79" t="str">
        <v>second trademark: Shinkosha Co. Ltd (52 (43)) scarcity 7/10 desirability 4/6</v>
      </c>
      <c r="W79" t="str">
        <v>PC150026</v>
      </c>
      <c r="X79" t="str">
        <v xml:space="preserve"> PC150028</v>
      </c>
      <c r="Y79" t="str">
        <v>PC150029</v>
      </c>
    </row>
    <row r="80">
      <c r="A80">
        <v>79</v>
      </c>
      <c r="B80" t="str">
        <v>Hungry Cat</v>
      </c>
      <c r="C80" t="str">
        <v>J-2519</v>
      </c>
      <c r="D80" t="str">
        <v>Animals</v>
      </c>
      <c r="E80" t="str">
        <v>Sports &amp; Leisure</v>
      </c>
      <c r="F80" t="str">
        <v>Cat trying to catch a fish in a bowl</v>
      </c>
      <c r="G80" t="str">
        <v>Battery</v>
      </c>
      <c r="H80" t="str">
        <v>Bowl must have water and 2 fishes; these swim around while cat swings paw and tail and eyes light</v>
      </c>
      <c r="I80" t="str">
        <v>Tin, plastic and cloth</v>
      </c>
      <c r="J80" t="str">
        <v>20x12x22</v>
      </c>
      <c r="K80" t="str">
        <v>Linemar</v>
      </c>
      <c r="L80" t="str">
        <v>Excellent</v>
      </c>
      <c r="M80" t="str">
        <v>1965</v>
      </c>
      <c r="N80" t="str">
        <v>1969</v>
      </c>
      <c r="O80" t="str">
        <v>Very Good</v>
      </c>
      <c r="P80">
        <v>430</v>
      </c>
      <c r="Q80" t="str">
        <v>Feb2019</v>
      </c>
      <c r="S80" t="str">
        <v>300-400 (2024) w/ box</v>
      </c>
      <c r="T80" t="str">
        <v>17 (44) 35 (94)</v>
      </c>
      <c r="U80" t="str">
        <v>scarcity 8/10 desirability 5/6</v>
      </c>
      <c r="W80" t="str">
        <v>PC150021</v>
      </c>
      <c r="X80" t="str">
        <v xml:space="preserve"> PC150022</v>
      </c>
      <c r="Y80" t="str">
        <v>PC150023</v>
      </c>
    </row>
    <row r="81">
      <c r="A81">
        <v>80</v>
      </c>
      <c r="B81" t="str">
        <v>Kiddy Cyclist</v>
      </c>
      <c r="D81" t="str">
        <v>People</v>
      </c>
      <c r="E81" t="str">
        <v>Sports &amp; Leisure</v>
      </c>
      <c r="F81" t="str">
        <v>Kid on a tricycle</v>
      </c>
      <c r="G81" t="str">
        <v>Clockwork</v>
      </c>
      <c r="H81" t="str">
        <v>Kid pedals tricycle in a circular path, a bell rings</v>
      </c>
      <c r="I81" t="str">
        <v>Tin</v>
      </c>
      <c r="J81" t="str">
        <v>18x11x21</v>
      </c>
      <c r="K81" t="str">
        <v>Unique Art</v>
      </c>
      <c r="L81" t="str">
        <v>Excellent</v>
      </c>
      <c r="M81" t="str">
        <v>1945</v>
      </c>
      <c r="N81" t="str">
        <v>1949</v>
      </c>
      <c r="P81">
        <v>350</v>
      </c>
      <c r="Q81">
        <v>44256</v>
      </c>
      <c r="R81" t="str">
        <v>catawiki</v>
      </c>
      <c r="S81" t="str">
        <v>260 (2024)</v>
      </c>
      <c r="T81" t="str">
        <v>30 (26)</v>
      </c>
      <c r="W81" t="str">
        <v>PC150019</v>
      </c>
      <c r="X81" t="str">
        <v>PC150020</v>
      </c>
    </row>
    <row r="82">
      <c r="A82">
        <v>81</v>
      </c>
      <c r="B82" t="str">
        <v>Heiny</v>
      </c>
      <c r="C82" t="str">
        <v>PL 507</v>
      </c>
      <c r="D82" t="str">
        <v>People</v>
      </c>
      <c r="E82" t="str">
        <v>Sports &amp; Leisure</v>
      </c>
      <c r="F82" t="str">
        <v>Kid on a yellow hand car</v>
      </c>
      <c r="G82" t="str">
        <v>Clockwork</v>
      </c>
      <c r="H82" t="str">
        <v>Kid's arms pull lever of the handcar and this moves forward</v>
      </c>
      <c r="I82" t="str">
        <v>Tin</v>
      </c>
      <c r="J82" t="str">
        <v>15x9x14</v>
      </c>
      <c r="K82" t="str">
        <v>MS-VEB</v>
      </c>
      <c r="L82" t="str">
        <v>Very Good</v>
      </c>
      <c r="M82" t="str">
        <v>1955</v>
      </c>
      <c r="N82" t="str">
        <v>1959</v>
      </c>
      <c r="T82" t="str">
        <v>46 (196</v>
      </c>
      <c r="W82" t="str">
        <v>PC150033</v>
      </c>
      <c r="X82" t="str">
        <v>PC150034</v>
      </c>
    </row>
    <row r="83">
      <c r="A83">
        <v>82</v>
      </c>
      <c r="B83" t="str">
        <v>Tricycle Tot</v>
      </c>
      <c r="D83" t="str">
        <v>People</v>
      </c>
      <c r="E83" t="str">
        <v>Sports &amp; Leisure</v>
      </c>
      <c r="F83" t="str">
        <v>Girl pushing a tricycle</v>
      </c>
      <c r="G83" t="str">
        <v>Clockwork</v>
      </c>
      <c r="H83" t="str">
        <v>Girl bends forward and with left foot pushes tricycle forward</v>
      </c>
      <c r="I83" t="str">
        <v>Tin</v>
      </c>
      <c r="J83" t="str">
        <v>13x7x11</v>
      </c>
      <c r="K83" t="str">
        <v>TPS</v>
      </c>
      <c r="L83" t="str">
        <v>Excellent</v>
      </c>
      <c r="M83" t="str">
        <v>1960</v>
      </c>
      <c r="N83" t="str">
        <v>1969</v>
      </c>
      <c r="P83">
        <v>177</v>
      </c>
      <c r="Q83" t="str">
        <v>Feb/22</v>
      </c>
      <c r="R83" t="str">
        <v>catawiki</v>
      </c>
      <c r="S83" t="str">
        <v>100 (2024)</v>
      </c>
      <c r="T83" t="str">
        <v>51 (192)</v>
      </c>
      <c r="U83" t="str">
        <v>scarcity 3.5/5</v>
      </c>
      <c r="W83" t="str">
        <v>PC150035</v>
      </c>
      <c r="X83" t="str">
        <v>PC150036</v>
      </c>
    </row>
    <row r="84">
      <c r="A84">
        <v>83</v>
      </c>
      <c r="B84" t="str">
        <v>Kiddy Hand Car</v>
      </c>
      <c r="D84" t="str">
        <v>People</v>
      </c>
      <c r="E84" t="str">
        <v>Sports &amp; Leisure</v>
      </c>
      <c r="F84" t="str">
        <v>Boy in a red hand car</v>
      </c>
      <c r="G84" t="str">
        <v>Clockwork</v>
      </c>
      <c r="H84" t="str">
        <v>Moves body backwards to pull lever and make car move forward while bell rings</v>
      </c>
      <c r="I84" t="str">
        <v>Tin and vinyl</v>
      </c>
      <c r="J84" t="str">
        <v>13x6x10</v>
      </c>
      <c r="K84" t="str">
        <v>HAJI</v>
      </c>
      <c r="L84" t="str">
        <v>Excellent</v>
      </c>
      <c r="M84" t="str">
        <v>1965</v>
      </c>
      <c r="N84" t="str">
        <v>1969</v>
      </c>
      <c r="O84" t="str">
        <v>Excellent</v>
      </c>
      <c r="S84" t="str">
        <v>60 (2024) w/ box</v>
      </c>
      <c r="W84" t="str">
        <v>PC150037</v>
      </c>
      <c r="X84" t="str">
        <v xml:space="preserve"> PC150038</v>
      </c>
    </row>
    <row r="85">
      <c r="A85">
        <v>84</v>
      </c>
      <c r="B85" t="str">
        <v>Skip Rope Animals</v>
      </c>
      <c r="D85" t="str">
        <v>Animals</v>
      </c>
      <c r="E85" t="str">
        <v>Sports &amp; Leisure</v>
      </c>
      <c r="F85" t="str">
        <v>Kid bear jumping over a yellow rope</v>
      </c>
      <c r="G85" t="str">
        <v>Clockwork</v>
      </c>
      <c r="H85" t="str">
        <v>Dog's arm rotates rope, while bear jumps over and squirrel oscillates forward/backwards</v>
      </c>
      <c r="I85" t="str">
        <v>Mostly tin</v>
      </c>
      <c r="J85" t="str">
        <v>21x412</v>
      </c>
      <c r="K85" t="str">
        <v>TPS</v>
      </c>
      <c r="L85" t="str">
        <v>Excellent</v>
      </c>
      <c r="M85" t="str">
        <v>1960</v>
      </c>
      <c r="N85" t="str">
        <v>1969</v>
      </c>
      <c r="O85" t="str">
        <v>Good (teared)</v>
      </c>
      <c r="S85" t="str">
        <v>170 (2024) w/ box</v>
      </c>
      <c r="T85" t="str">
        <v>51 (170)</v>
      </c>
      <c r="U85" t="str">
        <v>variant boxes contain Cragstan logo and item 76059; scarcity 1.5/5</v>
      </c>
      <c r="W85" t="str">
        <v>PC150039</v>
      </c>
    </row>
    <row r="86">
      <c r="A86">
        <v>85</v>
      </c>
      <c r="B86" t="str">
        <v>Girl Skipping Rope</v>
      </c>
      <c r="D86" t="str">
        <v>People</v>
      </c>
      <c r="E86" t="str">
        <v>Sports &amp; Leisure</v>
      </c>
      <c r="F86" t="str">
        <v>Girl jumping over a yellow rope</v>
      </c>
      <c r="G86" t="str">
        <v>Clockwork</v>
      </c>
      <c r="H86" t="str">
        <v>Boy's and girl's rigth arm rotates rope, while girl jumps over and boy's head moves up and down</v>
      </c>
      <c r="I86" t="str">
        <v>Tin, vinyl and cloth</v>
      </c>
      <c r="J86" t="str">
        <v>31x5x14</v>
      </c>
      <c r="K86" t="str">
        <v>TPS</v>
      </c>
      <c r="L86" t="str">
        <v>Very Good</v>
      </c>
      <c r="M86" t="str">
        <v>1960</v>
      </c>
      <c r="N86" t="str">
        <v>1969</v>
      </c>
      <c r="S86" t="str">
        <v>300-400 (2024) w/ box</v>
      </c>
      <c r="T86" t="str">
        <v>51 (98)</v>
      </c>
      <c r="U86" t="str">
        <v>Patent 37-3468 (1962); scarcity 3/5</v>
      </c>
      <c r="W86" t="str">
        <v>PC150040</v>
      </c>
      <c r="X86" t="str">
        <v>PC150040A</v>
      </c>
    </row>
    <row r="87">
      <c r="A87">
        <v>86</v>
      </c>
      <c r="B87" t="str">
        <v>Suzy Bouncing Ball</v>
      </c>
      <c r="D87" t="str">
        <v>People</v>
      </c>
      <c r="E87" t="str">
        <v>Sports &amp; Leisure</v>
      </c>
      <c r="F87" t="str">
        <v>Girl playing with basketball</v>
      </c>
      <c r="G87" t="str">
        <v>Clockwork</v>
      </c>
      <c r="H87" t="str">
        <v>Girl moves both arms and ball moves up and down</v>
      </c>
      <c r="I87" t="str">
        <v>Tin, vinyl and cloth</v>
      </c>
      <c r="J87" t="str">
        <v>10x6x14</v>
      </c>
      <c r="K87" t="str">
        <v>TPS</v>
      </c>
      <c r="L87" t="str">
        <v>Excellent</v>
      </c>
      <c r="M87" t="str">
        <v>1960</v>
      </c>
      <c r="N87" t="str">
        <v>1969</v>
      </c>
      <c r="S87" t="str">
        <v>200-300 (2024) w/ box</v>
      </c>
      <c r="T87" t="str">
        <v>51 (183)</v>
      </c>
      <c r="U87" t="str">
        <v>Boxes with and without "Cragstan" logo; box also reads "Pretty Little Girl with Ponytail Playing Bouncing the Ball"; scarcity 2/5</v>
      </c>
      <c r="V87" t="str">
        <v xml:space="preserve">We have also a version by Schylling "Basketball Girl" in box </v>
      </c>
      <c r="W87" t="str">
        <v>PC150041</v>
      </c>
      <c r="X87" t="str">
        <v>PC150042</v>
      </c>
    </row>
    <row r="88">
      <c r="A88">
        <v>87</v>
      </c>
      <c r="B88" t="str">
        <v>Monkey and boy on a tricycle</v>
      </c>
      <c r="C88">
        <v>753</v>
      </c>
      <c r="D88" t="str">
        <v>People</v>
      </c>
      <c r="E88" t="str">
        <v>Sports &amp; Leisure</v>
      </c>
      <c r="F88" t="str">
        <v>Monkey riding tricycle w/ a boy passenger</v>
      </c>
      <c r="G88" t="str">
        <v>Clockwork</v>
      </c>
      <c r="H88" t="str">
        <v>Monkey pedals and tricycle moves forward while bell rings</v>
      </c>
      <c r="I88" t="str">
        <v>Tin</v>
      </c>
      <c r="J88" t="str">
        <v>13x7x10</v>
      </c>
      <c r="L88" t="str">
        <v>Good</v>
      </c>
      <c r="M88" t="str">
        <v>1955</v>
      </c>
      <c r="N88" t="str">
        <v>1959</v>
      </c>
      <c r="Q88" t="str">
        <v>1990s</v>
      </c>
      <c r="R88" t="str">
        <v>Holland Toys, Amsterdam</v>
      </c>
      <c r="V88" t="str">
        <v>made in Japan</v>
      </c>
      <c r="W88" t="str">
        <v>PC150043</v>
      </c>
      <c r="X88" t="str">
        <v>PC150044</v>
      </c>
    </row>
    <row r="89">
      <c r="A89">
        <v>88</v>
      </c>
      <c r="B89" t="str">
        <v>Funland Cup Ride</v>
      </c>
      <c r="D89" t="str">
        <v>Spinning Tops &amp; Merry-go-Rounds</v>
      </c>
      <c r="E89" t="str">
        <v>Fairground</v>
      </c>
      <c r="F89" t="str">
        <v>Carrousel w/ 3 kids inside cups</v>
      </c>
      <c r="G89" t="str">
        <v>Battery</v>
      </c>
      <c r="H89" t="str">
        <v>Cups rotate on rotating base</v>
      </c>
      <c r="I89" t="str">
        <v xml:space="preserve">Tin and vinyl </v>
      </c>
      <c r="J89" t="str">
        <v>18x18x17</v>
      </c>
      <c r="K89" t="str">
        <v>Kanto</v>
      </c>
      <c r="L89" t="str">
        <v>Excellent</v>
      </c>
      <c r="M89" t="str">
        <v>1965</v>
      </c>
      <c r="N89" t="str">
        <v>1969</v>
      </c>
      <c r="O89" t="str">
        <v>Reasonable</v>
      </c>
      <c r="S89" t="str">
        <v>300 (2024) w/ box</v>
      </c>
      <c r="T89" t="str">
        <v>17 (54) 35 (82)</v>
      </c>
      <c r="U89" t="str">
        <v>trademark on box: SONSCO (variant box with Kanto Toys); box reads "Twists and Spills Fun and Chills"; scarcity 5/10 desirability 2/6</v>
      </c>
      <c r="W89" t="str">
        <v>P1010039</v>
      </c>
      <c r="X89" t="str">
        <v>P1010040</v>
      </c>
    </row>
    <row r="90">
      <c r="A90">
        <v>89</v>
      </c>
      <c r="B90" t="str">
        <v xml:space="preserve">Bromtol </v>
      </c>
      <c r="D90" t="str">
        <v>Spinning Tops &amp; Merry-go-Rounds</v>
      </c>
      <c r="E90" t="str">
        <v>Fairground</v>
      </c>
      <c r="F90" t="str">
        <v>Spinning top w/ a couple playing instruments</v>
      </c>
      <c r="G90" t="str">
        <v>Other</v>
      </c>
      <c r="H90" t="str">
        <v>Couple rotates within the rotating spinning top</v>
      </c>
      <c r="I90" t="str">
        <v>Tin and plastic</v>
      </c>
      <c r="J90" t="str">
        <v>16x15x19</v>
      </c>
      <c r="K90" t="str">
        <v>Martin Fuchs</v>
      </c>
      <c r="L90" t="str">
        <v>Good</v>
      </c>
      <c r="M90" t="str">
        <v>1955</v>
      </c>
      <c r="N90" t="str">
        <v>1959</v>
      </c>
      <c r="V90" t="str">
        <v>US Zone Germany; boy detaches  easily</v>
      </c>
      <c r="W90" t="str">
        <v>P1010035</v>
      </c>
      <c r="X90" t="str">
        <v>P1010037</v>
      </c>
    </row>
    <row r="91">
      <c r="A91">
        <v>90</v>
      </c>
      <c r="B91" t="str">
        <v>Roundabout</v>
      </c>
      <c r="D91" t="str">
        <v>Spinning Tops &amp; Merry-go-Rounds</v>
      </c>
      <c r="E91" t="str">
        <v>Fairground</v>
      </c>
      <c r="F91" t="str">
        <v>Carrousel w/ 3 animals</v>
      </c>
      <c r="G91" t="str">
        <v>Clockwork</v>
      </c>
      <c r="H91" t="str">
        <v>Manual lever rotates carroucel and makes noise</v>
      </c>
      <c r="I91" t="str">
        <v>Tin and plastic</v>
      </c>
      <c r="J91" t="str">
        <v>15x13x18</v>
      </c>
      <c r="K91" t="str">
        <v>Karl Rohrseitz</v>
      </c>
      <c r="L91" t="str">
        <v>Excellent</v>
      </c>
      <c r="M91" t="str">
        <v>1960</v>
      </c>
      <c r="N91" t="str">
        <v>1969</v>
      </c>
      <c r="T91" t="str">
        <v>46 (224)</v>
      </c>
      <c r="W91" t="str">
        <v>P1010034</v>
      </c>
    </row>
    <row r="92">
      <c r="A92">
        <v>91</v>
      </c>
      <c r="B92" t="str">
        <v>Planet Rocket Go Round</v>
      </c>
      <c r="D92" t="str">
        <v>Spinning Tops &amp; Merry-go-Rounds</v>
      </c>
      <c r="E92" t="str">
        <v>Fairground</v>
      </c>
      <c r="F92" t="str">
        <v>Carrousel w/ globe and four ships each with a couple</v>
      </c>
      <c r="G92" t="str">
        <v>Clockwork</v>
      </c>
      <c r="H92" t="str">
        <v xml:space="preserve">Manual lever rotates carroucel </v>
      </c>
      <c r="I92" t="str">
        <v>Tin</v>
      </c>
      <c r="J92" t="str">
        <v>13x13x20</v>
      </c>
      <c r="K92" t="str">
        <v>Josef Wagner</v>
      </c>
      <c r="L92" t="str">
        <v>Good</v>
      </c>
      <c r="M92" t="str">
        <v>1980</v>
      </c>
      <c r="N92" t="str">
        <v>2024</v>
      </c>
      <c r="S92" t="str">
        <v>100 (2024) w/ box</v>
      </c>
      <c r="W92" t="str">
        <v>P1010025</v>
      </c>
      <c r="X92" t="str">
        <v>P1010027</v>
      </c>
    </row>
    <row r="93">
      <c r="A93">
        <v>92</v>
      </c>
      <c r="B93" t="str">
        <v>Carrousel with 3 chairs</v>
      </c>
      <c r="D93" t="str">
        <v>Spinning Tops &amp; Merry-go-Rounds</v>
      </c>
      <c r="E93" t="str">
        <v>Fairground</v>
      </c>
      <c r="F93" t="str">
        <v>Carrousel w/ 3 covered chairs w/ kids</v>
      </c>
      <c r="G93" t="str">
        <v>Other</v>
      </c>
      <c r="H93" t="str">
        <v>Pushing down helical plate creates rotation of the carroucel</v>
      </c>
      <c r="I93" t="str">
        <v>Tin</v>
      </c>
      <c r="J93" t="str">
        <v>14x12x20</v>
      </c>
      <c r="K93" t="str">
        <v>Wilhelm Krauss</v>
      </c>
      <c r="L93" t="str">
        <v>Good</v>
      </c>
      <c r="M93" t="str">
        <v>1934</v>
      </c>
      <c r="N93" t="str">
        <v>1938</v>
      </c>
      <c r="T93" t="str">
        <v>66 (221)</v>
      </c>
      <c r="W93" t="str">
        <v>P1010023</v>
      </c>
      <c r="X93" t="str">
        <v>P1010024</v>
      </c>
    </row>
    <row r="94">
      <c r="A94">
        <v>93</v>
      </c>
      <c r="B94" t="str">
        <v>Carrousel with 3 airplanes</v>
      </c>
      <c r="D94" t="str">
        <v>Spinning Tops &amp; Merry-go-Rounds</v>
      </c>
      <c r="E94" t="str">
        <v>Fairground</v>
      </c>
      <c r="F94" t="str">
        <v>Carrousel w/ 3 planes</v>
      </c>
      <c r="G94" t="str">
        <v>Other</v>
      </c>
      <c r="H94" t="str">
        <v>Pushing down helical plate creates rotation of the carroucel</v>
      </c>
      <c r="I94" t="str">
        <v>Tin</v>
      </c>
      <c r="J94" t="str">
        <v>13x13x16</v>
      </c>
      <c r="K94" t="str">
        <v>Wilhelm Krauss</v>
      </c>
      <c r="L94" t="str">
        <v>Good</v>
      </c>
      <c r="M94" t="str">
        <v>1934</v>
      </c>
      <c r="N94" t="str">
        <v>1938</v>
      </c>
      <c r="T94" t="str">
        <v xml:space="preserve">66 (221) </v>
      </c>
      <c r="W94" t="str">
        <v>P1010015</v>
      </c>
      <c r="X94" t="str">
        <v>P1010016</v>
      </c>
    </row>
    <row r="95">
      <c r="A95">
        <v>94</v>
      </c>
      <c r="B95" t="str">
        <v>Vacation Land Airplane Ride</v>
      </c>
      <c r="C95">
        <v>2049</v>
      </c>
      <c r="D95" t="str">
        <v>Spinning Tops &amp; Merry-go-Rounds</v>
      </c>
      <c r="E95" t="str">
        <v>Fairground</v>
      </c>
      <c r="F95" t="str">
        <v>Small carrousel w/ 4 planes and boats in a lower platform</v>
      </c>
      <c r="G95" t="str">
        <v>Clockwork</v>
      </c>
      <c r="H95" t="str">
        <v>Planes and boats rotate</v>
      </c>
      <c r="I95" t="str">
        <v>Mostly tin</v>
      </c>
      <c r="J95" t="str">
        <v>12x12x13</v>
      </c>
      <c r="K95" t="str">
        <v>Yoneya</v>
      </c>
      <c r="L95" t="str">
        <v>Excellent</v>
      </c>
      <c r="M95" t="str">
        <v>1960</v>
      </c>
      <c r="N95" t="str">
        <v>1969</v>
      </c>
      <c r="S95" t="str">
        <v>70 (2024) w/ box</v>
      </c>
      <c r="T95" t="str">
        <v>83 (17)</v>
      </c>
      <c r="W95" t="str">
        <v>P1010017</v>
      </c>
      <c r="X95" t="str">
        <v>P1010018</v>
      </c>
    </row>
    <row r="96">
      <c r="A96">
        <v>95</v>
      </c>
      <c r="B96" t="str">
        <v>Play Land Sky Bus Ride</v>
      </c>
      <c r="C96">
        <v>2106</v>
      </c>
      <c r="D96" t="str">
        <v>Spinning Tops &amp; Merry-go-Rounds</v>
      </c>
      <c r="E96" t="str">
        <v>Fairground</v>
      </c>
      <c r="F96" t="str">
        <v>Small carrousel w/ 2 "ships" w/ passengers</v>
      </c>
      <c r="G96" t="str">
        <v>Clockwork</v>
      </c>
      <c r="H96" t="str">
        <v>Ships rotate, bell rings, arms can be extended</v>
      </c>
      <c r="I96" t="str">
        <v>Tin and plastic</v>
      </c>
      <c r="J96" t="str">
        <v>16x10x7</v>
      </c>
      <c r="K96" t="str">
        <v>Yoneya</v>
      </c>
      <c r="L96" t="str">
        <v>Excellent</v>
      </c>
      <c r="M96" t="str">
        <v>1965</v>
      </c>
      <c r="N96" t="str">
        <v>1975</v>
      </c>
      <c r="S96" t="str">
        <v>90 (2024) w/ box</v>
      </c>
      <c r="T96" t="str">
        <v>83 (14)</v>
      </c>
      <c r="W96" t="str">
        <v>P1010011</v>
      </c>
      <c r="X96" t="str">
        <v>P1010014</v>
      </c>
    </row>
    <row r="97">
      <c r="A97">
        <v>96</v>
      </c>
      <c r="B97" t="str">
        <v>Ferris Wheel</v>
      </c>
      <c r="C97">
        <v>2123</v>
      </c>
      <c r="D97" t="str">
        <v>Spinning Tops &amp; Merry-go-Rounds</v>
      </c>
      <c r="E97" t="str">
        <v>Fairground</v>
      </c>
      <c r="F97" t="str">
        <v>Small vertical wheel w/ 5 cabins</v>
      </c>
      <c r="G97" t="str">
        <v>Clockwork</v>
      </c>
      <c r="H97" t="str">
        <v>Wheel rotates, bell rings, clock pointer rotates</v>
      </c>
      <c r="I97" t="str">
        <v>Tin and plastic</v>
      </c>
      <c r="J97" t="str">
        <v>10x7x11</v>
      </c>
      <c r="K97" t="str">
        <v>Yoneya</v>
      </c>
      <c r="L97" t="str">
        <v>Good</v>
      </c>
      <c r="M97" t="str">
        <v>1975</v>
      </c>
      <c r="N97" t="str">
        <v>1979</v>
      </c>
      <c r="W97" t="str">
        <v>P1010031</v>
      </c>
    </row>
    <row r="98">
      <c r="A98">
        <v>97</v>
      </c>
      <c r="B98" t="str">
        <v>Drumming Bunny Duracell</v>
      </c>
      <c r="D98" t="str">
        <v>Animals</v>
      </c>
      <c r="E98" t="str">
        <v>Sports &amp; Leisure</v>
      </c>
      <c r="F98" t="str">
        <v>Pink rabitt playing drums</v>
      </c>
      <c r="G98" t="str">
        <v>Battery</v>
      </c>
      <c r="H98" t="str">
        <v>Plays drums with both hands, waves head</v>
      </c>
      <c r="I98" t="str">
        <v>Plastic and plush</v>
      </c>
      <c r="J98" t="str">
        <v>18x14x34</v>
      </c>
      <c r="L98" t="str">
        <v>Excellent</v>
      </c>
      <c r="M98" t="str">
        <v>1985</v>
      </c>
      <c r="N98" t="str">
        <v>1988</v>
      </c>
      <c r="O98" t="str">
        <v>Very Good</v>
      </c>
      <c r="S98" t="str">
        <v>50-700 (2024) w/ box</v>
      </c>
      <c r="U98" t="str">
        <v>Created in 1973; trademark lapsed in 1988; newer version in 2013; various boxes, different dates? Box has CE marking (this was created in 1985)</v>
      </c>
    </row>
    <row r="99">
      <c r="A99">
        <v>98</v>
      </c>
      <c r="B99" t="str">
        <v>Boy on Tricycle</v>
      </c>
      <c r="C99">
        <v>304</v>
      </c>
      <c r="D99" t="str">
        <v>People</v>
      </c>
      <c r="E99" t="str">
        <v>Sports &amp; Leisure</v>
      </c>
      <c r="F99" t="str">
        <v>Boy w/ beret and red cloth on tricycle w/ bell</v>
      </c>
      <c r="G99" t="str">
        <v>Clockwork</v>
      </c>
      <c r="H99" t="str">
        <v>Tricycle moves forward, bell rings</v>
      </c>
      <c r="I99" t="str">
        <v>Plastic and Tin</v>
      </c>
      <c r="J99" t="str">
        <v>9x6x10</v>
      </c>
      <c r="L99" t="str">
        <v>Excellent</v>
      </c>
      <c r="M99" t="str">
        <v>1965</v>
      </c>
      <c r="N99" t="str">
        <v>1975</v>
      </c>
      <c r="O99" t="str">
        <v>Excellent</v>
      </c>
      <c r="S99" t="str">
        <v>100 (2024) w/ box</v>
      </c>
      <c r="U99" t="str">
        <v>Original cost 35 pesetas? (written in box)</v>
      </c>
      <c r="V99" t="str">
        <v>Made in Spain</v>
      </c>
      <c r="W99" t="str">
        <v>P1010006</v>
      </c>
    </row>
    <row r="100">
      <c r="A100">
        <v>99</v>
      </c>
      <c r="B100" t="str">
        <v>Ice Cream Vender</v>
      </c>
      <c r="D100" t="str">
        <v>Animals</v>
      </c>
      <c r="E100" t="str">
        <v>Professions/Industrial</v>
      </c>
      <c r="F100" t="str">
        <v>Monkey pushing ice cream cart w/ sunshade</v>
      </c>
      <c r="G100" t="str">
        <v>Clockwork</v>
      </c>
      <c r="H100" t="str">
        <v>Cart moves forward a and backwards, monkey jumps, sunshade rotates</v>
      </c>
      <c r="I100" t="str">
        <v>Tin</v>
      </c>
      <c r="J100" t="str">
        <v>12x9x10</v>
      </c>
      <c r="K100" t="str">
        <v>Yoneya</v>
      </c>
      <c r="L100" t="str">
        <v>Excellent</v>
      </c>
      <c r="M100" t="str">
        <v>1965</v>
      </c>
      <c r="N100" t="str">
        <v>1970</v>
      </c>
      <c r="O100" t="str">
        <v>Excellent</v>
      </c>
      <c r="W100" t="str">
        <v>PA010007</v>
      </c>
      <c r="X100" t="str">
        <v>PA010008</v>
      </c>
    </row>
    <row r="101">
      <c r="A101">
        <v>100</v>
      </c>
      <c r="B101" t="str">
        <v>Playful Puppy with Caterpillar</v>
      </c>
      <c r="D101" t="str">
        <v>Animals</v>
      </c>
      <c r="E101" t="str">
        <v>Sports &amp; Leisure</v>
      </c>
      <c r="F101" t="str">
        <v>Dog playing w/ a caterpillar</v>
      </c>
      <c r="G101" t="str">
        <v>Battery</v>
      </c>
      <c r="H101" t="str">
        <v>Dog moves up and down and head side to side while caterpillar wiggles</v>
      </c>
      <c r="I101" t="str">
        <v>Tin and plush</v>
      </c>
      <c r="J101" t="str">
        <v>18x10x12</v>
      </c>
      <c r="K101" t="str">
        <v>Modern Toys</v>
      </c>
      <c r="L101" t="str">
        <v>Very Good</v>
      </c>
      <c r="M101" t="str">
        <v>1959</v>
      </c>
      <c r="N101" t="str">
        <v>1962</v>
      </c>
      <c r="S101" t="str">
        <v>140 (2021)</v>
      </c>
      <c r="T101" t="str">
        <v>17 (35) 35 (137) 79 (62)</v>
      </c>
      <c r="U101" t="str">
        <v>Scarcity 4/10 Desirability 4/6</v>
      </c>
      <c r="W101" t="str">
        <v>PA010003</v>
      </c>
      <c r="X101" t="str">
        <v>PA010004</v>
      </c>
    </row>
    <row r="102">
      <c r="A102">
        <v>101</v>
      </c>
      <c r="B102" t="str">
        <v>Coca-Cola Bubble Blowing Polar Bear Ornament</v>
      </c>
      <c r="D102" t="str">
        <v>Animals</v>
      </c>
      <c r="E102" t="str">
        <v>Sports &amp; Leisure</v>
      </c>
      <c r="F102" t="str">
        <v>Bubble blowing polar bear</v>
      </c>
      <c r="G102" t="str">
        <v>Battery</v>
      </c>
      <c r="H102" t="str">
        <v>Raises arm and blows bubbles</v>
      </c>
      <c r="I102" t="str">
        <v>Plastic</v>
      </c>
      <c r="J102" t="str">
        <v>13x14x16</v>
      </c>
      <c r="L102" t="str">
        <v>Excellent</v>
      </c>
      <c r="M102" t="str">
        <v>1996</v>
      </c>
      <c r="N102" t="str">
        <v>2000</v>
      </c>
      <c r="O102" t="str">
        <v>Excellent, w/ instructions</v>
      </c>
      <c r="S102" t="str">
        <v>50 (2024) w/ box</v>
      </c>
      <c r="V102" t="str">
        <v>Made in China</v>
      </c>
      <c r="W102" t="str">
        <v>PA010009</v>
      </c>
      <c r="X102" t="str">
        <v>PA010010</v>
      </c>
    </row>
    <row r="103">
      <c r="A103">
        <v>102</v>
      </c>
      <c r="B103" t="str">
        <v>Around the World</v>
      </c>
      <c r="C103" t="str">
        <v>393-5230</v>
      </c>
      <c r="D103" t="str">
        <v>Spinning Tops &amp; Merry-go-Rounds</v>
      </c>
      <c r="E103" t="str">
        <v>Sports &amp; Leisure</v>
      </c>
      <c r="F103" t="str">
        <v>Carrousel w/ 3 "cars" w/ kids</v>
      </c>
      <c r="G103" t="str">
        <v>Clockwork</v>
      </c>
      <c r="H103" t="str">
        <v>Rotates</v>
      </c>
      <c r="I103" t="str">
        <v>Tin and Plastic</v>
      </c>
      <c r="J103" t="str">
        <v>25x25x11</v>
      </c>
      <c r="K103" t="str">
        <v>SCHOPPER</v>
      </c>
      <c r="L103" t="str">
        <v>Excellent</v>
      </c>
      <c r="M103" t="str">
        <v>1960</v>
      </c>
      <c r="N103" t="str">
        <v>1969</v>
      </c>
      <c r="O103" t="str">
        <v>Excellent</v>
      </c>
      <c r="S103" t="str">
        <v>170 (2024) w/ box</v>
      </c>
      <c r="U103" t="str">
        <v>Initial cost 850$00</v>
      </c>
      <c r="V103" t="str">
        <v>I have a second, without box</v>
      </c>
      <c r="W103" t="str">
        <v>PA010017</v>
      </c>
    </row>
    <row r="104">
      <c r="A104">
        <v>103</v>
      </c>
      <c r="B104" t="str">
        <v>Airport Control Tower</v>
      </c>
      <c r="C104">
        <v>5100</v>
      </c>
      <c r="D104" t="str">
        <v>Spinning Tops &amp; Merry-go-Rounds</v>
      </c>
      <c r="E104" t="str">
        <v>Travel &amp; Transport</v>
      </c>
      <c r="F104" t="str">
        <v>Control Tower and 3 planes</v>
      </c>
      <c r="G104" t="str">
        <v>Clockwork</v>
      </c>
      <c r="H104" t="str">
        <v>Planes rotate around tower and their helices rotate</v>
      </c>
      <c r="I104" t="str">
        <v>Tin and Plastic</v>
      </c>
      <c r="J104" t="str">
        <v>34x34x21</v>
      </c>
      <c r="K104" t="str">
        <v>SCHOPPER</v>
      </c>
      <c r="L104" t="str">
        <v>Excellent</v>
      </c>
      <c r="M104" t="str">
        <v>1970</v>
      </c>
      <c r="N104" t="str">
        <v>1980</v>
      </c>
      <c r="O104" t="str">
        <v>Excellent</v>
      </c>
      <c r="S104" t="str">
        <v>70-370 (2024) w/ box</v>
      </c>
      <c r="W104" t="str">
        <v>PA010015</v>
      </c>
    </row>
    <row r="105">
      <c r="A105">
        <v>104</v>
      </c>
      <c r="B105" t="str">
        <v>Snow White and the Dwarfs</v>
      </c>
      <c r="C105">
        <v>5150</v>
      </c>
      <c r="D105" t="str">
        <v>Spinning Tops &amp; Merry-go-Rounds</v>
      </c>
      <c r="E105" t="str">
        <v>Fairground</v>
      </c>
      <c r="F105" t="str">
        <v>Carrousel w/ 3 dwarfs</v>
      </c>
      <c r="G105" t="str">
        <v>Clockwork</v>
      </c>
      <c r="H105" t="str">
        <v>Rotates</v>
      </c>
      <c r="I105" t="str">
        <v>Tin</v>
      </c>
      <c r="J105" t="str">
        <v>11x11x11</v>
      </c>
      <c r="K105" t="str">
        <v>SCHOPPER</v>
      </c>
      <c r="L105" t="str">
        <v>Excellent</v>
      </c>
      <c r="M105" t="str">
        <v>1970</v>
      </c>
      <c r="N105" t="str">
        <v>1980</v>
      </c>
      <c r="O105" t="str">
        <v>Very Good</v>
      </c>
      <c r="S105" t="str">
        <v>50-80 (2024) w/ box</v>
      </c>
      <c r="W105" t="str">
        <v>P1010012</v>
      </c>
    </row>
    <row r="106">
      <c r="A106">
        <v>105</v>
      </c>
      <c r="B106" t="str">
        <v>Musical Merry-Go-Round</v>
      </c>
      <c r="C106" t="str">
        <v>MS 410</v>
      </c>
      <c r="D106" t="str">
        <v>Spinning Tops &amp; Merry-go-Rounds</v>
      </c>
      <c r="E106" t="str">
        <v>Fairground</v>
      </c>
      <c r="F106" t="str">
        <v>Carrousel  w/ 4 "cars" and baloons</v>
      </c>
      <c r="G106" t="str">
        <v>Clockwork</v>
      </c>
      <c r="H106" t="str">
        <v>Rotates and bell rings</v>
      </c>
      <c r="I106" t="str">
        <v>Tin and Plastic</v>
      </c>
      <c r="J106" t="str">
        <v>24x24x18</v>
      </c>
      <c r="L106" t="str">
        <v>Excellent</v>
      </c>
      <c r="M106" t="str">
        <v>1965</v>
      </c>
      <c r="N106" t="str">
        <v>1975</v>
      </c>
      <c r="O106" t="str">
        <v>Very Good</v>
      </c>
      <c r="S106" t="str">
        <v>170 (2024) w/ box</v>
      </c>
      <c r="U106" t="str">
        <v>Original made in 1950s/1960s by Alps</v>
      </c>
      <c r="V106" t="str">
        <v>Made in China</v>
      </c>
      <c r="W106" t="str">
        <v>PA010019</v>
      </c>
    </row>
    <row r="107">
      <c r="A107">
        <v>106</v>
      </c>
      <c r="B107" t="str">
        <v>Carrousel Carnival Ride Truck</v>
      </c>
      <c r="C107" t="str">
        <v>M-1957</v>
      </c>
      <c r="D107" t="str">
        <v>Vans/Buses &amp;Trucks</v>
      </c>
      <c r="E107" t="str">
        <v>Fairground</v>
      </c>
      <c r="F107" t="str">
        <v>Truck w/ carrousel</v>
      </c>
      <c r="G107" t="str">
        <v>Friction</v>
      </c>
      <c r="H107" t="str">
        <v>Truck moves forward, carrousel rotates and bell rings</v>
      </c>
      <c r="I107" t="str">
        <v>Tin</v>
      </c>
      <c r="J107" t="str">
        <v>21x10x11</v>
      </c>
      <c r="K107" t="str">
        <v>Nomura</v>
      </c>
      <c r="L107" t="str">
        <v>Very Good</v>
      </c>
      <c r="M107" t="str">
        <v>1957</v>
      </c>
      <c r="N107" t="str">
        <v>1965</v>
      </c>
      <c r="P107">
        <v>114</v>
      </c>
      <c r="Q107">
        <v>45658</v>
      </c>
      <c r="R107" t="str">
        <v>catawiki</v>
      </c>
      <c r="S107" t="str">
        <v>250-300 (2024)</v>
      </c>
      <c r="U107" t="str">
        <v>There is a version battery powered; original price 1.98 ($?)</v>
      </c>
      <c r="V107" t="str">
        <v>Mechanism does not work very well; we have a second toy with second trademark "T.T" (Takatoku Toys Co. Ltd) (see 52 (40)) - it misses the rear panel and one horse</v>
      </c>
      <c r="W107" t="str">
        <v>PAA90223</v>
      </c>
      <c r="X107" t="str">
        <v>PAA90226</v>
      </c>
      <c r="Y107" t="str">
        <v>PC150045</v>
      </c>
      <c r="Z107" t="str">
        <v>PC150046</v>
      </c>
    </row>
    <row r="108">
      <c r="A108">
        <v>107</v>
      </c>
      <c r="B108" t="str">
        <v>Ferris Wheel Truck</v>
      </c>
      <c r="C108" t="str">
        <v>M-1958</v>
      </c>
      <c r="D108" t="str">
        <v>Vans/Buses &amp;Trucks</v>
      </c>
      <c r="E108" t="str">
        <v>Fairground</v>
      </c>
      <c r="F108" t="str">
        <v>Truck w/ fairground wheel, each chair has names of planets</v>
      </c>
      <c r="G108" t="str">
        <v>Friction</v>
      </c>
      <c r="H108" t="str">
        <v>Truck moves forward, wheel rotates and bell rings</v>
      </c>
      <c r="I108" t="str">
        <v>Tin</v>
      </c>
      <c r="J108" t="str">
        <v>21x7x13</v>
      </c>
      <c r="K108" t="str">
        <v>Nomura</v>
      </c>
      <c r="L108" t="str">
        <v>Very Good</v>
      </c>
      <c r="M108" t="str">
        <v>1958</v>
      </c>
      <c r="N108" t="str">
        <v>1965</v>
      </c>
      <c r="P108">
        <v>114</v>
      </c>
      <c r="Q108">
        <v>45658</v>
      </c>
      <c r="R108" t="str">
        <v>catawiki</v>
      </c>
      <c r="S108" t="str">
        <v>300-400 (2024)</v>
      </c>
      <c r="U108" t="str">
        <v>original price 1.98 ($?)</v>
      </c>
      <c r="W108" t="str">
        <v>PAA90229</v>
      </c>
    </row>
    <row r="109">
      <c r="A109">
        <v>108</v>
      </c>
      <c r="B109" t="str">
        <v>Circus Truck with 4 Animals and Voice</v>
      </c>
      <c r="C109" t="str">
        <v>Nº 7</v>
      </c>
      <c r="D109" t="str">
        <v>Vans/Buses &amp;Trucks</v>
      </c>
      <c r="E109" t="str">
        <v>Circus &amp; Clowns</v>
      </c>
      <c r="F109" t="str">
        <v>World circus truck w/ 4 moving animals</v>
      </c>
      <c r="G109" t="str">
        <v>Friction</v>
      </c>
      <c r="H109" t="str">
        <v>Truck moves forward, animals appear and disappear</v>
      </c>
      <c r="I109" t="str">
        <v>Tin</v>
      </c>
      <c r="J109" t="str">
        <v>25x6x9</v>
      </c>
      <c r="K109" t="str">
        <v>Nomura</v>
      </c>
      <c r="L109" t="str">
        <v>Very Good</v>
      </c>
      <c r="M109" t="str">
        <v>1960</v>
      </c>
      <c r="N109" t="str">
        <v>1965</v>
      </c>
      <c r="P109">
        <v>114</v>
      </c>
      <c r="Q109">
        <v>45658</v>
      </c>
      <c r="R109" t="str">
        <v>catawiki</v>
      </c>
      <c r="S109" t="str">
        <v>200-300 (2024)</v>
      </c>
      <c r="W109" t="str">
        <v>PAA90232</v>
      </c>
      <c r="X109" t="str">
        <v>PAA90233</v>
      </c>
    </row>
    <row r="110">
      <c r="A110">
        <v>109</v>
      </c>
      <c r="B110" t="str">
        <v>Circus Trailer</v>
      </c>
      <c r="C110" t="str">
        <v>S-1110</v>
      </c>
      <c r="D110" t="str">
        <v>Vans/Buses &amp;Trucks</v>
      </c>
      <c r="E110" t="str">
        <v>Circus &amp; Clowns</v>
      </c>
      <c r="F110" t="str">
        <v>Circus Jeep w/ trailer w/ lion</v>
      </c>
      <c r="G110" t="str">
        <v>Friction</v>
      </c>
      <c r="H110" t="str">
        <v>Jeep moves forward, lion moves up and down</v>
      </c>
      <c r="I110" t="str">
        <v>Tin</v>
      </c>
      <c r="J110" t="str">
        <v>24x6x9</v>
      </c>
      <c r="K110" t="str">
        <v>Shioji</v>
      </c>
      <c r="L110" t="str">
        <v>Very Good</v>
      </c>
      <c r="M110" t="str">
        <v>1965</v>
      </c>
      <c r="N110" t="str">
        <v>1969</v>
      </c>
      <c r="P110">
        <v>114</v>
      </c>
      <c r="Q110">
        <v>45658</v>
      </c>
      <c r="R110" t="str">
        <v>catawiki</v>
      </c>
      <c r="W110" t="str">
        <v>PAA90235</v>
      </c>
    </row>
    <row r="111">
      <c r="A111">
        <v>110</v>
      </c>
      <c r="B111" t="str">
        <v>American Circus Truck</v>
      </c>
      <c r="C111" t="str">
        <v>M-816</v>
      </c>
      <c r="D111" t="str">
        <v>Vans/Buses &amp;Trucks</v>
      </c>
      <c r="E111" t="str">
        <v>Circus &amp; Clowns</v>
      </c>
      <c r="F111" t="str">
        <v>Circus truck w/ giraffes and lions</v>
      </c>
      <c r="G111" t="str">
        <v>Friction</v>
      </c>
      <c r="H111" t="str">
        <v>Truck moves forward, giraffes move heads, lions jump</v>
      </c>
      <c r="I111" t="str">
        <v>Tin</v>
      </c>
      <c r="J111" t="str">
        <v>24x6x12</v>
      </c>
      <c r="K111" t="str">
        <v>Mitsuhashi</v>
      </c>
      <c r="L111" t="str">
        <v>Very Good</v>
      </c>
      <c r="M111" t="str">
        <v>1965</v>
      </c>
      <c r="N111" t="str">
        <v>1969</v>
      </c>
      <c r="P111">
        <v>114</v>
      </c>
      <c r="Q111">
        <v>45658</v>
      </c>
      <c r="R111" t="str">
        <v>catawiki</v>
      </c>
      <c r="U111" t="str">
        <v>There is a variant with a different truck and the cage as a trailer</v>
      </c>
      <c r="W111" t="str">
        <v>PAA90231</v>
      </c>
    </row>
    <row r="112">
      <c r="A112">
        <v>111</v>
      </c>
      <c r="B112" t="str">
        <v>Playful Animal Swing</v>
      </c>
      <c r="D112" t="str">
        <v>Animals</v>
      </c>
      <c r="E112" t="str">
        <v>Sports &amp; Leisure</v>
      </c>
      <c r="F112" t="str">
        <v>Swing w/ two animals</v>
      </c>
      <c r="G112" t="str">
        <v>Clockwork</v>
      </c>
      <c r="H112" t="str">
        <v>Swings lateraly</v>
      </c>
      <c r="I112" t="str">
        <v>Tin</v>
      </c>
      <c r="J112" t="str">
        <v>15x8x13</v>
      </c>
      <c r="K112" t="str">
        <v>Yoneya</v>
      </c>
      <c r="L112" t="str">
        <v>Very Good</v>
      </c>
      <c r="M112" t="str">
        <v>1960</v>
      </c>
      <c r="N112" t="str">
        <v>1964</v>
      </c>
      <c r="S112" t="str">
        <v>10 (2024) w/ box</v>
      </c>
      <c r="U112" t="str">
        <v>Trademark "SY", later "YONE" (see 52 (38)</v>
      </c>
      <c r="V112" t="str">
        <v>Flagpole and flag missing</v>
      </c>
      <c r="W112" t="str">
        <v>P1010019</v>
      </c>
      <c r="X112" t="str">
        <v>P1010020</v>
      </c>
      <c r="Y112" t="str">
        <v>P1010021</v>
      </c>
    </row>
    <row r="113">
      <c r="A113">
        <v>112</v>
      </c>
      <c r="B113" t="str">
        <v>Les Voltigeurs</v>
      </c>
      <c r="D113" t="str">
        <v>People</v>
      </c>
      <c r="E113" t="str">
        <v>Circus &amp; Clowns</v>
      </c>
      <c r="F113" t="str">
        <v>Metal structure w/ two red acrobat clowns</v>
      </c>
      <c r="G113" t="str">
        <v>Other</v>
      </c>
      <c r="H113" t="str">
        <v>The clowns tumble and descend gradually by action of gravity</v>
      </c>
      <c r="I113" t="str">
        <v>Papier maché &amp; metal</v>
      </c>
      <c r="J113" t="str">
        <v>17x12x41</v>
      </c>
      <c r="K113" t="str">
        <v>Pintel</v>
      </c>
      <c r="L113" t="str">
        <v>Good</v>
      </c>
      <c r="M113" t="str">
        <v>1908</v>
      </c>
      <c r="N113" t="str">
        <v>1910</v>
      </c>
      <c r="R113" t="str">
        <v>Marche aux Puces, Paris</v>
      </c>
      <c r="S113" t="str">
        <v>200-400 (2024)</v>
      </c>
      <c r="T113" t="str">
        <v>73 (64)</v>
      </c>
      <c r="W113" t="str">
        <v>P1010041</v>
      </c>
    </row>
    <row r="114">
      <c r="A114">
        <v>113</v>
      </c>
      <c r="B114" t="str">
        <v>Johny</v>
      </c>
      <c r="C114">
        <v>800</v>
      </c>
      <c r="D114" t="str">
        <v>People</v>
      </c>
      <c r="E114" t="str">
        <v>Circus &amp; Clowns</v>
      </c>
      <c r="F114" t="str">
        <v>Johny clown acrobat in a trapeze</v>
      </c>
      <c r="G114" t="str">
        <v>Other</v>
      </c>
      <c r="H114" t="str">
        <v xml:space="preserve">By pulling a lever, we can control the acrobaciess of the clown </v>
      </c>
      <c r="I114" t="str">
        <v>Tin, plastic &amp; cloth</v>
      </c>
      <c r="J114" t="str">
        <v>6x15x31</v>
      </c>
      <c r="K114" t="str">
        <v>Arnold</v>
      </c>
      <c r="L114" t="str">
        <v>Very Good</v>
      </c>
      <c r="M114" t="str">
        <v>1959</v>
      </c>
      <c r="N114" t="str">
        <v>1960</v>
      </c>
      <c r="S114" t="str">
        <v>80 -100 (2024)</v>
      </c>
      <c r="T114" t="str">
        <v>10 (206) 68 (14) 73 (63)</v>
      </c>
      <c r="U114" t="str">
        <v>French version (made in France) of the "Jimmy" version</v>
      </c>
      <c r="W114" t="str">
        <v>P1200003</v>
      </c>
    </row>
    <row r="115">
      <c r="A115">
        <v>114</v>
      </c>
      <c r="B115" t="str">
        <v>Loop the Loop Clown</v>
      </c>
      <c r="D115" t="str">
        <v>People</v>
      </c>
      <c r="E115" t="str">
        <v>Circus &amp; Clowns</v>
      </c>
      <c r="F115" t="str">
        <v>Acrobat clown in a trapeze</v>
      </c>
      <c r="G115" t="str">
        <v>Battery</v>
      </c>
      <c r="H115" t="str">
        <v>Clown loops the bar, bell rings</v>
      </c>
      <c r="I115" t="str">
        <v>Tin, plastic &amp; cloth</v>
      </c>
      <c r="J115" t="str">
        <v>9x18x27</v>
      </c>
      <c r="K115" t="str">
        <v>Nomura</v>
      </c>
      <c r="L115" t="str">
        <v>Good</v>
      </c>
      <c r="M115" t="str">
        <v>1965</v>
      </c>
      <c r="N115" t="str">
        <v>1969</v>
      </c>
      <c r="S115" t="str">
        <v>60 (2024)</v>
      </c>
      <c r="W115" t="str">
        <v>P1200001</v>
      </c>
      <c r="X115" t="str">
        <v>P1200002</v>
      </c>
    </row>
    <row r="116">
      <c r="A116">
        <v>115</v>
      </c>
      <c r="B116" t="str">
        <v>Puppet-Show Pinocchio on the Swinging Stage</v>
      </c>
      <c r="D116" t="str">
        <v>People</v>
      </c>
      <c r="E116" t="str">
        <v>Circus &amp; Clowns</v>
      </c>
      <c r="F116" t="str">
        <v>A puppet celuloid couple on a covered stage</v>
      </c>
      <c r="G116" t="str">
        <v>Clockwork</v>
      </c>
      <c r="H116" t="str">
        <v>The couple (Pierrot and Columbine) jump (dance) and rotate</v>
      </c>
      <c r="I116" t="str">
        <v>Celuloid, paper, tin and metal</v>
      </c>
      <c r="J116" t="str">
        <v>10x25x28</v>
      </c>
      <c r="K116" t="str">
        <v>Kuramochi</v>
      </c>
      <c r="L116" t="str">
        <v>Very Good</v>
      </c>
      <c r="M116" t="str">
        <v>1935</v>
      </c>
      <c r="N116" t="str">
        <v>1939</v>
      </c>
      <c r="S116" t="str">
        <v>150? (2024)</v>
      </c>
      <c r="T116" t="str">
        <v>135 (21)</v>
      </c>
      <c r="U116" t="str">
        <v>Patents 157635; 156267 Patent applied for 19391;6003</v>
      </c>
      <c r="V116" t="str">
        <v>paper is torned</v>
      </c>
      <c r="W116" t="str">
        <v>P1200005</v>
      </c>
      <c r="X116" t="str">
        <v>P1200006</v>
      </c>
    </row>
    <row r="117">
      <c r="A117">
        <v>116</v>
      </c>
      <c r="B117" t="str">
        <v>Mechanical Acrobat</v>
      </c>
      <c r="C117">
        <v>107566</v>
      </c>
      <c r="D117" t="str">
        <v>People</v>
      </c>
      <c r="E117" t="str">
        <v>Circus &amp; Clowns</v>
      </c>
      <c r="F117" t="str">
        <v>A celuloid couple on the trapeze</v>
      </c>
      <c r="G117" t="str">
        <v>Clockwork</v>
      </c>
      <c r="H117" t="str">
        <v>the acrobat swings back and forth flipping around; raising or lowering the removable loop at the top adjusts the speed at which the acrobat swings</v>
      </c>
      <c r="I117" t="str">
        <v>Celuloid &amp; metal</v>
      </c>
      <c r="J117" t="str">
        <v>21x22x45</v>
      </c>
      <c r="K117" t="str">
        <v>Kuramochi</v>
      </c>
      <c r="L117" t="str">
        <v>Very Good</v>
      </c>
      <c r="M117" t="str">
        <v>1935</v>
      </c>
      <c r="N117" t="str">
        <v>1939</v>
      </c>
      <c r="O117" t="str">
        <v>good label, some distortion</v>
      </c>
      <c r="S117" t="str">
        <v>150-250 (2024) w/ box only girl</v>
      </c>
      <c r="T117" t="str">
        <v>135 (20)</v>
      </c>
      <c r="U117" t="str">
        <v>Usually, only with the girl, toy named "Branko" with different box label and CK mark but same number; box with nºG9238</v>
      </c>
      <c r="W117" t="str">
        <v>P1010070</v>
      </c>
      <c r="X117" t="str">
        <v>P1010070A</v>
      </c>
    </row>
    <row r="118">
      <c r="A118">
        <v>117</v>
      </c>
      <c r="B118" t="str">
        <v>Payaso circo com baston</v>
      </c>
      <c r="C118">
        <v>619</v>
      </c>
      <c r="D118" t="str">
        <v>People</v>
      </c>
      <c r="E118" t="str">
        <v>Circus &amp; Clowns</v>
      </c>
      <c r="F118" t="str">
        <v>Clown w/ cane holding a yellow plastic hat</v>
      </c>
      <c r="G118" t="str">
        <v>Clockwork</v>
      </c>
      <c r="H118" t="str">
        <v>Vibrates, rotates cane, grows and shrinks</v>
      </c>
      <c r="I118" t="str">
        <v>Plastic &amp; cloth</v>
      </c>
      <c r="J118" t="str">
        <v>6x11x24</v>
      </c>
      <c r="K118" t="str">
        <v>Paya</v>
      </c>
      <c r="L118" t="str">
        <v>Excellent</v>
      </c>
      <c r="M118" t="str">
        <v>1965</v>
      </c>
      <c r="N118" t="str">
        <v>1969</v>
      </c>
      <c r="O118" t="str">
        <v>Excellent;  "mueve la cabeza, gira el baston, dobla las piernas"  and in the front "Convenio local del timbre A-26"</v>
      </c>
      <c r="S118" t="str">
        <v>120-150 (2024) w/box</v>
      </c>
      <c r="W118" t="str">
        <v>P1010065</v>
      </c>
      <c r="X118" t="str">
        <v>P1010066</v>
      </c>
      <c r="Y118" t="str">
        <v>P1010069</v>
      </c>
    </row>
    <row r="119">
      <c r="A119">
        <v>118</v>
      </c>
      <c r="B119" t="str">
        <v>Smiling Sam the Carnival Man</v>
      </c>
      <c r="D119" t="str">
        <v>People</v>
      </c>
      <c r="E119" t="str">
        <v>Circus &amp; Clowns</v>
      </c>
      <c r="F119" t="str">
        <v>Clown w/ cane holding a yellow tin hat</v>
      </c>
      <c r="G119" t="str">
        <v>Clockwork</v>
      </c>
      <c r="H119" t="str">
        <v>Vibrates, rotates cane, grows and shrinks</v>
      </c>
      <c r="I119" t="str">
        <v>Tin, plastic &amp; cloth</v>
      </c>
      <c r="J119" t="str">
        <v>7x10x23</v>
      </c>
      <c r="K119" t="str">
        <v>Alps</v>
      </c>
      <c r="L119" t="str">
        <v>Very Good</v>
      </c>
      <c r="M119" t="str">
        <v>1955</v>
      </c>
      <c r="N119" t="str">
        <v>1960</v>
      </c>
      <c r="S119" t="str">
        <v>200-300 (2024) w/ box</v>
      </c>
      <c r="T119" t="str">
        <v>57 (39) 73 (110)</v>
      </c>
      <c r="U119" t="str">
        <v>there is variant box naming it "LESTER the mechanical jester"</v>
      </c>
      <c r="W119" t="str">
        <v>P1010067</v>
      </c>
      <c r="X119" t="str">
        <v>P1010068</v>
      </c>
      <c r="Y119" t="str">
        <v>P1010069</v>
      </c>
    </row>
    <row r="120">
      <c r="A120">
        <v>119</v>
      </c>
      <c r="B120" t="str">
        <v>Bozo Clown</v>
      </c>
      <c r="D120" t="str">
        <v>People</v>
      </c>
      <c r="E120" t="str">
        <v>Circus &amp; Clowns</v>
      </c>
      <c r="F120" t="str">
        <v>Drumming clown w/ blue and red shoes</v>
      </c>
      <c r="G120" t="str">
        <v>Clockwork</v>
      </c>
      <c r="H120" t="str">
        <v>Sways lateraly while drumming, head moves</v>
      </c>
      <c r="I120" t="str">
        <v>Tin</v>
      </c>
      <c r="J120" t="str">
        <v>9x9x20</v>
      </c>
      <c r="K120" t="str">
        <v>TK Toys</v>
      </c>
      <c r="L120" t="str">
        <v>Excellent</v>
      </c>
      <c r="M120" t="str">
        <v>1995</v>
      </c>
      <c r="N120" t="str">
        <v>1999</v>
      </c>
      <c r="S120" t="str">
        <v xml:space="preserve">150-200 (2024) </v>
      </c>
      <c r="U120" t="str">
        <v>has a second trademark:  Nikko Toy (see 103 (226); original by Alps 1950, see 73 (25)</v>
      </c>
      <c r="W120" t="str">
        <v>PAA40021</v>
      </c>
      <c r="X120" t="str">
        <v>PAA40022</v>
      </c>
    </row>
    <row r="121">
      <c r="A121">
        <v>120</v>
      </c>
      <c r="B121" t="str">
        <v>Roly Poly Cycling Monkey</v>
      </c>
      <c r="D121" t="str">
        <v>Motorcycles &amp; Scooters</v>
      </c>
      <c r="E121" t="str">
        <v>Circus &amp; Clowns</v>
      </c>
      <c r="F121" t="str">
        <v>Monkey on motorcycle inside a wheel</v>
      </c>
      <c r="G121" t="str">
        <v>Clockwork</v>
      </c>
      <c r="H121" t="str">
        <v>Moto moves forward, forcing the wheel to rotate and advanvce in a circular path</v>
      </c>
      <c r="I121" t="str">
        <v>Tin</v>
      </c>
      <c r="J121" t="str">
        <v>15x6x15</v>
      </c>
      <c r="K121" t="str">
        <v>SK Toys</v>
      </c>
      <c r="L121" t="str">
        <v>Excellent</v>
      </c>
      <c r="M121" t="str">
        <v>1965</v>
      </c>
      <c r="N121" t="str">
        <v>1969</v>
      </c>
      <c r="O121" t="str">
        <v>Excellent</v>
      </c>
      <c r="S121" t="str">
        <v>250-300 (2024) w/ box</v>
      </c>
      <c r="T121" t="str">
        <v>8 (130)</v>
      </c>
      <c r="U121" t="str">
        <v>some boxes are marked "TOKO made in Japan", others with "FLARE Toy Iem nº 2820</v>
      </c>
      <c r="W121" t="str">
        <v>P1010057</v>
      </c>
      <c r="X121" t="str">
        <v>P1010058</v>
      </c>
      <c r="Y121" t="str">
        <v>P1010059</v>
      </c>
    </row>
    <row r="122">
      <c r="A122">
        <v>121</v>
      </c>
      <c r="B122" t="str">
        <v>Devis Wheel with Car</v>
      </c>
      <c r="C122" t="str">
        <v>549/1</v>
      </c>
      <c r="D122" t="str">
        <v>Tracks /Platform base</v>
      </c>
      <c r="E122" t="str">
        <v>Circus &amp; Clowns</v>
      </c>
      <c r="F122" t="str">
        <v>Devils wheel w/ car</v>
      </c>
      <c r="G122" t="str">
        <v>Clockwork</v>
      </c>
      <c r="H122" t="str">
        <v>Tension spring is the catapult, clockwork makes the car move and make sparks</v>
      </c>
      <c r="I122" t="str">
        <v>Tin</v>
      </c>
      <c r="J122" t="str">
        <v>23x6x25</v>
      </c>
      <c r="K122" t="str">
        <v>Arnold</v>
      </c>
      <c r="L122" t="str">
        <v>Very Good</v>
      </c>
      <c r="M122" t="str">
        <v>1938</v>
      </c>
      <c r="N122" t="str">
        <v>1960</v>
      </c>
      <c r="O122" t="str">
        <v>Good</v>
      </c>
      <c r="S122" t="str">
        <v>350 (2024)</v>
      </c>
      <c r="T122" t="str">
        <v>10 (120) 22 (271) 46 (36) 66 (27)</v>
      </c>
      <c r="U122" t="str">
        <v xml:space="preserve">car and box "made in U.S. zone",  toy with different numbers: 550, 963 </v>
      </c>
      <c r="V122" t="str">
        <v>makes no sparks</v>
      </c>
      <c r="W122" t="str">
        <v>P1010062</v>
      </c>
      <c r="X122" t="str">
        <v>P1010063</v>
      </c>
      <c r="Y122" t="str">
        <v>P1010064</v>
      </c>
    </row>
    <row r="123">
      <c r="A123">
        <v>122</v>
      </c>
      <c r="B123" t="str">
        <v>Rhonrad</v>
      </c>
      <c r="C123">
        <v>52</v>
      </c>
      <c r="D123" t="str">
        <v>People</v>
      </c>
      <c r="E123" t="str">
        <v>Circus &amp; Clowns</v>
      </c>
      <c r="F123" t="str">
        <v>Clown hanging from his feet inside wheel</v>
      </c>
      <c r="G123" t="str">
        <v>Clockwork</v>
      </c>
      <c r="H123" t="str">
        <v>wheel moves as the clown swings his arms</v>
      </c>
      <c r="I123" t="str">
        <v>Tin &amp; plastic</v>
      </c>
      <c r="J123" t="str">
        <v>14x4x15</v>
      </c>
      <c r="K123" t="str">
        <v>Kohler</v>
      </c>
      <c r="L123" t="str">
        <v>Very Good</v>
      </c>
      <c r="M123" t="str">
        <v>1952</v>
      </c>
      <c r="N123" t="str">
        <v>1962</v>
      </c>
      <c r="S123" t="str">
        <v>500 (2024) w/ box</v>
      </c>
      <c r="T123" t="str">
        <v>22 (253) 46 (189)</v>
      </c>
      <c r="W123" t="str">
        <v>P1010060</v>
      </c>
      <c r="X123" t="str">
        <v>P1010061</v>
      </c>
    </row>
    <row r="124">
      <c r="A124">
        <v>123</v>
      </c>
      <c r="B124" t="str">
        <v>Clown on Barrel</v>
      </c>
      <c r="C124">
        <v>600</v>
      </c>
      <c r="D124" t="str">
        <v>People</v>
      </c>
      <c r="E124" t="str">
        <v>Circus &amp; Clowns</v>
      </c>
      <c r="F124" t="str">
        <v>Clown handstanding on a red barrel</v>
      </c>
      <c r="G124" t="str">
        <v>Clockwork</v>
      </c>
      <c r="H124" t="str">
        <v>As the barrel moves, he moves his arms to remain balanced</v>
      </c>
      <c r="I124" t="str">
        <v>Tin</v>
      </c>
      <c r="J124" t="str">
        <v>8x9x19</v>
      </c>
      <c r="K124" t="str">
        <v>ERCO</v>
      </c>
      <c r="L124" t="str">
        <v>Very Good</v>
      </c>
      <c r="M124" t="str">
        <v>1952</v>
      </c>
      <c r="N124" t="str">
        <v>1959</v>
      </c>
      <c r="S124" t="str">
        <v>&gt;350 (2024)</v>
      </c>
      <c r="T124" t="str">
        <v>22 (248) 46 (77) 57 (43) 68 (57)</v>
      </c>
      <c r="W124" t="str">
        <v>P1010054</v>
      </c>
      <c r="X124" t="str">
        <v>P1010055</v>
      </c>
    </row>
    <row r="125">
      <c r="A125">
        <v>124</v>
      </c>
      <c r="B125" t="str">
        <v>Joe the Acrobat</v>
      </c>
      <c r="D125" t="str">
        <v>People</v>
      </c>
      <c r="E125" t="str">
        <v>Circus &amp; Clowns</v>
      </c>
      <c r="F125" t="str">
        <v>Clown handstanding on top of a moving ball</v>
      </c>
      <c r="G125" t="str">
        <v>Clockwork</v>
      </c>
      <c r="H125" t="str">
        <v>As the ball moves, arms move to remain balanced and legs move up and down</v>
      </c>
      <c r="I125" t="str">
        <v>Tin</v>
      </c>
      <c r="J125" t="str">
        <v>9x6x10x16</v>
      </c>
      <c r="K125" t="str">
        <v>TPS</v>
      </c>
      <c r="L125" t="str">
        <v>Excellent</v>
      </c>
      <c r="M125" t="str">
        <v>1956</v>
      </c>
      <c r="N125" t="str">
        <v>1959</v>
      </c>
      <c r="P125">
        <v>325</v>
      </c>
      <c r="Q125">
        <v>45658</v>
      </c>
      <c r="R125" t="str">
        <v>Gonçalo Rueda</v>
      </c>
      <c r="S125" t="str">
        <v>330 (2024)</v>
      </c>
      <c r="T125" t="str">
        <v>51 (114)</v>
      </c>
      <c r="U125" t="str">
        <v>scarcity 4.5/5</v>
      </c>
      <c r="W125" t="str">
        <v>PAA90219</v>
      </c>
      <c r="X125" t="str">
        <v>PAA90220</v>
      </c>
    </row>
    <row r="126">
      <c r="A126">
        <v>125</v>
      </c>
      <c r="B126" t="str">
        <v>Payaso Gimnasta</v>
      </c>
      <c r="C126">
        <v>636</v>
      </c>
      <c r="D126" t="str">
        <v>People</v>
      </c>
      <c r="E126" t="str">
        <v>Circus &amp; Clowns</v>
      </c>
      <c r="F126" t="str">
        <v>Clown in plastic handstanding</v>
      </c>
      <c r="G126" t="str">
        <v>Clockwork</v>
      </c>
      <c r="H126" t="str">
        <v>While handstanding,  moves body up and down body, opens and closes legs</v>
      </c>
      <c r="I126" t="str">
        <v>Plastic and cloth</v>
      </c>
      <c r="J126" t="str">
        <v>22x10x14</v>
      </c>
      <c r="K126" t="str">
        <v>Paya</v>
      </c>
      <c r="L126" t="str">
        <v>Excellent</v>
      </c>
      <c r="M126" t="str">
        <v>1965</v>
      </c>
      <c r="N126" t="str">
        <v>1969</v>
      </c>
      <c r="O126" t="str">
        <v>Very good; has written "Convenio local del timbre A-26"</v>
      </c>
      <c r="S126" t="str">
        <v>100 (2024)</v>
      </c>
      <c r="W126" t="str">
        <v>P1010049</v>
      </c>
      <c r="X126" t="str">
        <v>P1010050</v>
      </c>
      <c r="Y126" t="str">
        <v>P1010051</v>
      </c>
      <c r="Z126" t="str">
        <v>P1010053</v>
      </c>
    </row>
    <row r="127">
      <c r="A127">
        <v>126</v>
      </c>
      <c r="B127" t="str">
        <v>Acrobat Struwwelpeter</v>
      </c>
      <c r="C127">
        <v>888</v>
      </c>
      <c r="D127" t="str">
        <v>People</v>
      </c>
      <c r="E127" t="str">
        <v>Sports &amp; Leisure</v>
      </c>
      <c r="F127" t="str">
        <v>Man w/ blond hair making gymnastic</v>
      </c>
      <c r="G127" t="str">
        <v>Clockwork</v>
      </c>
      <c r="H127" t="str">
        <v>he tumbles</v>
      </c>
      <c r="I127" t="str">
        <v>Tin &amp; cloth</v>
      </c>
      <c r="J127" t="str">
        <v>9x7x9</v>
      </c>
      <c r="K127" t="str">
        <v>Schuco</v>
      </c>
      <c r="L127" t="str">
        <v>Excellent</v>
      </c>
      <c r="M127" t="str">
        <v>1947</v>
      </c>
      <c r="N127" t="str">
        <v>1960</v>
      </c>
      <c r="O127" t="str">
        <v>Excellent</v>
      </c>
      <c r="T127" t="str">
        <v>22 (267) 46 (234) 92 (103)</v>
      </c>
      <c r="W127" t="str">
        <v>P1010044</v>
      </c>
      <c r="X127" t="str">
        <v>P1010045</v>
      </c>
    </row>
    <row r="128">
      <c r="A128">
        <v>127</v>
      </c>
      <c r="B128" t="str">
        <v>Devil Driver</v>
      </c>
      <c r="C128">
        <v>930</v>
      </c>
      <c r="D128" t="str">
        <v>Tracks /Platform base</v>
      </c>
      <c r="E128" t="str">
        <v>Circus &amp; Clowns</v>
      </c>
      <c r="F128" t="str">
        <v>Structure holding a motorbike and rider and a man acrobat inside a wheel, which rotates around an axis</v>
      </c>
      <c r="G128" t="str">
        <v>Clockwork</v>
      </c>
      <c r="H128" t="str">
        <v>Moto moves forward on the base and stops when leaves it, which is sufficient to make the structure rotate around an axis, man also rotates;  sparks</v>
      </c>
      <c r="I128" t="str">
        <v>Tin</v>
      </c>
      <c r="J128" t="str">
        <v>24x6x25</v>
      </c>
      <c r="K128" t="str">
        <v>Arnold</v>
      </c>
      <c r="L128" t="str">
        <v>Excellent</v>
      </c>
      <c r="M128" t="str">
        <v>1949</v>
      </c>
      <c r="N128" t="str">
        <v>1960</v>
      </c>
      <c r="O128" t="str">
        <v>Very good</v>
      </c>
      <c r="P128">
        <v>630</v>
      </c>
      <c r="Q128" t="str">
        <v>may/18</v>
      </c>
      <c r="R128" t="str">
        <v>eBay</v>
      </c>
      <c r="S128" t="str">
        <v>1300 (2024)  w/ box</v>
      </c>
      <c r="T128" t="str">
        <v>10 (87) 22(272) 46 (36) 66 (27)73 (95)</v>
      </c>
      <c r="W128" t="str">
        <v>PAA40039</v>
      </c>
    </row>
    <row r="129">
      <c r="A129">
        <v>128</v>
      </c>
      <c r="B129" t="str">
        <v>Le Clown Acrobate</v>
      </c>
      <c r="D129" t="str">
        <v>People</v>
      </c>
      <c r="E129" t="str">
        <v>Circus &amp; Clowns</v>
      </c>
      <c r="F129" t="str">
        <v>Clown balancing on wooden parallel bars or on chairs</v>
      </c>
      <c r="G129" t="str">
        <v>Clockwork</v>
      </c>
      <c r="H129" t="str">
        <v>he tumbles</v>
      </c>
      <c r="I129" t="str">
        <v>Papier mache, cloth, metal &amp; wood</v>
      </c>
      <c r="J129" t="str">
        <v>30x11x29</v>
      </c>
      <c r="K129" t="str">
        <v>Migault &amp; Papin</v>
      </c>
      <c r="L129" t="str">
        <v>Excellent</v>
      </c>
      <c r="M129" t="str">
        <v>1905</v>
      </c>
      <c r="N129" t="str">
        <v>1919</v>
      </c>
      <c r="O129" t="str">
        <v>Very good, has instructions</v>
      </c>
      <c r="P129">
        <v>1174</v>
      </c>
      <c r="Q129" t="str">
        <v>sept/22</v>
      </c>
      <c r="R129" t="str">
        <v>catawiki</v>
      </c>
      <c r="S129" t="str">
        <v>&gt;1000</v>
      </c>
      <c r="T129" t="str">
        <v>57 (14) 63 (28) 73 (58)</v>
      </c>
      <c r="V129" t="str">
        <v>original key</v>
      </c>
      <c r="W129" t="str">
        <v>P1220007</v>
      </c>
      <c r="X129" t="str">
        <v>P1220009</v>
      </c>
      <c r="Y129" t="str">
        <v>P1220016</v>
      </c>
    </row>
    <row r="130">
      <c r="A130">
        <v>129</v>
      </c>
      <c r="B130" t="str">
        <v>Happy, the Violinist</v>
      </c>
      <c r="D130" t="str">
        <v>People</v>
      </c>
      <c r="E130" t="str">
        <v>Circus &amp; Clowns</v>
      </c>
      <c r="F130" t="str">
        <v>Clown on stilts playing the violin</v>
      </c>
      <c r="G130" t="str">
        <v>Clockwork</v>
      </c>
      <c r="H130" t="str">
        <v>sways from side to side and moves right arm to play the violin</v>
      </c>
      <c r="I130" t="str">
        <v>Tin &amp; cloth</v>
      </c>
      <c r="J130" t="str">
        <v>8x7x22</v>
      </c>
      <c r="K130" t="str">
        <v>TPS</v>
      </c>
      <c r="L130" t="str">
        <v>Excellent</v>
      </c>
      <c r="M130" t="str">
        <v>1956</v>
      </c>
      <c r="N130" t="str">
        <v>1960</v>
      </c>
      <c r="O130" t="str">
        <v>Good</v>
      </c>
      <c r="S130" t="str">
        <v>300-500 (2024) w/ box</v>
      </c>
      <c r="T130" t="str">
        <v>51 (107) 73 )97)</v>
      </c>
      <c r="U130" t="str">
        <v>scarcity 2/5; some boxes have the Cragstan mark; this is version II of the toy; version I was launched in 1955, scarcity 4/5</v>
      </c>
      <c r="W130" t="str">
        <v>P1010073</v>
      </c>
      <c r="X130" t="str">
        <v>P1010074</v>
      </c>
    </row>
    <row r="131">
      <c r="A131">
        <v>130</v>
      </c>
      <c r="B131" t="str">
        <v>Clown on Roller Skate</v>
      </c>
      <c r="D131" t="str">
        <v>People</v>
      </c>
      <c r="E131" t="str">
        <v>Circus &amp; Clowns</v>
      </c>
      <c r="F131" t="str">
        <v>Clown w/ hat and pink face on skates</v>
      </c>
      <c r="G131" t="str">
        <v>Clockwork</v>
      </c>
      <c r="H131" t="str">
        <v>clown skates on left foot, with right leg pushes forward while body bends, in a skating motion</v>
      </c>
      <c r="I131" t="str">
        <v>Tin &amp; cloth</v>
      </c>
      <c r="J131" t="str">
        <v>10x8x15</v>
      </c>
      <c r="K131" t="str">
        <v>TPS</v>
      </c>
      <c r="L131" t="str">
        <v>Very Good</v>
      </c>
      <c r="M131" t="str">
        <v>1954</v>
      </c>
      <c r="N131" t="str">
        <v>1960</v>
      </c>
      <c r="O131" t="str">
        <v>Very Good</v>
      </c>
      <c r="S131" t="str">
        <v>220-400 (2024) w/ box</v>
      </c>
      <c r="T131" t="str">
        <v>51 (72) 73 (88)</v>
      </c>
      <c r="U131" t="str">
        <v>pat.5093</v>
      </c>
      <c r="W131" t="str">
        <v>PAA40023</v>
      </c>
      <c r="X131" t="str">
        <v>PAA40024</v>
      </c>
      <c r="Y131" t="str">
        <v>PAA40026</v>
      </c>
      <c r="Z131" t="str">
        <v>PAA40036</v>
      </c>
    </row>
    <row r="132">
      <c r="A132">
        <v>131</v>
      </c>
      <c r="B132" t="str">
        <v>Clown on Roller Skate - White Face</v>
      </c>
      <c r="D132" t="str">
        <v>People</v>
      </c>
      <c r="E132" t="str">
        <v>Circus &amp; Clowns</v>
      </c>
      <c r="F132" t="str">
        <v>Clown w/ red hat and white face on skates</v>
      </c>
      <c r="G132" t="str">
        <v>Clockwork</v>
      </c>
      <c r="H132" t="str">
        <v>clown skates on left foot with right leg  pushes forward while body bends, in a skating motion</v>
      </c>
      <c r="I132" t="str">
        <v>Tin &amp; cloth</v>
      </c>
      <c r="J132" t="str">
        <v>10x8x15</v>
      </c>
      <c r="K132" t="str">
        <v>TPS</v>
      </c>
      <c r="L132" t="str">
        <v>Reasonable</v>
      </c>
      <c r="M132" t="str">
        <v>1956</v>
      </c>
      <c r="N132" t="str">
        <v>1959</v>
      </c>
      <c r="S132" t="str">
        <v>380-500 (2024)</v>
      </c>
      <c r="T132" t="str">
        <v>51 (73) 73 (88)</v>
      </c>
      <c r="U132" t="str">
        <v>scarcity 4.5/5; variant battery powered</v>
      </c>
      <c r="W132" t="str">
        <v>PAA40028</v>
      </c>
      <c r="X132" t="str">
        <v>PAA40029</v>
      </c>
      <c r="Y132" t="str">
        <v>PAA40031</v>
      </c>
      <c r="Z132" t="str">
        <v>PAA40036</v>
      </c>
    </row>
    <row r="133">
      <c r="A133">
        <v>132</v>
      </c>
      <c r="B133" t="str">
        <v>Payaso Patinador</v>
      </c>
      <c r="D133" t="str">
        <v>People</v>
      </c>
      <c r="E133" t="str">
        <v>Circus &amp; Clowns</v>
      </c>
      <c r="F133" t="str">
        <v>Plastic clown w/ red hat and white face on skates</v>
      </c>
      <c r="G133" t="str">
        <v>Clockwork</v>
      </c>
      <c r="H133" t="str">
        <v>clown skates on left foot with right leg  pushes forward while body bends, in a skating motion</v>
      </c>
      <c r="I133" t="str">
        <v>Plastic</v>
      </c>
      <c r="J133" t="str">
        <v>12x10x15</v>
      </c>
      <c r="K133" t="str">
        <v>Rico</v>
      </c>
      <c r="L133" t="str">
        <v>Very Good</v>
      </c>
      <c r="M133" t="str">
        <v>1960</v>
      </c>
      <c r="N133" t="str">
        <v>1965</v>
      </c>
      <c r="S133" t="str">
        <v>150-180 (2024) w/ box</v>
      </c>
      <c r="W133" t="str">
        <v>PAA40032</v>
      </c>
      <c r="X133" t="str">
        <v>PAA40033</v>
      </c>
      <c r="Z133" t="str">
        <v>PAA40036</v>
      </c>
    </row>
    <row r="134">
      <c r="A134">
        <v>133</v>
      </c>
      <c r="B134" t="str">
        <v>Clown reitet Clown</v>
      </c>
      <c r="D134" t="str">
        <v>People</v>
      </c>
      <c r="E134" t="str">
        <v>Circus &amp; Clowns</v>
      </c>
      <c r="F134" t="str">
        <v>Clown seated on the back of another clown on his knees</v>
      </c>
      <c r="G134" t="str">
        <v>Clockwork</v>
      </c>
      <c r="H134" t="str">
        <v>Moves forward</v>
      </c>
      <c r="I134" t="str">
        <v>Tin</v>
      </c>
      <c r="J134" t="str">
        <v>15x6x13</v>
      </c>
      <c r="K134" t="str">
        <v>Issmayer</v>
      </c>
      <c r="L134" t="str">
        <v>Very Good</v>
      </c>
      <c r="M134" t="str">
        <v>1926</v>
      </c>
      <c r="N134" t="str">
        <v>1930</v>
      </c>
      <c r="P134">
        <v>950</v>
      </c>
      <c r="Q134">
        <v>44774</v>
      </c>
      <c r="R134" t="str">
        <v>Carlos Rueda</v>
      </c>
      <c r="S134" t="str">
        <v>1600-1700 (2022)</v>
      </c>
      <c r="T134" t="str">
        <v>65 (195) 73 (69)</v>
      </c>
      <c r="W134" t="str">
        <v>P1010071</v>
      </c>
      <c r="X134" t="str">
        <v>P1010072</v>
      </c>
    </row>
    <row r="135">
      <c r="A135">
        <v>134</v>
      </c>
      <c r="B135" t="str">
        <v>Handstand-Laufer</v>
      </c>
      <c r="D135" t="str">
        <v>People</v>
      </c>
      <c r="E135" t="str">
        <v>Circus &amp; Clowns</v>
      </c>
      <c r="F135" t="str">
        <v xml:space="preserve"> Handstanding clown in red and yellow, w/ weights on hands</v>
      </c>
      <c r="G135" t="str">
        <v>Clockwork</v>
      </c>
      <c r="H135" t="str">
        <v>he sways his body laterally</v>
      </c>
      <c r="I135" t="str">
        <v>Tin</v>
      </c>
      <c r="J135" t="str">
        <v>8x6x18</v>
      </c>
      <c r="K135" t="str">
        <v>Issmayer</v>
      </c>
      <c r="L135" t="str">
        <v>Very Good</v>
      </c>
      <c r="M135" t="str">
        <v>1920</v>
      </c>
      <c r="N135" t="str">
        <v>1930</v>
      </c>
      <c r="P135">
        <v>285</v>
      </c>
      <c r="Q135">
        <v>44501</v>
      </c>
      <c r="R135" t="str">
        <v>catawiki</v>
      </c>
      <c r="S135" t="str">
        <v>330 (2016)</v>
      </c>
      <c r="T135" t="str">
        <v>65 (195) 68 (37)</v>
      </c>
      <c r="W135" t="str">
        <v>PAA40041</v>
      </c>
      <c r="X135" t="str">
        <v>PAA40043</v>
      </c>
      <c r="Y135" t="str">
        <v>PAA40045</v>
      </c>
    </row>
    <row r="136">
      <c r="A136">
        <v>135</v>
      </c>
      <c r="B136" t="str">
        <v>The Famous Juggler</v>
      </c>
      <c r="D136" t="str">
        <v>People</v>
      </c>
      <c r="E136" t="str">
        <v>Circus &amp; Clowns</v>
      </c>
      <c r="F136" t="str">
        <v>Clown juggler w/ spinning rings on both hands and above his head</v>
      </c>
      <c r="G136" t="str">
        <v>Clockwork</v>
      </c>
      <c r="H136" t="str">
        <v>Sways his upper body while rings rotate</v>
      </c>
      <c r="I136" t="str">
        <v>Plastic, cloth &amp; cardboard</v>
      </c>
      <c r="J136" t="str">
        <v>7x21x27</v>
      </c>
      <c r="K136" t="str">
        <v>HZ</v>
      </c>
      <c r="L136" t="str">
        <v>Excellent</v>
      </c>
      <c r="M136" t="str">
        <v>1960</v>
      </c>
      <c r="N136" t="str">
        <v>1965</v>
      </c>
      <c r="S136" t="str">
        <v>170-300 (2024) w/ box</v>
      </c>
      <c r="T136" t="str">
        <v>68 (50)</v>
      </c>
      <c r="W136" t="str">
        <v>PAA40047</v>
      </c>
      <c r="X136" t="str">
        <v>PAA40048</v>
      </c>
    </row>
    <row r="137">
      <c r="A137">
        <v>136</v>
      </c>
      <c r="B137" t="str">
        <v>Clown Juggler with 2 plates</v>
      </c>
      <c r="D137" t="str">
        <v>People</v>
      </c>
      <c r="E137" t="str">
        <v>Circus &amp; Clowns</v>
      </c>
      <c r="F137" t="str">
        <v>Clown juggler w/ two plates on top of long springs</v>
      </c>
      <c r="G137" t="str">
        <v>Clockwork</v>
      </c>
      <c r="H137" t="str">
        <v>Body sways laterally while plates rotate</v>
      </c>
      <c r="I137" t="str">
        <v>Tin &amp; cloth</v>
      </c>
      <c r="J137" t="str">
        <v>5x22x21</v>
      </c>
      <c r="K137" t="str">
        <v>Nomura</v>
      </c>
      <c r="L137" t="str">
        <v>Very Good</v>
      </c>
      <c r="M137" t="str">
        <v>1955</v>
      </c>
      <c r="N137" t="str">
        <v>1959</v>
      </c>
      <c r="P137">
        <v>167</v>
      </c>
      <c r="Q137">
        <v>44593</v>
      </c>
      <c r="R137" t="str">
        <v>catawiki</v>
      </c>
      <c r="W137" t="str">
        <v>PAA40049</v>
      </c>
      <c r="X137" t="str">
        <v>PAA40050</v>
      </c>
    </row>
    <row r="138">
      <c r="A138">
        <v>137</v>
      </c>
      <c r="B138" t="str">
        <v>Clown Juggler with Monkey</v>
      </c>
      <c r="D138" t="str">
        <v>People</v>
      </c>
      <c r="E138" t="str">
        <v>Circus &amp; Clowns</v>
      </c>
      <c r="F138" t="str">
        <v>Clown juggler w/ monkey sitted on chair</v>
      </c>
      <c r="G138" t="str">
        <v>Clockwork</v>
      </c>
      <c r="H138" t="str">
        <v>Clown arms rotate vertically; his right arm holds a stick which hits the legs of the chair causing its horizontal rotation</v>
      </c>
      <c r="I138" t="str">
        <v>Tin</v>
      </c>
      <c r="J138" t="str">
        <v>7x7x24</v>
      </c>
      <c r="K138" t="str">
        <v>TPS</v>
      </c>
      <c r="L138" t="str">
        <v>Excellent</v>
      </c>
      <c r="M138" t="str">
        <v>1959</v>
      </c>
      <c r="N138" t="str">
        <v>1960</v>
      </c>
      <c r="O138" t="str">
        <v>Very good</v>
      </c>
      <c r="S138" t="str">
        <v>450-700 (2024) w/ box</v>
      </c>
      <c r="T138" t="str">
        <v>51 (71) 73 (45)</v>
      </c>
      <c r="U138" t="str">
        <v>scarcity 4/5</v>
      </c>
      <c r="W138" t="str">
        <v>PAA40053</v>
      </c>
      <c r="X138" t="str">
        <v>PAA40055</v>
      </c>
    </row>
    <row r="139">
      <c r="A139">
        <v>138</v>
      </c>
      <c r="B139" t="str">
        <v>Circus Clown</v>
      </c>
      <c r="D139" t="str">
        <v>People</v>
      </c>
      <c r="E139" t="str">
        <v>Circus &amp; Clowns</v>
      </c>
      <c r="F139" t="str">
        <v>Clown w/ glasses and red hat on a unicycle</v>
      </c>
      <c r="G139" t="str">
        <v>Clockwork</v>
      </c>
      <c r="H139" t="str">
        <v>Clown pedals and moves forward, spins, while arms swing up and down</v>
      </c>
      <c r="I139" t="str">
        <v>Tin</v>
      </c>
      <c r="J139" t="str">
        <v>10x6x15</v>
      </c>
      <c r="K139" t="str">
        <v>TPS</v>
      </c>
      <c r="L139" t="str">
        <v>Excellent</v>
      </c>
      <c r="M139" t="str">
        <v>1957</v>
      </c>
      <c r="N139" t="str">
        <v>1959</v>
      </c>
      <c r="O139" t="str">
        <v>Poor, one flap missing</v>
      </c>
      <c r="P139">
        <v>199</v>
      </c>
      <c r="Q139" t="str">
        <v>Apr/21</v>
      </c>
      <c r="R139" t="str">
        <v>catawiki</v>
      </c>
      <c r="T139" t="str">
        <v>51 (65)</v>
      </c>
      <c r="U139" t="str">
        <v>scarcity 4/5</v>
      </c>
      <c r="W139" t="str">
        <v>PAA40058</v>
      </c>
      <c r="X139" t="str">
        <v>PAA40059</v>
      </c>
      <c r="Y139" t="str">
        <v>PAA40060</v>
      </c>
    </row>
    <row r="140">
      <c r="A140">
        <v>139</v>
      </c>
      <c r="B140" t="str">
        <v>Skippy, the Tricky Cyclist</v>
      </c>
      <c r="D140" t="str">
        <v>People</v>
      </c>
      <c r="E140" t="str">
        <v>Circus &amp; Clowns</v>
      </c>
      <c r="F140" t="str">
        <v>Clown w/ black and yellow hat on a unicycle</v>
      </c>
      <c r="G140" t="str">
        <v>Clockwork</v>
      </c>
      <c r="H140" t="str">
        <v>Clown pedals and moves forward, spins, while arms swing up and down</v>
      </c>
      <c r="I140" t="str">
        <v>Tin &amp; cloth</v>
      </c>
      <c r="J140" t="str">
        <v>10x8x14</v>
      </c>
      <c r="K140" t="str">
        <v>TPS</v>
      </c>
      <c r="L140" t="str">
        <v>Excellent</v>
      </c>
      <c r="M140" t="str">
        <v>1955</v>
      </c>
      <c r="N140" t="str">
        <v>1959</v>
      </c>
      <c r="P140">
        <v>204</v>
      </c>
      <c r="Q140">
        <v>44743</v>
      </c>
      <c r="R140" t="str">
        <v>catawiki</v>
      </c>
      <c r="S140" t="str">
        <v>150 (2024)</v>
      </c>
      <c r="T140" t="str">
        <v>51 (170) 57 (44) 73 (90)</v>
      </c>
      <c r="U140" t="str">
        <v>scarcity 1.5/5</v>
      </c>
      <c r="W140" t="str">
        <v>PAA40057</v>
      </c>
      <c r="X140" t="str">
        <v>PAA40059</v>
      </c>
      <c r="Y140" t="str">
        <v>PAA40060</v>
      </c>
    </row>
    <row r="141">
      <c r="A141">
        <v>140</v>
      </c>
      <c r="B141" t="str">
        <v>Handstanding clown</v>
      </c>
      <c r="D141" t="str">
        <v>People</v>
      </c>
      <c r="E141" t="str">
        <v>Circus &amp; Clowns</v>
      </c>
      <c r="F141" t="str">
        <v>Handstanding clown w/ yellow shirt and red trousers</v>
      </c>
      <c r="G141" t="str">
        <v>Clockwork</v>
      </c>
      <c r="H141" t="str">
        <v>Oscillates lateraly his body</v>
      </c>
      <c r="I141" t="str">
        <v>Tin</v>
      </c>
      <c r="J141" t="str">
        <v>7x5x12</v>
      </c>
      <c r="L141" t="str">
        <v>Excellent</v>
      </c>
      <c r="M141" t="str">
        <v>1955</v>
      </c>
      <c r="N141" t="str">
        <v>1959</v>
      </c>
      <c r="T141" t="str">
        <v>73 (68)</v>
      </c>
      <c r="V141" t="str">
        <v>made in Great Britain</v>
      </c>
      <c r="W141" t="str">
        <v>PAA40064</v>
      </c>
      <c r="X141" t="str">
        <v>PAA40065</v>
      </c>
    </row>
    <row r="142">
      <c r="A142">
        <v>141</v>
      </c>
      <c r="B142" t="str">
        <v>Handstanding clown</v>
      </c>
      <c r="D142" t="str">
        <v>People</v>
      </c>
      <c r="E142" t="str">
        <v>Circus &amp; Clowns</v>
      </c>
      <c r="F142" t="str">
        <v>Handstanding clown dressed w/ the american flag</v>
      </c>
      <c r="G142" t="str">
        <v>Clockwork</v>
      </c>
      <c r="H142" t="str">
        <v>Oscillates lateraly his body</v>
      </c>
      <c r="I142" t="str">
        <v>Tin</v>
      </c>
      <c r="J142" t="str">
        <v>7x5x12</v>
      </c>
      <c r="K142" t="str">
        <v>J. Chein</v>
      </c>
      <c r="L142" t="str">
        <v>Very Good</v>
      </c>
      <c r="M142" t="str">
        <v>1955</v>
      </c>
      <c r="N142" t="str">
        <v>1959</v>
      </c>
      <c r="S142" t="str">
        <v>50-80 (2024)</v>
      </c>
      <c r="T142" t="str">
        <v>7 (97) 57 (42) 68 (37) 73 (68)</v>
      </c>
      <c r="W142" t="str">
        <v>PAA40064</v>
      </c>
      <c r="X142" t="str">
        <v>PAA40065</v>
      </c>
    </row>
    <row r="143">
      <c r="A143">
        <v>142</v>
      </c>
      <c r="B143" t="str">
        <v>Tumbling Pierrot</v>
      </c>
      <c r="D143" t="str">
        <v>People</v>
      </c>
      <c r="E143" t="str">
        <v>Circus &amp; Clowns</v>
      </c>
      <c r="F143" t="str">
        <v>Celuloid clown in pink vest w/ two blue bags</v>
      </c>
      <c r="G143" t="str">
        <v>Clockwork</v>
      </c>
      <c r="H143" t="str">
        <v>He tumbles while handstanding holding the bags</v>
      </c>
      <c r="I143" t="str">
        <v>Celuloid</v>
      </c>
      <c r="J143" t="str">
        <v>13x7x9</v>
      </c>
      <c r="K143" t="str">
        <v>TTK - JOL</v>
      </c>
      <c r="L143" t="str">
        <v>Very Good</v>
      </c>
      <c r="M143" t="str">
        <v>1945</v>
      </c>
      <c r="N143" t="str">
        <v>1954</v>
      </c>
      <c r="P143">
        <v>60</v>
      </c>
      <c r="Q143">
        <v>44562</v>
      </c>
      <c r="R143" t="str">
        <v>catawiki</v>
      </c>
      <c r="S143" t="str">
        <v>320 (2024) w/ box</v>
      </c>
      <c r="T143" t="str">
        <v>126 (112)</v>
      </c>
      <c r="U143" t="str">
        <v>pat. 23-8968; 23-14141</v>
      </c>
      <c r="V143" t="str">
        <v>made in Occupied Japan</v>
      </c>
      <c r="W143" t="str">
        <v>PAA40062</v>
      </c>
      <c r="X143" t="str">
        <v>PAA40063</v>
      </c>
    </row>
    <row r="144">
      <c r="A144">
        <v>143</v>
      </c>
      <c r="B144" t="str">
        <v>Moving Stairs</v>
      </c>
      <c r="C144">
        <v>203</v>
      </c>
      <c r="D144" t="str">
        <v>Tracks /Platform base</v>
      </c>
      <c r="E144" t="str">
        <v>Fairground</v>
      </c>
      <c r="F144" t="str">
        <v>A vertical sructure w/ four inclined tracks, and a car in a elevator</v>
      </c>
      <c r="G144" t="str">
        <v>Clockwork</v>
      </c>
      <c r="H144" t="str">
        <v>the car is taken to the top of the structure by an elavator; then it descends along the four inclined tracks and the action repeats</v>
      </c>
      <c r="I144" t="str">
        <v>Tin</v>
      </c>
      <c r="J144" t="str">
        <v>44x9x23</v>
      </c>
      <c r="K144" t="str">
        <v>Einfalt</v>
      </c>
      <c r="L144" t="str">
        <v>Very Good</v>
      </c>
      <c r="M144" t="str">
        <v>1931</v>
      </c>
      <c r="N144" t="str">
        <v>1935</v>
      </c>
      <c r="P144">
        <v>375</v>
      </c>
      <c r="Q144">
        <v>44166</v>
      </c>
      <c r="R144" t="str">
        <v>Gonçalo Rueda</v>
      </c>
      <c r="T144" t="str">
        <v>1 (31)</v>
      </c>
      <c r="W144" t="str">
        <v>PAA40040</v>
      </c>
    </row>
    <row r="145">
      <c r="A145">
        <v>144</v>
      </c>
      <c r="B145" t="str">
        <v>Clown Trainer and His Acrobatic Dog</v>
      </c>
      <c r="D145" t="str">
        <v>People</v>
      </c>
      <c r="E145" t="str">
        <v>Circus &amp; Clowns</v>
      </c>
      <c r="F145" t="str">
        <v>Clown traing a dog to cross a hoop in flames</v>
      </c>
      <c r="G145" t="str">
        <v>Clockwork</v>
      </c>
      <c r="H145" t="str">
        <v xml:space="preserve">Clown rotates  around to guide the dog, which runs around and jumps to cross the hood in flames when the arms's clown moves up </v>
      </c>
      <c r="I145" t="str">
        <v>Tin &amp; cloth</v>
      </c>
      <c r="J145" t="str">
        <v>17x14x17</v>
      </c>
      <c r="K145" t="str">
        <v>TPS</v>
      </c>
      <c r="L145" t="str">
        <v>Very Good</v>
      </c>
      <c r="M145" t="str">
        <v>1960</v>
      </c>
      <c r="N145" t="str">
        <v>1965</v>
      </c>
      <c r="O145" t="str">
        <v>Good, says "watch her runs &amp; jumps through ring fire"</v>
      </c>
      <c r="S145" t="str">
        <v>220 (2024) w/ box</v>
      </c>
      <c r="T145" t="str">
        <v>51 (74)</v>
      </c>
      <c r="U145" t="str">
        <v>scarcity 3/5</v>
      </c>
      <c r="V145" t="str">
        <v>flames and wire are new</v>
      </c>
      <c r="W145" t="str">
        <v>PAA40067</v>
      </c>
      <c r="X145" t="str">
        <v>PAA40070</v>
      </c>
    </row>
    <row r="146">
      <c r="A146">
        <v>145</v>
      </c>
      <c r="B146" t="str">
        <v>Happy Clown</v>
      </c>
      <c r="D146" t="str">
        <v>People</v>
      </c>
      <c r="E146" t="str">
        <v>Circus &amp; Clowns</v>
      </c>
      <c r="F146" t="str">
        <v>Bald clown w/ moving eyes</v>
      </c>
      <c r="G146" t="str">
        <v>Clockwork</v>
      </c>
      <c r="H146" t="str">
        <v>Rotates, neck moves up and down while closes and opens eyes</v>
      </c>
      <c r="I146" t="str">
        <v>Tin</v>
      </c>
      <c r="J146" t="str">
        <v>5x5x14</v>
      </c>
      <c r="K146" t="str">
        <v>Distler</v>
      </c>
      <c r="L146" t="str">
        <v>Excellent</v>
      </c>
      <c r="M146" t="str">
        <v>1950</v>
      </c>
      <c r="N146" t="str">
        <v>1960</v>
      </c>
      <c r="S146" t="str">
        <v>250 (2024) w/ box</v>
      </c>
      <c r="T146" t="str">
        <v>22 (248) 41 (78) 68 (13) 73 (122)</v>
      </c>
      <c r="U146" t="str">
        <v>DP 810368 (1949) (66 (112))</v>
      </c>
      <c r="W146" t="str">
        <v>PAA40074</v>
      </c>
      <c r="X146" t="str">
        <v>PAA40075</v>
      </c>
    </row>
    <row r="147">
      <c r="A147">
        <v>146</v>
      </c>
      <c r="B147" t="str">
        <v>Jonny</v>
      </c>
      <c r="D147" t="str">
        <v>People</v>
      </c>
      <c r="E147" t="str">
        <v>Circus &amp; Clowns</v>
      </c>
      <c r="F147" t="str">
        <v>Clown w/a blue hat on his hand</v>
      </c>
      <c r="H147" t="str">
        <v>While rotating backwards, removes hat, bows, puts hat, repeats</v>
      </c>
      <c r="I147" t="str">
        <v>Tin</v>
      </c>
      <c r="J147" t="str">
        <v>5x8x15</v>
      </c>
      <c r="K147" t="str">
        <v>NBN</v>
      </c>
      <c r="L147" t="str">
        <v>Very Good</v>
      </c>
      <c r="M147" t="str">
        <v>1955</v>
      </c>
      <c r="N147" t="str">
        <v>1962</v>
      </c>
      <c r="R147" t="str">
        <v>Gonçalo Rueda</v>
      </c>
      <c r="S147" t="str">
        <v>220-380 (2024)</v>
      </c>
      <c r="T147" t="str">
        <v>22 (249) 46 (205) 66 (328) 68 (83)</v>
      </c>
      <c r="V147" t="str">
        <v>colour a little faded</v>
      </c>
      <c r="W147" t="str">
        <v>PAA40071</v>
      </c>
      <c r="X147" t="str">
        <v>PAA40072</v>
      </c>
    </row>
    <row r="148">
      <c r="A148">
        <v>147</v>
      </c>
      <c r="B148" t="str">
        <v>Lucky</v>
      </c>
      <c r="C148">
        <v>360</v>
      </c>
      <c r="D148" t="str">
        <v>Tracks /Platform base</v>
      </c>
      <c r="E148" t="str">
        <v>Circus &amp; Clowns</v>
      </c>
      <c r="F148" t="str">
        <v>Clown on a wire</v>
      </c>
      <c r="G148" t="str">
        <v>Clockwork</v>
      </c>
      <c r="H148" t="str">
        <v>Clown moves along the wire; when reaches the end, rotates and moves in the opposite direction</v>
      </c>
      <c r="I148" t="str">
        <v>Tin</v>
      </c>
      <c r="J148" t="str">
        <v>38x4x15</v>
      </c>
      <c r="K148" t="str">
        <v>Arnold</v>
      </c>
      <c r="L148" t="str">
        <v>Good</v>
      </c>
      <c r="M148" t="str">
        <v>1955</v>
      </c>
      <c r="N148" t="str">
        <v>1962</v>
      </c>
      <c r="S148" t="str">
        <v>1000  w/ box?</v>
      </c>
      <c r="T148" t="str">
        <v>10 (92) 22  (267) 46 (33) 66 (27)</v>
      </c>
      <c r="W148" t="str">
        <v>PAA40078</v>
      </c>
      <c r="X148" t="str">
        <v>PAA40079</v>
      </c>
    </row>
    <row r="149">
      <c r="A149">
        <v>148</v>
      </c>
      <c r="B149" t="str">
        <v>Artie the Clown</v>
      </c>
      <c r="D149" t="str">
        <v>Cars</v>
      </c>
      <c r="E149" t="str">
        <v>Circus &amp; Clowns</v>
      </c>
      <c r="F149" t="str">
        <v>Clown w/ yellow conical hat driving a crazy jeep w/ a dog on the bonnet</v>
      </c>
      <c r="G149" t="str">
        <v>Clockwork</v>
      </c>
      <c r="H149" t="str">
        <v>Moves on two or four wheels; rotates in one direction, spins and rotates in the opposite direction, clown jumps</v>
      </c>
      <c r="I149" t="str">
        <v>Tin</v>
      </c>
      <c r="J149" t="str">
        <v>18x9x23</v>
      </c>
      <c r="K149" t="str">
        <v>Unique Art</v>
      </c>
      <c r="L149" t="str">
        <v>Excellent</v>
      </c>
      <c r="M149" t="str">
        <v>1945</v>
      </c>
      <c r="N149" t="str">
        <v>1952</v>
      </c>
      <c r="S149" t="str">
        <v>180 (2024)</v>
      </c>
      <c r="U149" t="str">
        <v>Dog name is "JoJo"</v>
      </c>
      <c r="W149" t="str">
        <v>PAA40076</v>
      </c>
      <c r="X149" t="str">
        <v>PAA40077</v>
      </c>
    </row>
    <row r="150">
      <c r="A150">
        <v>149</v>
      </c>
      <c r="B150" t="str">
        <v>Clown with Guitar</v>
      </c>
      <c r="D150" t="str">
        <v>People</v>
      </c>
      <c r="E150" t="str">
        <v>Circus &amp; Clowns</v>
      </c>
      <c r="F150" t="str">
        <v>Clown on a circulat base, playing guitar</v>
      </c>
      <c r="G150" t="str">
        <v>Clockwork</v>
      </c>
      <c r="H150" t="str">
        <v>Moves right hand and head to play instrument, pling pling sound</v>
      </c>
      <c r="I150" t="str">
        <v>Tin</v>
      </c>
      <c r="J150" t="str">
        <v>8x8x21</v>
      </c>
      <c r="K150" t="str">
        <v>Distler</v>
      </c>
      <c r="L150" t="str">
        <v>Excellent</v>
      </c>
      <c r="M150" t="str">
        <v>1955</v>
      </c>
      <c r="N150" t="str">
        <v>1958</v>
      </c>
      <c r="T150" t="str">
        <v>10 (78) 22 (250) 46 (72)</v>
      </c>
      <c r="U150" t="str">
        <v>66 (172) identifies it as made by Adolf Hahn</v>
      </c>
      <c r="W150" t="str">
        <v>PAA50094</v>
      </c>
      <c r="X150" t="str">
        <v>PAA50098</v>
      </c>
    </row>
    <row r="151">
      <c r="A151">
        <v>150</v>
      </c>
      <c r="B151" t="str">
        <v>Clown with Saxophone</v>
      </c>
      <c r="D151" t="str">
        <v>People</v>
      </c>
      <c r="E151" t="str">
        <v>Circus &amp; Clowns</v>
      </c>
      <c r="F151" t="str">
        <v>Clown on a circulat base, playing saxophone</v>
      </c>
      <c r="G151" t="str">
        <v>Clockwork</v>
      </c>
      <c r="H151" t="str">
        <v>Moves right hand and head to play instrument, pling pling sound</v>
      </c>
      <c r="I151" t="str">
        <v>Tin</v>
      </c>
      <c r="J151" t="str">
        <v>8x8x21</v>
      </c>
      <c r="K151" t="str">
        <v>Distler</v>
      </c>
      <c r="L151" t="str">
        <v>Very Good</v>
      </c>
      <c r="M151" t="str">
        <v>1955</v>
      </c>
      <c r="N151" t="str">
        <v>1960</v>
      </c>
      <c r="P151">
        <v>362</v>
      </c>
      <c r="Q151">
        <v>45597</v>
      </c>
      <c r="R151" t="str">
        <v>catawiki</v>
      </c>
      <c r="T151" t="str">
        <v>10 (78)</v>
      </c>
      <c r="W151" t="str">
        <v>PAA50096</v>
      </c>
      <c r="X151" t="str">
        <v>PAA50099</v>
      </c>
    </row>
    <row r="152">
      <c r="A152">
        <v>151</v>
      </c>
      <c r="B152" t="str">
        <v>Atom Rocket</v>
      </c>
      <c r="D152" t="str">
        <v>People</v>
      </c>
      <c r="E152" t="str">
        <v>Circus &amp; Clowns</v>
      </c>
      <c r="F152" t="str">
        <v>Clown mounting a rocket</v>
      </c>
      <c r="G152" t="str">
        <v>Clockwork</v>
      </c>
      <c r="H152" t="str">
        <v>Moves in a circular motion while clown waves head from side to side, with sparks</v>
      </c>
      <c r="I152" t="str">
        <v>Mostly tin</v>
      </c>
      <c r="J152" t="str">
        <v>18x7x12</v>
      </c>
      <c r="K152" t="str">
        <v>Bub</v>
      </c>
      <c r="L152" t="str">
        <v>Very Good</v>
      </c>
      <c r="M152" t="str">
        <v>1950</v>
      </c>
      <c r="N152" t="str">
        <v>1958</v>
      </c>
      <c r="P152">
        <v>390</v>
      </c>
      <c r="Q152">
        <v>44013</v>
      </c>
      <c r="R152" t="str">
        <v>eBay</v>
      </c>
      <c r="T152" t="str">
        <v>22 (258) 46 (61) 66 (84)</v>
      </c>
      <c r="W152" t="str">
        <v>PAA40091</v>
      </c>
      <c r="X152" t="str">
        <v>PAA40092</v>
      </c>
    </row>
    <row r="153">
      <c r="A153">
        <v>152</v>
      </c>
      <c r="B153" t="str">
        <v>The Obstinate Donkey</v>
      </c>
      <c r="D153" t="str">
        <v>People</v>
      </c>
      <c r="E153" t="str">
        <v>Circus &amp; Clowns</v>
      </c>
      <c r="F153" t="str">
        <v>Clown pulling the tail of a donkey</v>
      </c>
      <c r="G153" t="str">
        <v>Clockwork</v>
      </c>
      <c r="H153" t="str">
        <v>clown "pulls" tail, his body moving oscillating to right and left</v>
      </c>
      <c r="I153" t="str">
        <v>Celuloid</v>
      </c>
      <c r="J153" t="str">
        <v>18x4x12</v>
      </c>
      <c r="K153" t="str">
        <v>Kamiya</v>
      </c>
      <c r="L153" t="str">
        <v>Very Good</v>
      </c>
      <c r="M153" t="str">
        <v>1945</v>
      </c>
      <c r="N153" t="str">
        <v>1954</v>
      </c>
      <c r="P153">
        <v>60</v>
      </c>
      <c r="Q153">
        <v>44562</v>
      </c>
      <c r="R153" t="str">
        <v>catawiki</v>
      </c>
      <c r="S153" t="str">
        <v>130 (2024)</v>
      </c>
      <c r="T153" t="str">
        <v>126 (112)</v>
      </c>
      <c r="U153" t="str">
        <v xml:space="preserve">a similar toy (different face of the clown) was also made by KT </v>
      </c>
      <c r="W153" t="str">
        <v>PAA40080</v>
      </c>
      <c r="X153" t="str">
        <v>PAA40082</v>
      </c>
    </row>
    <row r="154">
      <c r="A154">
        <v>153</v>
      </c>
      <c r="B154" t="str">
        <v>Zilotone</v>
      </c>
      <c r="C154">
        <v>48</v>
      </c>
      <c r="D154" t="str">
        <v>Optical and Musical</v>
      </c>
      <c r="E154" t="str">
        <v>Circus &amp; Clowns</v>
      </c>
      <c r="F154" t="str">
        <v>Clown playing xylophone</v>
      </c>
      <c r="G154" t="str">
        <v>Clockwork</v>
      </c>
      <c r="H154" t="str">
        <v>Clown plays xylophone, the music is defined by an exchangable cam</v>
      </c>
      <c r="I154" t="str">
        <v>Tin &amp; Steel</v>
      </c>
      <c r="J154" t="str">
        <v>22x18x18</v>
      </c>
      <c r="K154" t="str">
        <v>Wolverine</v>
      </c>
      <c r="L154" t="str">
        <v>Very Good</v>
      </c>
      <c r="M154" t="str">
        <v>1925</v>
      </c>
      <c r="N154" t="str">
        <v>1931</v>
      </c>
      <c r="S154" t="str">
        <v>500-700 (2024)</v>
      </c>
      <c r="T154" t="str">
        <v>7 (89) 108 (52)</v>
      </c>
      <c r="V154" t="str">
        <v>we have only one "record"</v>
      </c>
      <c r="W154" t="str">
        <v>PAA50100</v>
      </c>
      <c r="X154" t="str">
        <v>PAA50103</v>
      </c>
      <c r="Y154" t="str">
        <v>PAA50104</v>
      </c>
    </row>
    <row r="155">
      <c r="A155">
        <v>154</v>
      </c>
      <c r="B155" t="str">
        <v>Solisto</v>
      </c>
      <c r="C155" t="str">
        <v>986/2</v>
      </c>
      <c r="D155" t="str">
        <v>People</v>
      </c>
      <c r="E155" t="str">
        <v>Circus &amp; Clowns</v>
      </c>
      <c r="F155" t="str">
        <v>Clown in red jacket playing violin</v>
      </c>
      <c r="G155" t="str">
        <v>Clockwork</v>
      </c>
      <c r="H155" t="str">
        <v>Body vibrates and rotates while right arm plays violin</v>
      </c>
      <c r="I155" t="str">
        <v>Tin, plastic &amp; cloth</v>
      </c>
      <c r="J155" t="str">
        <v>7x8x11</v>
      </c>
      <c r="K155" t="str">
        <v>Schuco</v>
      </c>
      <c r="L155" t="str">
        <v>Excellent</v>
      </c>
      <c r="M155" t="str">
        <v>1950</v>
      </c>
      <c r="N155" t="str">
        <v>1956</v>
      </c>
      <c r="S155" t="str">
        <v>270 (2024) w/ box</v>
      </c>
      <c r="T155" t="str">
        <v>22 (254) 46 (235) 92 (133)</v>
      </c>
      <c r="U155" t="str">
        <v>after 1956 came with a conical hat (rare)</v>
      </c>
      <c r="V155" t="str">
        <v>made in US Zone Germany</v>
      </c>
      <c r="W155" t="str">
        <v>PAA50109</v>
      </c>
      <c r="X155" t="str">
        <v>PAA50110</v>
      </c>
      <c r="Y155" t="str">
        <v>PAA50111</v>
      </c>
    </row>
    <row r="156">
      <c r="A156">
        <v>155</v>
      </c>
      <c r="B156" t="str">
        <v>Solisto</v>
      </c>
      <c r="C156" t="str">
        <v>987/2</v>
      </c>
      <c r="D156" t="str">
        <v>Animals</v>
      </c>
      <c r="E156" t="str">
        <v>Circus &amp; Clowns</v>
      </c>
      <c r="F156" t="str">
        <v>Monkey in green jacket playing violin</v>
      </c>
      <c r="G156" t="str">
        <v>Clockwork</v>
      </c>
      <c r="H156" t="str">
        <v>Body vibrates and rotates while right arm plays violin</v>
      </c>
      <c r="I156" t="str">
        <v>Tin &amp; cloth</v>
      </c>
      <c r="J156" t="str">
        <v>7x8x11</v>
      </c>
      <c r="K156" t="str">
        <v>Schuco</v>
      </c>
      <c r="L156" t="str">
        <v>Good</v>
      </c>
      <c r="M156" t="str">
        <v>1935</v>
      </c>
      <c r="N156" t="str">
        <v>1939</v>
      </c>
      <c r="S156" t="str">
        <v>150-170 (2024)</v>
      </c>
      <c r="T156" t="str">
        <v>46 (235) 73 (31) 92 (132)</v>
      </c>
      <c r="V156" t="str">
        <v>coat has a few holes, bow and bonnet missing</v>
      </c>
      <c r="W156" t="str">
        <v>PAA50114</v>
      </c>
      <c r="X156" t="str">
        <v>PAA50115</v>
      </c>
      <c r="Y156" t="str">
        <v>PAA50118</v>
      </c>
    </row>
    <row r="157">
      <c r="A157">
        <v>156</v>
      </c>
      <c r="B157" t="str">
        <v>Solisto</v>
      </c>
      <c r="C157" t="str">
        <v>987/1</v>
      </c>
      <c r="D157" t="str">
        <v>Animals</v>
      </c>
      <c r="E157" t="str">
        <v>Circus &amp; Clowns</v>
      </c>
      <c r="F157" t="str">
        <v>Monkey in green jacket playing drums</v>
      </c>
      <c r="G157" t="str">
        <v>Clockwork</v>
      </c>
      <c r="H157" t="str">
        <v>Body vibrates and rotates while plays drums</v>
      </c>
      <c r="I157" t="str">
        <v>Tin &amp; cloth</v>
      </c>
      <c r="J157" t="str">
        <v>7x6x11</v>
      </c>
      <c r="K157" t="str">
        <v>Schuco</v>
      </c>
      <c r="L157" t="str">
        <v>Very Good</v>
      </c>
      <c r="M157" t="str">
        <v>1935</v>
      </c>
      <c r="N157" t="str">
        <v>1939</v>
      </c>
      <c r="S157" t="str">
        <v>150 (2024)</v>
      </c>
      <c r="T157" t="str">
        <v>46 (235) 92 (132)</v>
      </c>
      <c r="W157" t="str">
        <v>PAA50112</v>
      </c>
      <c r="X157" t="str">
        <v>PAA50113</v>
      </c>
      <c r="Y157" t="str">
        <v>PAA50118</v>
      </c>
    </row>
    <row r="158">
      <c r="A158">
        <v>157</v>
      </c>
      <c r="B158" t="str">
        <v>Clown Jongleur</v>
      </c>
      <c r="C158">
        <v>965</v>
      </c>
      <c r="D158" t="str">
        <v>People</v>
      </c>
      <c r="E158" t="str">
        <v>Circus &amp; Clowns</v>
      </c>
      <c r="F158" t="str">
        <v>Clown w/ black hat juggling 4 coloured balls</v>
      </c>
      <c r="G158" t="str">
        <v>Clockwork</v>
      </c>
      <c r="H158" t="str">
        <v>Body vibrates and rotates while arms raise and lower and balls rotate</v>
      </c>
      <c r="I158" t="str">
        <v>Tin, plastic &amp; cloth</v>
      </c>
      <c r="J158" t="str">
        <v>7x7x12</v>
      </c>
      <c r="K158" t="str">
        <v>Schuco</v>
      </c>
      <c r="L158" t="str">
        <v>Excellent</v>
      </c>
      <c r="M158" t="str">
        <v>1960</v>
      </c>
      <c r="N158" t="str">
        <v>1968</v>
      </c>
      <c r="O158" t="str">
        <v>Good</v>
      </c>
      <c r="S158" t="str">
        <v>330 (2024)</v>
      </c>
      <c r="T158" t="str">
        <v>22 (252) 39 (81) 57 (50) 68 (21) 73 (54) 92 (134)</v>
      </c>
      <c r="U158" t="str">
        <v>an earlier version had tin shoes</v>
      </c>
      <c r="W158" t="str">
        <v>PAA50105</v>
      </c>
      <c r="X158" t="str">
        <v>PAA50106</v>
      </c>
      <c r="Y158" t="str">
        <v>PAA50107</v>
      </c>
    </row>
    <row r="159">
      <c r="A159">
        <v>158</v>
      </c>
      <c r="B159" t="str">
        <v>Monkey Cycle</v>
      </c>
      <c r="C159">
        <v>556</v>
      </c>
      <c r="D159" t="str">
        <v>Carriages &amp; Cycles</v>
      </c>
      <c r="E159" t="str">
        <v>Circus &amp; Clowns</v>
      </c>
      <c r="F159" t="str">
        <v>Monkey on bicycle w/ a green banner</v>
      </c>
      <c r="G159" t="str">
        <v>Clockwork</v>
      </c>
      <c r="H159" t="str">
        <v>Pedals cycle , right arm rings bell and eyes protrude</v>
      </c>
      <c r="I159" t="str">
        <v>Mostly tin</v>
      </c>
      <c r="J159" t="str">
        <v>12x6x11</v>
      </c>
      <c r="K159" t="str">
        <v>Bandai</v>
      </c>
      <c r="L159" t="str">
        <v>Excellent</v>
      </c>
      <c r="M159" t="str">
        <v>1955</v>
      </c>
      <c r="N159" t="str">
        <v>1961</v>
      </c>
      <c r="O159" t="str">
        <v>Good, colours faded</v>
      </c>
      <c r="P159">
        <v>174</v>
      </c>
      <c r="Q159">
        <v>45231</v>
      </c>
      <c r="R159" t="str">
        <v>catawiki</v>
      </c>
      <c r="S159" t="str">
        <v>400 (2024) w/ box</v>
      </c>
      <c r="T159" t="str">
        <v>8 (129)</v>
      </c>
      <c r="U159" t="str">
        <v>another version of the box seems newer</v>
      </c>
      <c r="W159" t="str">
        <v>PAA40088</v>
      </c>
      <c r="X159" t="str">
        <v>PAA40089</v>
      </c>
    </row>
    <row r="160">
      <c r="A160">
        <v>159</v>
      </c>
      <c r="B160" t="str">
        <v>Peter</v>
      </c>
      <c r="C160">
        <v>503</v>
      </c>
      <c r="D160" t="str">
        <v>Cars</v>
      </c>
      <c r="E160" t="str">
        <v>Circus &amp; Clowns</v>
      </c>
      <c r="F160" t="str">
        <v>Clown in black hat and red jacket driving a 3-wheel car</v>
      </c>
      <c r="G160" t="str">
        <v>Clockwork</v>
      </c>
      <c r="H160" t="str">
        <v>Car has excentric wheels, it waves while moving in random direction, clown's body waves up and down and also laterally</v>
      </c>
      <c r="I160" t="str">
        <v>Tin</v>
      </c>
      <c r="J160" t="str">
        <v>12x7x13</v>
      </c>
      <c r="K160" t="str">
        <v>Lehmann</v>
      </c>
      <c r="L160" t="str">
        <v>Excellent</v>
      </c>
      <c r="M160" t="str">
        <v>1946</v>
      </c>
      <c r="N160" t="str">
        <v>1948</v>
      </c>
      <c r="R160" t="str">
        <v>Gonçalo Rueda</v>
      </c>
      <c r="S160" t="str">
        <v>&gt;600</v>
      </c>
      <c r="T160" t="str">
        <v>59 (149)</v>
      </c>
      <c r="U160" t="str">
        <v xml:space="preserve">there is variant with a nigger clown; both versions similar to the "Mixtum" EPL775 (1927-1941); toy made with the leftovers of many other toys; the logo is different from the conventional EPL, the horizontal trace of the "L" is missing. At the end of WWII, J. Ritcher was the owner (EP Lehmann died in 1934), and was allowed to resume production from 1946 to 1948, when the  company was confiscated by the russians and all the dies were destroyed. </v>
      </c>
      <c r="W160" t="str">
        <v>PAA40084</v>
      </c>
      <c r="X160" t="str">
        <v>PAA40086</v>
      </c>
    </row>
    <row r="161">
      <c r="A161">
        <v>160</v>
      </c>
      <c r="B161" t="str">
        <v>Clown Head Mechanical Bank</v>
      </c>
      <c r="D161" t="str">
        <v>Banks</v>
      </c>
      <c r="E161" t="str">
        <v>Circus &amp; Clowns</v>
      </c>
      <c r="F161" t="str">
        <v>Clown head and chest money bank</v>
      </c>
      <c r="G161" t="str">
        <v>Other</v>
      </c>
      <c r="H161" t="str">
        <v>When lever is pressed sticks out tongue to accept a coin</v>
      </c>
      <c r="I161" t="str">
        <v>Tin</v>
      </c>
      <c r="J161" t="str">
        <v>6x7x13</v>
      </c>
      <c r="K161" t="str">
        <v>J. Chein</v>
      </c>
      <c r="L161" t="str">
        <v>Reasonable</v>
      </c>
      <c r="M161" t="str">
        <v>1931</v>
      </c>
      <c r="N161" t="str">
        <v>1945</v>
      </c>
      <c r="S161" t="str">
        <v>60-100 (2024)</v>
      </c>
      <c r="T161" t="str">
        <v>7 (105)</v>
      </c>
      <c r="W161" t="str">
        <v>PAA50125</v>
      </c>
      <c r="X161" t="str">
        <v>PAA50126</v>
      </c>
    </row>
    <row r="162">
      <c r="A162">
        <v>161</v>
      </c>
      <c r="B162" t="str">
        <v>Monkey see-saw</v>
      </c>
      <c r="C162">
        <v>514</v>
      </c>
      <c r="D162" t="str">
        <v>Animals</v>
      </c>
      <c r="E162" t="str">
        <v>Circus &amp; Clowns</v>
      </c>
      <c r="F162" t="str">
        <v>Two monkeys w/ coats and hats on a see-saw</v>
      </c>
      <c r="G162" t="str">
        <v>Clockwork</v>
      </c>
      <c r="H162" t="str">
        <v>See-saw works, flag rotates; when each side touches the floor, monkey puts hat on his head</v>
      </c>
      <c r="I162" t="str">
        <v>Tin</v>
      </c>
      <c r="J162" t="str">
        <v>28x6x18</v>
      </c>
      <c r="K162" t="str">
        <v>Distler</v>
      </c>
      <c r="L162" t="str">
        <v>Very Good</v>
      </c>
      <c r="M162" t="str">
        <v>1925</v>
      </c>
      <c r="N162" t="str">
        <v>1929</v>
      </c>
      <c r="P162">
        <v>634</v>
      </c>
      <c r="Q162" t="str">
        <v>apr/21</v>
      </c>
      <c r="R162" t="str">
        <v>catawiki</v>
      </c>
      <c r="S162" t="str">
        <v>&gt;500</v>
      </c>
      <c r="T162" t="str">
        <v>41 (75) 108 (36)</v>
      </c>
      <c r="W162" t="str">
        <v>PAA50129</v>
      </c>
    </row>
    <row r="163">
      <c r="A163">
        <v>162</v>
      </c>
      <c r="B163" t="str">
        <v>Wild West Bucking Broncho</v>
      </c>
      <c r="C163">
        <v>625</v>
      </c>
      <c r="D163" t="str">
        <v>People</v>
      </c>
      <c r="E163" t="str">
        <v>Circus &amp; Clowns</v>
      </c>
      <c r="F163" t="str">
        <v>Cowboy and clown on a platform</v>
      </c>
      <c r="G163" t="str">
        <v>Clockwork</v>
      </c>
      <c r="H163" t="str">
        <v>as the platform moves, clown jumps on its rear legs, cowboy is thrown forward</v>
      </c>
      <c r="I163" t="str">
        <v>Tin</v>
      </c>
      <c r="J163" t="str">
        <v>16x7x18</v>
      </c>
      <c r="K163" t="str">
        <v>Lehmann</v>
      </c>
      <c r="L163" t="str">
        <v>Very Good</v>
      </c>
      <c r="M163" t="str">
        <v>1909</v>
      </c>
      <c r="N163" t="str">
        <v>1945</v>
      </c>
      <c r="R163" t="str">
        <v>Gonçalo Rueda</v>
      </c>
      <c r="S163" t="str">
        <v>&gt;800</v>
      </c>
      <c r="T163" t="str">
        <v>59 (140) 66 (240) 108 (28)</v>
      </c>
      <c r="U163" t="str">
        <v>"Wild West" was the show with which Buffalo Bill (FredericK Cody) travelled around Europe; DRP 202941 (1906) - author: Charles  Aaron Lewis, Denver, Colorado; pat. 42374 (1906)</v>
      </c>
      <c r="W163" t="str">
        <v>PAA50122</v>
      </c>
      <c r="X163" t="str">
        <v>PAA50123</v>
      </c>
      <c r="Y163" t="str">
        <v>PAA50124</v>
      </c>
    </row>
    <row r="164">
      <c r="A164">
        <v>163</v>
      </c>
      <c r="B164" t="str">
        <v>Bump Car with Pop Up Clown</v>
      </c>
      <c r="D164" t="str">
        <v>Cars</v>
      </c>
      <c r="E164" t="str">
        <v>Circus &amp; Clowns</v>
      </c>
      <c r="F164" t="str">
        <v>Red car w/ clown jumping through the roof</v>
      </c>
      <c r="G164" t="str">
        <v>Friction</v>
      </c>
      <c r="H164" t="str">
        <v>when car hits obstacle, clown jumps and pushes the roof up</v>
      </c>
      <c r="I164" t="str">
        <v>Tin &amp; cloth</v>
      </c>
      <c r="J164" t="str">
        <v>18x8x12</v>
      </c>
      <c r="K164" t="str">
        <v>Wakasuto</v>
      </c>
      <c r="L164" t="str">
        <v>Excellent</v>
      </c>
      <c r="M164" t="str">
        <v>1965</v>
      </c>
      <c r="N164" t="str">
        <v>1970</v>
      </c>
      <c r="P164">
        <v>102</v>
      </c>
      <c r="Q164">
        <v>45323</v>
      </c>
      <c r="R164" t="str">
        <v>catawiki</v>
      </c>
      <c r="S164" t="str">
        <v>200-300 (2024)</v>
      </c>
      <c r="U164" t="str">
        <v>variant with yellow car</v>
      </c>
      <c r="W164" t="str">
        <v>PAA50119</v>
      </c>
      <c r="X164" t="str">
        <v>PAA50121</v>
      </c>
    </row>
    <row r="165">
      <c r="A165">
        <v>164</v>
      </c>
      <c r="B165" t="str">
        <v>Comical Driver</v>
      </c>
      <c r="C165" t="str">
        <v>M-1115</v>
      </c>
      <c r="D165" t="str">
        <v>Cars</v>
      </c>
      <c r="E165" t="str">
        <v>Circus &amp; Clowns</v>
      </c>
      <c r="F165" t="str">
        <v>Circus car w/ clown that jumps backwards as if falling</v>
      </c>
      <c r="G165" t="str">
        <v>Clockwork</v>
      </c>
      <c r="H165" t="str">
        <v>car can move in a circular path on the two back wheels; clown is sitted and then falls backwards</v>
      </c>
      <c r="I165" t="str">
        <v>Mostly tin</v>
      </c>
      <c r="J165" t="str">
        <v>14x8x15</v>
      </c>
      <c r="K165" t="str">
        <v>Mitsuhashi</v>
      </c>
      <c r="L165" t="str">
        <v>Excellent</v>
      </c>
      <c r="M165" t="str">
        <v>1965</v>
      </c>
      <c r="N165" t="str">
        <v>1970</v>
      </c>
      <c r="S165" t="str">
        <v>200-220 (2024) w/ box</v>
      </c>
      <c r="T165" t="str">
        <v>73 (85)</v>
      </c>
      <c r="U165" t="str">
        <v>pat. 14416; a similar "Circus Car" but with poor litography (and different green box) was made by TeT Toys, citing the same patent</v>
      </c>
      <c r="W165" t="str">
        <v>PAA50145</v>
      </c>
    </row>
    <row r="166">
      <c r="A166">
        <v>165</v>
      </c>
      <c r="B166" t="str">
        <v>Clown on Donkey</v>
      </c>
      <c r="C166">
        <v>215</v>
      </c>
      <c r="D166" t="str">
        <v>People</v>
      </c>
      <c r="E166" t="str">
        <v>Circus &amp; Clowns</v>
      </c>
      <c r="F166" t="str">
        <v>Clown w/ yellow hat on donkey</v>
      </c>
      <c r="G166" t="str">
        <v>Clockwork</v>
      </c>
      <c r="H166" t="str">
        <v>Donkey walks on four legs, clown s free to jump slightly</v>
      </c>
      <c r="I166" t="str">
        <v>Tin</v>
      </c>
      <c r="J166" t="str">
        <v>17x5x15</v>
      </c>
      <c r="K166" t="str">
        <v>Blomer &amp; Schuler</v>
      </c>
      <c r="L166" t="str">
        <v>Good</v>
      </c>
      <c r="M166" t="str">
        <v>1951</v>
      </c>
      <c r="N166" t="str">
        <v>1962</v>
      </c>
      <c r="S166" t="str">
        <v>200-350 (2024)</v>
      </c>
      <c r="T166" t="str">
        <v>22 (251) 46 (55) 68 (58)</v>
      </c>
      <c r="U166" t="str">
        <v>clown "made in Germany", donkey "Made in US Zone Germany"</v>
      </c>
      <c r="V166" t="str">
        <v>made in US Zone Germany</v>
      </c>
      <c r="W166" t="str">
        <v>PAA50134</v>
      </c>
      <c r="X166" t="str">
        <v>PAA50137</v>
      </c>
    </row>
    <row r="167">
      <c r="A167">
        <v>166</v>
      </c>
      <c r="B167" t="str">
        <v>Happy Clown Car</v>
      </c>
      <c r="D167" t="str">
        <v>Cars</v>
      </c>
      <c r="E167" t="str">
        <v>Circus &amp; Clowns</v>
      </c>
      <c r="F167" t="str">
        <v>Clown w/ red hat on a yellow car</v>
      </c>
      <c r="G167" t="str">
        <v>Battery</v>
      </c>
      <c r="H167" t="str">
        <v>Bump-and-go and ringing sound, clown waves head laterally</v>
      </c>
      <c r="I167" t="str">
        <v>Tin &amp; plastic</v>
      </c>
      <c r="J167" t="str">
        <v>17x8x16</v>
      </c>
      <c r="K167" t="str">
        <v>Yonezawa</v>
      </c>
      <c r="L167" t="str">
        <v>Very Good</v>
      </c>
      <c r="M167" t="str">
        <v>1965</v>
      </c>
      <c r="N167" t="str">
        <v>1969</v>
      </c>
      <c r="R167" t="str">
        <v>offered by Olga Coutinho</v>
      </c>
      <c r="S167" t="str">
        <v>&gt;130</v>
      </c>
      <c r="T167" t="str">
        <v>17 (66) 21 (39) 35 (88)</v>
      </c>
      <c r="U167" t="str">
        <v>there is a variant with red car and clown with different make-up;  desirability 2/6 scarcity 5/10</v>
      </c>
      <c r="W167" t="str">
        <v>PAA50131</v>
      </c>
    </row>
    <row r="168">
      <c r="A168">
        <v>167</v>
      </c>
      <c r="B168" t="str">
        <v>Merry Ball Blower Circus Car</v>
      </c>
      <c r="D168" t="str">
        <v>Cars</v>
      </c>
      <c r="E168" t="str">
        <v>Circus &amp; Clowns</v>
      </c>
      <c r="F168" t="str">
        <v>Jalopy w/ a chimney to blow balls</v>
      </c>
      <c r="G168" t="str">
        <v>Clockwork</v>
      </c>
      <c r="H168" t="str">
        <v>Moves forward while blowing a ball that levitates</v>
      </c>
      <c r="I168" t="str">
        <v>Tin</v>
      </c>
      <c r="J168" t="str">
        <v>12x8x14</v>
      </c>
      <c r="K168" t="str">
        <v>Yoshiya</v>
      </c>
      <c r="L168" t="str">
        <v>Excellent</v>
      </c>
      <c r="M168" t="str">
        <v>1955</v>
      </c>
      <c r="N168" t="str">
        <v>1960</v>
      </c>
      <c r="S168" t="str">
        <v>250-500 (2024) w/ box</v>
      </c>
      <c r="T168" t="str">
        <v>57 (91) 73 (19)</v>
      </c>
      <c r="U168" t="str">
        <v>3 colors, red, blue and green</v>
      </c>
      <c r="V168" t="str">
        <v>we have 2 cars, red and blue, 1 box</v>
      </c>
      <c r="W168" t="str">
        <v>PAA50132</v>
      </c>
      <c r="X168" t="str">
        <v>PAA50133</v>
      </c>
    </row>
    <row r="169">
      <c r="A169">
        <v>168</v>
      </c>
      <c r="B169" t="str">
        <v>Merry Clown</v>
      </c>
      <c r="C169">
        <v>264</v>
      </c>
      <c r="D169" t="str">
        <v>Carriages &amp; Cycles</v>
      </c>
      <c r="E169" t="str">
        <v>Circus &amp; Clowns</v>
      </c>
      <c r="F169" t="str">
        <v>Clown w/ yellow overcoat riding a red bicycle w/ silver wheels</v>
      </c>
      <c r="G169" t="str">
        <v>Clockwork</v>
      </c>
      <c r="H169" t="str">
        <v>Clown pedals and moves in a circular path, his head waves back and forward</v>
      </c>
      <c r="I169" t="str">
        <v>Tin</v>
      </c>
      <c r="J169" t="str">
        <v>14x6x14</v>
      </c>
      <c r="K169" t="str">
        <v>Technofix</v>
      </c>
      <c r="L169" t="str">
        <v>Excellent</v>
      </c>
      <c r="M169" t="str">
        <v>1951</v>
      </c>
      <c r="N169" t="str">
        <v>1954</v>
      </c>
      <c r="S169" t="str">
        <v>700 (2024) w/ box</v>
      </c>
      <c r="T169" t="str">
        <v>1 (74) 22 (257) 46 (250)</v>
      </c>
      <c r="U169" t="str">
        <v>there is variant with wheels litographed with spirals instead of spikes</v>
      </c>
      <c r="V169" t="str">
        <v>made in US Zone Germany</v>
      </c>
      <c r="W169" t="str">
        <v>PAA50138</v>
      </c>
      <c r="X169" t="str">
        <v>PAA50139</v>
      </c>
    </row>
    <row r="170">
      <c r="A170">
        <v>169</v>
      </c>
      <c r="B170" t="str">
        <v>Carambo</v>
      </c>
      <c r="C170">
        <v>558</v>
      </c>
      <c r="D170" t="str">
        <v>Cars</v>
      </c>
      <c r="E170" t="str">
        <v>Circus &amp; Clowns</v>
      </c>
      <c r="F170" t="str">
        <v>Car that can flip over and move on both positions, driven by a clown either happy or scared</v>
      </c>
      <c r="G170" t="str">
        <v>Clockwork</v>
      </c>
      <c r="H170" t="str">
        <v>When car hits an obstacle, flips over and runs on the opposite side, changing the driver's face</v>
      </c>
      <c r="I170" t="str">
        <v>Tin</v>
      </c>
      <c r="J170" t="str">
        <v>13x6x6</v>
      </c>
      <c r="K170" t="str">
        <v>Hammerer &amp; Kuhlvein</v>
      </c>
      <c r="L170" t="str">
        <v>Excellent</v>
      </c>
      <c r="M170" t="str">
        <v>1953</v>
      </c>
      <c r="N170" t="str">
        <v>1960</v>
      </c>
      <c r="R170" t="str">
        <v>Gonçalo Rueda?</v>
      </c>
      <c r="T170" t="str">
        <v>22 (260) 66 (173)</v>
      </c>
      <c r="W170" t="str">
        <v>PAA50148</v>
      </c>
      <c r="X170" t="str">
        <v>PAA50149</v>
      </c>
      <c r="Y170" t="str">
        <v>PAA50151</v>
      </c>
    </row>
    <row r="171">
      <c r="A171">
        <v>170</v>
      </c>
      <c r="B171" t="str">
        <v>Bimbo</v>
      </c>
      <c r="D171" t="str">
        <v>Cars</v>
      </c>
      <c r="E171" t="str">
        <v>Circus &amp; Clowns</v>
      </c>
      <c r="F171" t="str">
        <v>Small red car driven by a clown</v>
      </c>
      <c r="G171" t="str">
        <v>Clockwork</v>
      </c>
      <c r="H171" t="str">
        <v>moves forward, spins, clown's body bends forward and backwards</v>
      </c>
      <c r="I171" t="str">
        <v>Tin</v>
      </c>
      <c r="J171" t="str">
        <v>11x6x8</v>
      </c>
      <c r="K171" t="str">
        <v>Biller</v>
      </c>
      <c r="L171" t="str">
        <v>Excellent</v>
      </c>
      <c r="M171" t="str">
        <v>1951</v>
      </c>
      <c r="N171" t="str">
        <v>1960</v>
      </c>
      <c r="O171" t="str">
        <v>Good, one flap poor</v>
      </c>
      <c r="S171" t="str">
        <v>&gt;150 (2024) w /box</v>
      </c>
      <c r="T171" t="str">
        <v>22 (261) 46 (47) 57 (45) 68 (18) 73 (93)</v>
      </c>
      <c r="U171" t="str">
        <v>there is a variant made by Joustra (1960-65)</v>
      </c>
      <c r="V171" t="str">
        <v>made in US Zone Germany</v>
      </c>
      <c r="W171" t="str">
        <v>PAA50141</v>
      </c>
      <c r="X171" t="str">
        <v>PAA50142</v>
      </c>
    </row>
    <row r="172">
      <c r="A172">
        <v>171</v>
      </c>
      <c r="B172" t="str">
        <v>Dare Devil</v>
      </c>
      <c r="C172">
        <v>505</v>
      </c>
      <c r="D172" t="str">
        <v>Tracks /Platform base</v>
      </c>
      <c r="E172" t="str">
        <v>Fairground</v>
      </c>
      <c r="F172" t="str">
        <v>Car in a "pit of death"</v>
      </c>
      <c r="G172" t="str">
        <v>Clockwork</v>
      </c>
      <c r="H172" t="str">
        <v xml:space="preserve">Car drives around the pit at high speed </v>
      </c>
      <c r="I172" t="str">
        <v xml:space="preserve">Plastic &amp; tin </v>
      </c>
      <c r="J172" t="str">
        <v>20x20x12</v>
      </c>
      <c r="K172" t="str">
        <v>GAMA</v>
      </c>
      <c r="L172" t="str">
        <v>Excellent</v>
      </c>
      <c r="M172" t="str">
        <v>1954</v>
      </c>
      <c r="N172" t="str">
        <v>1965</v>
      </c>
      <c r="O172" t="str">
        <v>Very good</v>
      </c>
      <c r="T172" t="str">
        <v>44 (32) 45 (21) 46 (104)</v>
      </c>
      <c r="U172" t="str">
        <v>car can also be red (no. 5)</v>
      </c>
      <c r="W172" t="str">
        <v>PAA50159</v>
      </c>
      <c r="X172" t="str">
        <v>PAA50160</v>
      </c>
    </row>
    <row r="173">
      <c r="A173">
        <v>172</v>
      </c>
      <c r="B173" t="str">
        <v>Clown on cart pulled by a donkey</v>
      </c>
      <c r="C173" t="str">
        <v xml:space="preserve">456-БЛ </v>
      </c>
      <c r="D173" t="str">
        <v>Carriages &amp; Cycles</v>
      </c>
      <c r="E173" t="str">
        <v>Circus &amp; Clowns</v>
      </c>
      <c r="F173" t="str">
        <v>Clown w/ yellow clothes on green cart pulled by a white black dotted donkey</v>
      </c>
      <c r="G173" t="str">
        <v>Clockwork</v>
      </c>
      <c r="H173" t="str">
        <v>While moving in a circular path, donkey and clown jump</v>
      </c>
      <c r="I173" t="str">
        <v>Tin</v>
      </c>
      <c r="J173" t="str">
        <v>18x9x13</v>
      </c>
      <c r="L173" t="str">
        <v>Very Good</v>
      </c>
      <c r="M173" t="str">
        <v>1974</v>
      </c>
      <c r="N173" t="str">
        <v>1978</v>
      </c>
      <c r="S173" t="str">
        <v>100-250 (2024)</v>
      </c>
      <c r="T173" t="str">
        <v>21 (74) 57 (46) 73 (60)</v>
      </c>
      <c r="U173" t="str">
        <v>inspired  in Lehmann toys Zirka and Balky Mule</v>
      </c>
      <c r="V173" t="str">
        <v>made in USSR</v>
      </c>
      <c r="W173" t="str">
        <v>PAA50152</v>
      </c>
    </row>
    <row r="174">
      <c r="A174">
        <v>173</v>
      </c>
      <c r="B174" t="str">
        <v>Clown chariot with donkey</v>
      </c>
      <c r="C174">
        <v>234</v>
      </c>
      <c r="D174" t="str">
        <v>Carriages &amp; Cycles</v>
      </c>
      <c r="E174" t="str">
        <v>Circus &amp; Clowns</v>
      </c>
      <c r="F174" t="str">
        <v>Clown on cart with orange wheels pulled by a grey donkey</v>
      </c>
      <c r="G174" t="str">
        <v>Clockwork</v>
      </c>
      <c r="H174" t="str">
        <v>moves forward</v>
      </c>
      <c r="I174" t="str">
        <v>Tin</v>
      </c>
      <c r="J174" t="str">
        <v>20x8x10</v>
      </c>
      <c r="K174" t="str">
        <v>GAMA</v>
      </c>
      <c r="L174" t="str">
        <v>Excellent</v>
      </c>
      <c r="M174" t="str">
        <v>1939</v>
      </c>
      <c r="N174" t="str">
        <v>1960</v>
      </c>
      <c r="S174" t="str">
        <v>100-200 (2024)</v>
      </c>
      <c r="T174" t="str">
        <v>22 (246) 44 (28) 45 (94)</v>
      </c>
      <c r="W174" t="str">
        <v>PAA50153</v>
      </c>
      <c r="X174" t="str">
        <v>PAA50154</v>
      </c>
    </row>
    <row r="175">
      <c r="A175">
        <v>174</v>
      </c>
      <c r="B175" t="str">
        <v>Balky Mule</v>
      </c>
      <c r="C175">
        <v>425</v>
      </c>
      <c r="D175" t="str">
        <v>Carriages &amp; Cycles</v>
      </c>
      <c r="E175" t="str">
        <v>Circus &amp; Clowns</v>
      </c>
      <c r="F175" t="str">
        <v>Clown on cart with decorated wheels pulled by a grey donkey</v>
      </c>
      <c r="G175" t="str">
        <v>Clockwork</v>
      </c>
      <c r="H175" t="str">
        <v>While moving forward, donkey and clown jump</v>
      </c>
      <c r="I175" t="str">
        <v>Tin &amp; cloth</v>
      </c>
      <c r="J175" t="str">
        <v>19x7x12</v>
      </c>
      <c r="K175" t="str">
        <v>Lehmann</v>
      </c>
      <c r="L175" t="str">
        <v>Good</v>
      </c>
      <c r="M175" t="str">
        <v>1897</v>
      </c>
      <c r="N175" t="str">
        <v>1938</v>
      </c>
      <c r="S175" t="str">
        <v>300-500 (2024)</v>
      </c>
      <c r="T175" t="str">
        <v>57 (46) 59 (58) 65 (236) 68 (42) 73 (86) 108 (22)</v>
      </c>
      <c r="U175" t="str">
        <v>alternative names: the Balky Mule, Stubborn Donkey, the Comical Clown; DRP96081 (1897); this seems to be the earlier version of the toy (see 59 (60) for details) - before 1903?</v>
      </c>
      <c r="V175" t="str">
        <v>clockwork loose</v>
      </c>
      <c r="W175" t="str">
        <v>PAA50156</v>
      </c>
      <c r="X175" t="str">
        <v>PAA50157</v>
      </c>
    </row>
    <row r="176">
      <c r="A176">
        <v>175</v>
      </c>
      <c r="B176" t="str">
        <v>Tom</v>
      </c>
      <c r="C176">
        <v>385</v>
      </c>
      <c r="D176" t="str">
        <v>Animals</v>
      </c>
      <c r="E176" t="str">
        <v>Circus &amp; Clowns</v>
      </c>
      <c r="F176" t="str">
        <v>Climbing monkey w/ green jacket</v>
      </c>
      <c r="G176" t="str">
        <v>Other</v>
      </c>
      <c r="H176" t="str">
        <v>Pulling the string, the monkey climbs it, moving arms and legs</v>
      </c>
      <c r="I176" t="str">
        <v>Tin</v>
      </c>
      <c r="J176" t="str">
        <v>6x3x21</v>
      </c>
      <c r="K176" t="str">
        <v>Lehmann</v>
      </c>
      <c r="L176" t="str">
        <v>Good</v>
      </c>
      <c r="M176" t="str">
        <v>1895</v>
      </c>
      <c r="N176" t="str">
        <v>1943</v>
      </c>
      <c r="S176" t="str">
        <v>180-250 (2024)</v>
      </c>
      <c r="T176" t="str">
        <v>57 (85) 59 (128) 65 (234) 73 (75)</v>
      </c>
      <c r="U176" t="str">
        <v>DRP69040 (1892) invented by Shattuck (USA)</v>
      </c>
      <c r="W176" t="str">
        <v>PAA90214</v>
      </c>
      <c r="X176" t="str">
        <v>PAA90217</v>
      </c>
    </row>
    <row r="177">
      <c r="A177">
        <v>176</v>
      </c>
      <c r="B177" t="str">
        <v>Jocko the Climbing Monkey</v>
      </c>
      <c r="D177" t="str">
        <v>Animals</v>
      </c>
      <c r="E177" t="str">
        <v>Circus &amp; Clowns</v>
      </c>
      <c r="F177" t="str">
        <v>Climbing monkey w/ red jacket</v>
      </c>
      <c r="G177" t="str">
        <v>Other</v>
      </c>
      <c r="H177" t="str">
        <v>Pulling the string, the monkey climbs it, moving arms and legs</v>
      </c>
      <c r="I177" t="str">
        <v>Tin</v>
      </c>
      <c r="J177" t="str">
        <v>7x3x17</v>
      </c>
      <c r="K177" t="str">
        <v>Linemar</v>
      </c>
      <c r="L177" t="str">
        <v>Excellent</v>
      </c>
      <c r="M177" t="str">
        <v>1955</v>
      </c>
      <c r="N177" t="str">
        <v>1960</v>
      </c>
      <c r="O177" t="str">
        <v>Very good</v>
      </c>
      <c r="S177" t="str">
        <v>70-100 (2024) w/ box</v>
      </c>
      <c r="T177" t="str">
        <v>50 (52)</v>
      </c>
      <c r="U177" t="str">
        <v>new name for the Zippo Monkey made by Marx in the 30s (50 (50)); another box version</v>
      </c>
      <c r="W177" t="str">
        <v>PAA90214</v>
      </c>
      <c r="X177" t="str">
        <v>PAA90217</v>
      </c>
    </row>
    <row r="178">
      <c r="A178">
        <v>177</v>
      </c>
      <c r="B178" t="str">
        <v>Circus Lion</v>
      </c>
      <c r="D178" t="str">
        <v>Animals</v>
      </c>
      <c r="E178" t="str">
        <v>Circus &amp; Clowns</v>
      </c>
      <c r="F178" t="str">
        <v>Lion standing on a base</v>
      </c>
      <c r="G178" t="str">
        <v>Battery</v>
      </c>
      <c r="H178" t="str">
        <v>Hit with the whip the right side of the carpet; lion stands up, roars and moves arms; touch the right side, it stops</v>
      </c>
      <c r="I178" t="str">
        <v>Tin &amp; cloth</v>
      </c>
      <c r="J178" t="str">
        <v>2016x24</v>
      </c>
      <c r="K178" t="str">
        <v>Rock Valley Toys</v>
      </c>
      <c r="L178" t="str">
        <v>Excellent</v>
      </c>
      <c r="M178" t="str">
        <v>1955</v>
      </c>
      <c r="N178" t="str">
        <v>1959</v>
      </c>
      <c r="O178" t="str">
        <v>Good plus, many instructions and illustrations</v>
      </c>
      <c r="S178" t="str">
        <v>450-650 (2024) w/ box</v>
      </c>
      <c r="T178" t="str">
        <v>17 (21) 35 (47)</v>
      </c>
      <c r="U178" t="str">
        <v>desirability 4/6 scarcity 8/10</v>
      </c>
      <c r="V178" t="str">
        <v>includes carpet with two levers and whip</v>
      </c>
      <c r="W178" t="str">
        <v>PAA60161</v>
      </c>
      <c r="X178" t="str">
        <v>PAA60164</v>
      </c>
    </row>
    <row r="179">
      <c r="A179">
        <v>178</v>
      </c>
      <c r="B179" t="str">
        <v>MEGO Figuro (Speaking Dog)</v>
      </c>
      <c r="C179">
        <v>580</v>
      </c>
      <c r="D179" t="str">
        <v>Animals</v>
      </c>
      <c r="E179" t="str">
        <v>Circus &amp; Clowns</v>
      </c>
      <c r="F179" t="str">
        <v>Dog w/ nodding head sitted on a base</v>
      </c>
      <c r="G179" t="str">
        <v>Clockwork</v>
      </c>
      <c r="H179" t="str">
        <v>when lever is activated, bends its head forward and "barks"; it can be used to give the result of a calculation up to 20</v>
      </c>
      <c r="I179" t="str">
        <v>Tin &amp; plastic</v>
      </c>
      <c r="J179" t="str">
        <v>12x10x17</v>
      </c>
      <c r="K179" t="str">
        <v>Hammerer &amp; Kuhlvein</v>
      </c>
      <c r="L179" t="str">
        <v>Excellent</v>
      </c>
      <c r="M179" t="str">
        <v>1961</v>
      </c>
      <c r="N179" t="str">
        <v>1968</v>
      </c>
      <c r="O179" t="str">
        <v>Very good</v>
      </c>
      <c r="T179" t="str">
        <v>46 (144)</v>
      </c>
      <c r="W179" t="str">
        <v>PAA60165</v>
      </c>
      <c r="X179" t="str">
        <v>PAA60166</v>
      </c>
    </row>
    <row r="180">
      <c r="A180">
        <v>179</v>
      </c>
      <c r="B180" t="str">
        <v>Tippy Joe</v>
      </c>
      <c r="D180" t="str">
        <v>Animals</v>
      </c>
      <c r="E180" t="str">
        <v>Circus &amp; Clowns</v>
      </c>
      <c r="F180" t="str">
        <v>Bear climbing a stepped ramp</v>
      </c>
      <c r="G180" t="str">
        <v>Clockwork</v>
      </c>
      <c r="H180" t="str">
        <v>Bear climbs stairs; when reaching a certain point, the stairs flip; he continues to advance until the end, when he stands up</v>
      </c>
      <c r="I180" t="str">
        <v>Tin</v>
      </c>
      <c r="J180" t="str">
        <v>30x6x23</v>
      </c>
      <c r="K180" t="str">
        <v>Hofler</v>
      </c>
      <c r="L180" t="str">
        <v>Excellent</v>
      </c>
      <c r="M180" t="str">
        <v>1953</v>
      </c>
      <c r="N180" t="str">
        <v>1960</v>
      </c>
      <c r="O180" t="str">
        <v>Very good</v>
      </c>
      <c r="S180" t="str">
        <v>120 (2024) w/ box</v>
      </c>
      <c r="T180" t="str">
        <v>22 (263) 46 (159)</v>
      </c>
      <c r="V180" t="str">
        <v>made in US Zone Germany</v>
      </c>
      <c r="W180" t="str">
        <v>PAA90187</v>
      </c>
      <c r="X180" t="str">
        <v>PAA90188</v>
      </c>
      <c r="Y180" t="str">
        <v>PAA90190</v>
      </c>
    </row>
    <row r="181">
      <c r="A181">
        <v>180</v>
      </c>
      <c r="B181" t="str">
        <v>Monkey</v>
      </c>
      <c r="C181">
        <v>549</v>
      </c>
      <c r="D181" t="str">
        <v>Animals</v>
      </c>
      <c r="E181" t="str">
        <v>Circus &amp; Clowns</v>
      </c>
      <c r="F181" t="str">
        <v>Monkey w/ blue jacket holding a red and white ball between its legs</v>
      </c>
      <c r="G181" t="str">
        <v>Clockwork</v>
      </c>
      <c r="H181" t="str">
        <v>tumbles foward by rotating its arms</v>
      </c>
      <c r="I181" t="str">
        <v>Tin</v>
      </c>
      <c r="J181" t="str">
        <v>6x4x8</v>
      </c>
      <c r="K181" t="str">
        <v>Hammerer &amp; Kuhlvein</v>
      </c>
      <c r="L181" t="str">
        <v>Very Good</v>
      </c>
      <c r="M181" t="str">
        <v>1950</v>
      </c>
      <c r="N181" t="str">
        <v>1959</v>
      </c>
      <c r="T181" t="str">
        <v>46 (145) 73 (49)</v>
      </c>
      <c r="V181" t="str">
        <v>made in US Zone Germany</v>
      </c>
      <c r="W181" t="str">
        <v>PAA60167</v>
      </c>
      <c r="X181" t="str">
        <v>PAA60168</v>
      </c>
    </row>
    <row r="182">
      <c r="A182">
        <v>181</v>
      </c>
      <c r="B182" t="str">
        <v>Laufender Affe</v>
      </c>
      <c r="D182" t="str">
        <v>Animals</v>
      </c>
      <c r="E182" t="str">
        <v>Circus &amp; Clowns</v>
      </c>
      <c r="F182" t="str">
        <v>Monkey w/ red hat and blue jacket holding a green ball</v>
      </c>
      <c r="G182" t="str">
        <v>Clockwork</v>
      </c>
      <c r="H182" t="str">
        <v>moves forward oscillating its legs</v>
      </c>
      <c r="I182" t="str">
        <v>Tin</v>
      </c>
      <c r="J182" t="str">
        <v>6x4x9</v>
      </c>
      <c r="K182" t="str">
        <v>Kohler</v>
      </c>
      <c r="L182" t="str">
        <v>Excellent</v>
      </c>
      <c r="M182" t="str">
        <v>1952</v>
      </c>
      <c r="N182" t="str">
        <v>1962</v>
      </c>
      <c r="T182" t="str">
        <v>22 (264) 73 (49)</v>
      </c>
      <c r="V182" t="str">
        <v>made in US Zone Germany</v>
      </c>
      <c r="W182" t="str">
        <v>PAA60169</v>
      </c>
      <c r="X182" t="str">
        <v>PAA60170</v>
      </c>
    </row>
    <row r="183">
      <c r="A183">
        <v>182</v>
      </c>
      <c r="B183" t="str">
        <v>Bobby</v>
      </c>
      <c r="C183">
        <v>200</v>
      </c>
      <c r="D183" t="str">
        <v>Carriages &amp; Cycles</v>
      </c>
      <c r="E183" t="str">
        <v>Circus &amp; Clowns</v>
      </c>
      <c r="F183" t="str">
        <v>Monkey w/ red hat and blue jacket on a tricycle</v>
      </c>
      <c r="G183" t="str">
        <v>Clockwork</v>
      </c>
      <c r="H183" t="str">
        <v>pedals tricycle  and changes direction with arms</v>
      </c>
      <c r="I183" t="str">
        <v>Tin</v>
      </c>
      <c r="J183" t="str">
        <v>9x5x10</v>
      </c>
      <c r="K183" t="str">
        <v>Arnold</v>
      </c>
      <c r="L183" t="str">
        <v>Excellent</v>
      </c>
      <c r="M183" t="str">
        <v>1939</v>
      </c>
      <c r="N183" t="str">
        <v>1959</v>
      </c>
      <c r="S183" t="str">
        <v>100 (2024)</v>
      </c>
      <c r="T183" t="str">
        <v>10 (85) 22 (265) 46 (30) 57 (84) 66 (27)73 (83)</v>
      </c>
      <c r="U183" t="str">
        <v>DRP 642402 (1938); no production between 1943-1947; there is a Paya replica;</v>
      </c>
      <c r="V183" t="str">
        <v>made in US Zone Germany</v>
      </c>
      <c r="W183" t="str">
        <v>PAA60175</v>
      </c>
      <c r="X183" t="str">
        <v>PAA60176</v>
      </c>
    </row>
    <row r="184">
      <c r="A184">
        <v>183</v>
      </c>
      <c r="B184" t="str">
        <v>Jo, L'Acrobate</v>
      </c>
      <c r="C184">
        <v>1003</v>
      </c>
      <c r="D184" t="str">
        <v>Animals</v>
      </c>
      <c r="E184" t="str">
        <v>Circus &amp; Clowns</v>
      </c>
      <c r="F184" t="str">
        <v>Monkey w/ red jacket and green trousers</v>
      </c>
      <c r="G184" t="str">
        <v>Clockwork</v>
      </c>
      <c r="H184" t="str">
        <v>tumbles foward by rotating its arms</v>
      </c>
      <c r="I184" t="str">
        <v>Tin</v>
      </c>
      <c r="J184" t="str">
        <v>6x10x11</v>
      </c>
      <c r="K184" t="str">
        <v>Joustra</v>
      </c>
      <c r="L184" t="str">
        <v>Very Good</v>
      </c>
      <c r="M184" t="str">
        <v>1955</v>
      </c>
      <c r="N184" t="str">
        <v>1965</v>
      </c>
      <c r="S184" t="str">
        <v>120 (2024) w/ box</v>
      </c>
      <c r="T184" t="str">
        <v>55 (17) 57 (83) 73 (68)</v>
      </c>
      <c r="W184" t="str">
        <v>PAA60171</v>
      </c>
      <c r="X184" t="str">
        <v>PAA60174</v>
      </c>
    </row>
    <row r="185">
      <c r="A185">
        <v>184</v>
      </c>
      <c r="B185" t="str">
        <v>Jumbo the Bubble Blowing Elephant</v>
      </c>
      <c r="D185" t="str">
        <v>Animals</v>
      </c>
      <c r="E185" t="str">
        <v>Circus &amp; Clowns</v>
      </c>
      <c r="F185" t="str">
        <v>Pink elephant blowing bubbles</v>
      </c>
      <c r="G185" t="str">
        <v>Battery</v>
      </c>
      <c r="H185" t="str">
        <v>Lowers head, raises head and blows bubbles</v>
      </c>
      <c r="I185" t="str">
        <v>Tin &amp; plush</v>
      </c>
      <c r="J185" t="str">
        <v>20x11x19</v>
      </c>
      <c r="K185" t="str">
        <v>Yonezawa</v>
      </c>
      <c r="L185" t="str">
        <v>Reasonable</v>
      </c>
      <c r="M185" t="str">
        <v>1955</v>
      </c>
      <c r="N185" t="str">
        <v>1959</v>
      </c>
      <c r="S185" t="str">
        <v>3 (384) 150 (2024)</v>
      </c>
      <c r="T185" t="str">
        <v>17 (33) 35 (99)</v>
      </c>
      <c r="U185" t="str">
        <v>second trademark: E.T.Co. (Tomy, see (51 (25)); scarcity 1/10 desirability 2/6</v>
      </c>
      <c r="V185" t="str">
        <v>plastic cup missing; top of hat incomplete</v>
      </c>
      <c r="W185" t="str">
        <v>PAA90198</v>
      </c>
      <c r="X185" t="str">
        <v>PAA90199</v>
      </c>
    </row>
    <row r="186">
      <c r="A186">
        <v>185</v>
      </c>
      <c r="B186" t="str">
        <v>(The) Jungle Trio</v>
      </c>
      <c r="C186" t="str">
        <v>J-4792</v>
      </c>
      <c r="D186" t="str">
        <v>Animals</v>
      </c>
      <c r="E186" t="str">
        <v>Circus &amp; Clowns</v>
      </c>
      <c r="F186" t="str">
        <v>Two monkeys and elephant playing instruments</v>
      </c>
      <c r="G186" t="str">
        <v>Battery</v>
      </c>
      <c r="H186" t="str">
        <v>One monkey beats the drum, another plays cymbals, both move their heads,  and the elephant blows a three-barrel flute moving is trunk</v>
      </c>
      <c r="I186" t="str">
        <v>Tin &amp; plastic</v>
      </c>
      <c r="J186" t="str">
        <v>19x14x19</v>
      </c>
      <c r="K186" t="str">
        <v>Linemar</v>
      </c>
      <c r="L186" t="str">
        <v>Excellent</v>
      </c>
      <c r="M186" t="str">
        <v>1955</v>
      </c>
      <c r="N186" t="str">
        <v>1959</v>
      </c>
      <c r="O186" t="str">
        <v>Very good, loose flaps</v>
      </c>
      <c r="R186" t="str">
        <v>Gonçalo Rueda</v>
      </c>
      <c r="S186" t="str">
        <v>400-450 (2024) w/ box</v>
      </c>
      <c r="T186" t="str">
        <v>17 (45) 35 (100)</v>
      </c>
      <c r="U186" t="str">
        <v>scarcity 8/10 desirability 6/6</v>
      </c>
      <c r="W186" t="str">
        <v>PAA90208</v>
      </c>
      <c r="X186" t="str">
        <v>PAA90211</v>
      </c>
    </row>
    <row r="187">
      <c r="A187">
        <v>186</v>
      </c>
      <c r="B187" t="str">
        <v>Elephant on Tricycle</v>
      </c>
      <c r="D187" t="str">
        <v>Animals</v>
      </c>
      <c r="E187" t="str">
        <v>Circus &amp; Clowns</v>
      </c>
      <c r="F187" t="str">
        <v>Elephant on tricycle w/ plates on top of trunk</v>
      </c>
      <c r="G187" t="str">
        <v>Clockwork</v>
      </c>
      <c r="H187" t="str">
        <v>Cycle moves  forward, 3 plates spin on top of trunk</v>
      </c>
      <c r="I187" t="str">
        <v>Tin</v>
      </c>
      <c r="J187" t="str">
        <v>9x8x21</v>
      </c>
      <c r="K187" t="str">
        <v>NBN</v>
      </c>
      <c r="L187" t="str">
        <v>Very Good</v>
      </c>
      <c r="M187" t="str">
        <v>1949</v>
      </c>
      <c r="N187" t="str">
        <v>1965</v>
      </c>
      <c r="S187" t="str">
        <v>100 (2024)</v>
      </c>
      <c r="T187" t="str">
        <v>22 (266) 46 (202) 73 (84)</v>
      </c>
      <c r="U187" t="str">
        <v>replica made in 1980 by Tucher &amp; Walther; versions with different tricycles</v>
      </c>
      <c r="W187" t="str">
        <v>PAA90194</v>
      </c>
      <c r="X187" t="str">
        <v>PAA90196</v>
      </c>
    </row>
    <row r="188">
      <c r="A188">
        <v>187</v>
      </c>
      <c r="B188" t="str">
        <v>Elephant with Seesaw</v>
      </c>
      <c r="D188" t="str">
        <v>Animals</v>
      </c>
      <c r="E188" t="str">
        <v>Circus &amp; Clowns</v>
      </c>
      <c r="F188" t="str">
        <v>Elephant with Seesaw with plates on top of trunk</v>
      </c>
      <c r="G188" t="str">
        <v>Clockwork</v>
      </c>
      <c r="H188" t="str">
        <v>Seesaw balances right and left, plates spin on top of trunk</v>
      </c>
      <c r="I188" t="str">
        <v>Tin</v>
      </c>
      <c r="J188" t="str">
        <v>8x20x19</v>
      </c>
      <c r="K188" t="str">
        <v>NBN</v>
      </c>
      <c r="L188" t="str">
        <v>Good</v>
      </c>
      <c r="M188" t="str">
        <v>1950</v>
      </c>
      <c r="N188" t="str">
        <v>1965</v>
      </c>
      <c r="S188" t="str">
        <v>150 (2024)</v>
      </c>
      <c r="T188" t="str">
        <v>46 (203) 57 (76) 66 (328) 73 (52)</v>
      </c>
      <c r="V188" t="str">
        <v>1 of the plates is missing; ball missing</v>
      </c>
      <c r="W188" t="str">
        <v>PAA90192</v>
      </c>
      <c r="X188" t="str">
        <v>PAA90193</v>
      </c>
      <c r="Y188" t="str">
        <v>PAA90196</v>
      </c>
    </row>
    <row r="189">
      <c r="A189">
        <v>188</v>
      </c>
      <c r="B189" t="str">
        <v>Circus Horse Trainer</v>
      </c>
      <c r="D189" t="str">
        <v>People</v>
      </c>
      <c r="E189" t="str">
        <v>Circus &amp; Clowns</v>
      </c>
      <c r="F189" t="str">
        <v>Trainer w/ white horse</v>
      </c>
      <c r="G189" t="str">
        <v>Clockwork</v>
      </c>
      <c r="H189" t="str">
        <v xml:space="preserve">Horse jumps on front legs and tail spins, trainer pulls animal with both arms </v>
      </c>
      <c r="I189" t="str">
        <v>Tin</v>
      </c>
      <c r="J189" t="str">
        <v>22x6x15</v>
      </c>
      <c r="K189" t="str">
        <v>Kuramochi</v>
      </c>
      <c r="L189" t="str">
        <v>Excellent</v>
      </c>
      <c r="M189" t="str">
        <v>1960</v>
      </c>
      <c r="N189" t="str">
        <v>1965</v>
      </c>
      <c r="O189" t="str">
        <v>Excellent</v>
      </c>
      <c r="R189" t="str">
        <v>Gonçalo Rueda</v>
      </c>
      <c r="S189" t="str">
        <v>140 (2027)</v>
      </c>
      <c r="U189" t="str">
        <v>variant box with ROSKO trademark and nº. 3510</v>
      </c>
      <c r="W189" t="str">
        <v>PAA60185</v>
      </c>
      <c r="X189" t="str">
        <v>PAA60186</v>
      </c>
    </row>
    <row r="190">
      <c r="A190">
        <v>189</v>
      </c>
      <c r="B190" t="str">
        <v xml:space="preserve">Jumbo </v>
      </c>
      <c r="C190">
        <v>628</v>
      </c>
      <c r="D190" t="str">
        <v>Animals</v>
      </c>
      <c r="E190" t="str">
        <v>Circus &amp; Clowns</v>
      </c>
      <c r="F190" t="str">
        <v>Jumbo elephant</v>
      </c>
      <c r="G190" t="str">
        <v>Clockwork</v>
      </c>
      <c r="H190" t="str">
        <v>walks on four legs</v>
      </c>
      <c r="I190" t="str">
        <v>Tin</v>
      </c>
      <c r="J190" t="str">
        <v>11x5x10</v>
      </c>
      <c r="K190" t="str">
        <v>Blomer &amp; Schuler</v>
      </c>
      <c r="L190" t="str">
        <v>Very Good</v>
      </c>
      <c r="M190" t="str">
        <v>1935</v>
      </c>
      <c r="N190" t="str">
        <v>1939</v>
      </c>
      <c r="T190" t="str">
        <v>22 (269) 46 (56) 57 (75) 78 (39)</v>
      </c>
      <c r="U190" t="str">
        <v>toy is marked "made in Germany"; variant "made in US Zone Germany" made 1950/1958</v>
      </c>
      <c r="W190" t="str">
        <v>PAA90200</v>
      </c>
      <c r="X190" t="str">
        <v>PAA90201</v>
      </c>
    </row>
    <row r="191">
      <c r="A191">
        <v>190</v>
      </c>
      <c r="B191" t="str">
        <v>Circus Elephant with monkey</v>
      </c>
      <c r="D191" t="str">
        <v>Animals</v>
      </c>
      <c r="E191" t="str">
        <v>Circus &amp; Clowns</v>
      </c>
      <c r="F191" t="str">
        <v>Elephant with monkey on trunk</v>
      </c>
      <c r="G191" t="str">
        <v>Clockwork</v>
      </c>
      <c r="H191" t="str">
        <v>walks on four legs, raises and lowers trunk, moves ears</v>
      </c>
      <c r="I191" t="str">
        <v>Tin</v>
      </c>
      <c r="J191" t="str">
        <v>13x8x7</v>
      </c>
      <c r="K191" t="str">
        <v>Marusan</v>
      </c>
      <c r="L191" t="str">
        <v>Excellent</v>
      </c>
      <c r="M191" t="str">
        <v>1955</v>
      </c>
      <c r="N191" t="str">
        <v>1959</v>
      </c>
      <c r="W191" t="str">
        <v>PAA90202</v>
      </c>
      <c r="X191" t="str">
        <v>PAA90203</v>
      </c>
    </row>
    <row r="192">
      <c r="A192">
        <v>191</v>
      </c>
      <c r="B192" t="str">
        <v>AHA</v>
      </c>
      <c r="C192">
        <v>910</v>
      </c>
      <c r="D192" t="str">
        <v>Animals</v>
      </c>
      <c r="E192" t="str">
        <v>Circus &amp; Clowns</v>
      </c>
      <c r="F192" t="str">
        <v>Seal with red and yellow ball</v>
      </c>
      <c r="G192" t="str">
        <v>Friction</v>
      </c>
      <c r="H192" t="str">
        <v>Seal moves forward, ball spins</v>
      </c>
      <c r="I192" t="str">
        <v>Tin</v>
      </c>
      <c r="J192" t="str">
        <v>8x3x10</v>
      </c>
      <c r="K192" t="str">
        <v>Lehmann</v>
      </c>
      <c r="L192" t="str">
        <v>Very Good</v>
      </c>
      <c r="M192" t="str">
        <v>1956</v>
      </c>
      <c r="N192" t="str">
        <v>1981</v>
      </c>
      <c r="S192" t="str">
        <v>30-40 (2024)</v>
      </c>
      <c r="T192" t="str">
        <v>59 (207) 73 (48)</v>
      </c>
      <c r="W192" t="str">
        <v>PAA60177</v>
      </c>
      <c r="X192" t="str">
        <v>PAA60178</v>
      </c>
    </row>
    <row r="193">
      <c r="A193">
        <v>192</v>
      </c>
      <c r="B193" t="str">
        <v>Fips</v>
      </c>
      <c r="C193">
        <v>165</v>
      </c>
      <c r="D193" t="str">
        <v>Animals</v>
      </c>
      <c r="E193" t="str">
        <v>Circus &amp; Clowns</v>
      </c>
      <c r="F193" t="str">
        <v>Cart driven by a monkey and followed by a dog</v>
      </c>
      <c r="G193" t="str">
        <v>Clockwork</v>
      </c>
      <c r="H193" t="str">
        <v>Cart moves with excentric wheels, dog jumps on front legs</v>
      </c>
      <c r="I193" t="str">
        <v>Tin</v>
      </c>
      <c r="J193" t="str">
        <v>16x8x6</v>
      </c>
      <c r="K193" t="str">
        <v>Stock</v>
      </c>
      <c r="L193" t="str">
        <v>Very Good</v>
      </c>
      <c r="M193" t="str">
        <v>1910</v>
      </c>
      <c r="N193" t="str">
        <v>1930</v>
      </c>
      <c r="T193" t="str">
        <v>65 (423) 94 (132)</v>
      </c>
      <c r="U193" t="str">
        <v>Sold in boxes with 6 units; made after no. 155 Joko (94 (125)); same book (p.31) shows differences in production before and after WW1 - our version is the older one; there is also a cheaper version without the dog</v>
      </c>
      <c r="W193" t="str">
        <v>PAA60179</v>
      </c>
      <c r="X193" t="str">
        <v>PAA60182</v>
      </c>
      <c r="Y193" t="str">
        <v>PAA60183</v>
      </c>
    </row>
    <row r="194">
      <c r="A194">
        <v>193</v>
      </c>
      <c r="B194" t="str">
        <v>Circus Parade</v>
      </c>
      <c r="D194" t="str">
        <v>People</v>
      </c>
      <c r="E194" t="str">
        <v>Circus &amp; Clowns</v>
      </c>
      <c r="F194" t="str">
        <v>Elephant pulling 3 acrobate clowns</v>
      </c>
      <c r="G194" t="str">
        <v>Clockwork</v>
      </c>
      <c r="H194" t="str">
        <v>Elephant moves forward, two clowns on balls spin, a clown inside a hoop rotates</v>
      </c>
      <c r="I194" t="str">
        <v>Tin</v>
      </c>
      <c r="J194" t="str">
        <v>28x4x8</v>
      </c>
      <c r="K194" t="str">
        <v>TPS</v>
      </c>
      <c r="L194" t="str">
        <v>Good</v>
      </c>
      <c r="M194" t="str">
        <v>1959</v>
      </c>
      <c r="N194" t="str">
        <v>1965</v>
      </c>
      <c r="R194" t="str">
        <v>New Orleans, USA</v>
      </c>
      <c r="S194" t="str">
        <v>130-150 (2024)</v>
      </c>
      <c r="T194" t="str">
        <v>51 (67)</v>
      </c>
      <c r="U194" t="str">
        <v>Variant boxes, one has Cragstan trademark; scarcity 2/6</v>
      </c>
      <c r="V194" t="str">
        <v>1 wheel misses rubber portions (repaired)</v>
      </c>
      <c r="W194" t="str">
        <v>PAA90207</v>
      </c>
    </row>
    <row r="195">
      <c r="A195">
        <v>194</v>
      </c>
      <c r="B195" t="str">
        <v>Coche-Feria Salva Obstaculos - Elétrico</v>
      </c>
      <c r="C195">
        <v>759</v>
      </c>
      <c r="D195" t="str">
        <v>Cars</v>
      </c>
      <c r="E195" t="str">
        <v>Circus &amp; Clowns</v>
      </c>
      <c r="F195" t="str">
        <v>Clown  driving a fairground car no.7</v>
      </c>
      <c r="G195" t="str">
        <v>Battery</v>
      </c>
      <c r="H195" t="str">
        <v>Bump-and-go action, clown jumps from his seat when the car hits an obstacle</v>
      </c>
      <c r="I195" t="str">
        <v>Plastic, tin base</v>
      </c>
      <c r="J195" t="str">
        <v>23x13x21</v>
      </c>
      <c r="K195" t="str">
        <v>Rico</v>
      </c>
      <c r="L195" t="str">
        <v>Excellent</v>
      </c>
      <c r="M195" t="str">
        <v>1965</v>
      </c>
      <c r="N195" t="str">
        <v>1969</v>
      </c>
      <c r="O195" t="str">
        <v>Excellent; "Timbre de envasado Convenio local A-26"</v>
      </c>
      <c r="S195" t="str">
        <v>180-220 (2024) w/ box</v>
      </c>
      <c r="W195" t="str">
        <v>PAA90236</v>
      </c>
    </row>
    <row r="196">
      <c r="A196">
        <v>195</v>
      </c>
      <c r="B196" t="str">
        <v>Frisky Clown Band</v>
      </c>
      <c r="C196">
        <v>702</v>
      </c>
      <c r="D196" t="str">
        <v>People</v>
      </c>
      <c r="E196" t="str">
        <v>Circus &amp; Clowns</v>
      </c>
      <c r="F196" t="str">
        <v>Clown in red and white stripped clothes playing drum and cymbals</v>
      </c>
      <c r="G196" t="str">
        <v>Clockwork</v>
      </c>
      <c r="H196" t="str">
        <v>moves both arms to play drum and cymbals</v>
      </c>
      <c r="I196" t="str">
        <v>Plastic &amp; cloth</v>
      </c>
      <c r="J196" t="str">
        <v>12x11x18</v>
      </c>
      <c r="K196" t="str">
        <v>Fuji</v>
      </c>
      <c r="L196" t="str">
        <v>Excellent</v>
      </c>
      <c r="M196" t="str">
        <v>1971</v>
      </c>
      <c r="N196" t="str">
        <v>1980</v>
      </c>
      <c r="O196" t="str">
        <v>Very good</v>
      </c>
      <c r="U196" t="str">
        <v>Box also has the "ST" symbol (safe toy)</v>
      </c>
      <c r="W196" t="str">
        <v>PAA90239</v>
      </c>
    </row>
    <row r="197">
      <c r="A197">
        <v>196</v>
      </c>
      <c r="B197" t="str">
        <v>Musical Clown</v>
      </c>
      <c r="D197" t="str">
        <v>People</v>
      </c>
      <c r="E197" t="str">
        <v>Circus &amp; Clowns</v>
      </c>
      <c r="F197" t="str">
        <v>Clown with red jacket playing  cymbals</v>
      </c>
      <c r="G197" t="str">
        <v>Clockwork</v>
      </c>
      <c r="H197" t="str">
        <v>Vibrates moving around, arms play cymbals</v>
      </c>
      <c r="I197" t="str">
        <v>Plastic, cloth &amp; tin</v>
      </c>
      <c r="J197" t="str">
        <v>10x7x17</v>
      </c>
      <c r="K197" t="str">
        <v>Nomura</v>
      </c>
      <c r="L197" t="str">
        <v>Excellent</v>
      </c>
      <c r="M197" t="str">
        <v>1965</v>
      </c>
      <c r="N197" t="str">
        <v>1970</v>
      </c>
      <c r="O197" t="str">
        <v>Very good</v>
      </c>
      <c r="S197" t="str">
        <v>80 (2024)</v>
      </c>
      <c r="T197" t="str">
        <v>73 (28)</v>
      </c>
      <c r="W197" t="str">
        <v>PAA90238</v>
      </c>
    </row>
    <row r="198">
      <c r="A198">
        <v>197</v>
      </c>
      <c r="B198" t="str">
        <v>Clown on a Motorcycle</v>
      </c>
      <c r="C198" t="str">
        <v>MS 629</v>
      </c>
      <c r="D198" t="str">
        <v>Motorcycles &amp; Scooters</v>
      </c>
      <c r="E198" t="str">
        <v>Circus &amp; Clowns</v>
      </c>
      <c r="F198" t="str">
        <v>Clown on a mortorcycle no.MS 629</v>
      </c>
      <c r="G198" t="str">
        <v>Clockwork</v>
      </c>
      <c r="H198" t="str">
        <v>As motocycle advances, clown progressively handstands</v>
      </c>
      <c r="I198" t="str">
        <v>Tin</v>
      </c>
      <c r="J198" t="str">
        <v>15x6x12</v>
      </c>
      <c r="K198" t="str">
        <v>HA HA Toy</v>
      </c>
      <c r="L198" t="str">
        <v>Excellent</v>
      </c>
      <c r="M198" t="str">
        <v>1990</v>
      </c>
      <c r="N198" t="str">
        <v>2000</v>
      </c>
      <c r="O198" t="str">
        <v>Excellent</v>
      </c>
      <c r="W198" t="str">
        <v>PAA90248</v>
      </c>
    </row>
    <row r="199">
      <c r="A199">
        <v>198</v>
      </c>
      <c r="B199" t="str">
        <v>Aero Car</v>
      </c>
      <c r="C199">
        <v>2091</v>
      </c>
      <c r="D199" t="str">
        <v>Cars</v>
      </c>
      <c r="E199" t="str">
        <v>Fairground</v>
      </c>
      <c r="F199" t="str">
        <v>Ted car no. 3  that can tumble backwards</v>
      </c>
      <c r="G199" t="str">
        <v>Clockwork</v>
      </c>
      <c r="H199" t="str">
        <v>Moves forward, periodically tumbles backwards</v>
      </c>
      <c r="I199" t="str">
        <v>Tin</v>
      </c>
      <c r="J199" t="str">
        <v>9x5x5</v>
      </c>
      <c r="K199" t="str">
        <v>Yoneya</v>
      </c>
      <c r="L199" t="str">
        <v>Good</v>
      </c>
      <c r="M199" t="str">
        <v>1965</v>
      </c>
      <c r="N199" t="str">
        <v>1970</v>
      </c>
      <c r="S199" t="str">
        <v>35 (2024) w/ box</v>
      </c>
      <c r="T199" t="str">
        <v>21 (44)</v>
      </c>
      <c r="W199" t="str">
        <v>PAA90254</v>
      </c>
      <c r="X199" t="str">
        <v>PAA90255</v>
      </c>
    </row>
    <row r="200">
      <c r="A200">
        <v>199</v>
      </c>
      <c r="B200" t="str">
        <v>Monkey with Drum</v>
      </c>
      <c r="C200">
        <v>66</v>
      </c>
      <c r="D200" t="str">
        <v>Animals</v>
      </c>
      <c r="E200" t="str">
        <v>Circus &amp; Clowns</v>
      </c>
      <c r="F200" t="str">
        <v>Sitted plush monkey w/ blue conical hat, playing drum</v>
      </c>
      <c r="G200" t="str">
        <v>Clockwork</v>
      </c>
      <c r="H200" t="str">
        <v>Moves head, legs and arms to play drum</v>
      </c>
      <c r="I200" t="str">
        <v>Cloth, plush &amp; tin</v>
      </c>
      <c r="J200" t="str">
        <v>14x7x18</v>
      </c>
      <c r="K200" t="str">
        <v>Carl</v>
      </c>
      <c r="L200" t="str">
        <v>Very Good</v>
      </c>
      <c r="M200" t="str">
        <v>1958</v>
      </c>
      <c r="N200" t="str">
        <v>1976</v>
      </c>
      <c r="S200" t="str">
        <v>80 (2024)</v>
      </c>
      <c r="T200" t="str">
        <v>2 (56) 73 (28)</v>
      </c>
      <c r="W200" t="str">
        <v>PAA90258</v>
      </c>
      <c r="X200" t="str">
        <v>PAA90260</v>
      </c>
    </row>
    <row r="201">
      <c r="A201">
        <v>200</v>
      </c>
      <c r="B201" t="str">
        <v>Sitting-Clown with Drum</v>
      </c>
      <c r="C201">
        <v>560</v>
      </c>
      <c r="D201" t="str">
        <v>People</v>
      </c>
      <c r="E201" t="str">
        <v>Circus &amp; Clowns</v>
      </c>
      <c r="F201" t="str">
        <v>Sitted clown w/ white conical hat playing drum</v>
      </c>
      <c r="G201" t="str">
        <v>Clockwork</v>
      </c>
      <c r="H201" t="str">
        <v>Moves head, legs and arms to play drum</v>
      </c>
      <c r="I201" t="str">
        <v>Cloth, plastic &amp; papier-mache</v>
      </c>
      <c r="J201" t="str">
        <v>12x6x22</v>
      </c>
      <c r="K201" t="str">
        <v>Carl</v>
      </c>
      <c r="L201" t="str">
        <v>Good</v>
      </c>
      <c r="M201" t="str">
        <v>1958</v>
      </c>
      <c r="N201" t="str">
        <v>1976</v>
      </c>
      <c r="T201" t="str">
        <v>2 (57)</v>
      </c>
      <c r="W201" t="str">
        <v>PAA90242</v>
      </c>
      <c r="X201" t="str">
        <v>PAA90244</v>
      </c>
    </row>
    <row r="202">
      <c r="A202">
        <v>201</v>
      </c>
      <c r="B202" t="str">
        <v>Roli Zoli</v>
      </c>
      <c r="D202" t="str">
        <v>Motorcycles &amp; Scooters</v>
      </c>
      <c r="E202" t="str">
        <v>Circus &amp; Clowns</v>
      </c>
      <c r="F202" t="str">
        <v>Clown w/ blue white dotted clothes standing on tricycle</v>
      </c>
      <c r="G202" t="str">
        <v>Clockwork</v>
      </c>
      <c r="H202" t="str">
        <v>Advances and changes direction randomly</v>
      </c>
      <c r="I202" t="str">
        <v>Tin</v>
      </c>
      <c r="J202" t="str">
        <v>11x6x13</v>
      </c>
      <c r="K202" t="str">
        <v>Lemezarugyar</v>
      </c>
      <c r="L202" t="str">
        <v>Excellent</v>
      </c>
      <c r="M202" t="str">
        <v>1980</v>
      </c>
      <c r="N202" t="str">
        <v>1990</v>
      </c>
      <c r="O202" t="str">
        <v>Very Good</v>
      </c>
      <c r="P202">
        <v>8</v>
      </c>
      <c r="R202" t="str">
        <v>Pollock's London</v>
      </c>
      <c r="S202" t="str">
        <v>20-30 (2024) w/ box</v>
      </c>
      <c r="T202" t="str">
        <v>73 (83)</v>
      </c>
      <c r="U202" t="str">
        <v>Several different boxes</v>
      </c>
      <c r="W202" t="str">
        <v>PAA90245</v>
      </c>
      <c r="X202" t="str">
        <v>PAA90246</v>
      </c>
    </row>
    <row r="203">
      <c r="A203">
        <v>202</v>
      </c>
      <c r="B203" t="str">
        <v>Happy Drummer</v>
      </c>
      <c r="D203" t="str">
        <v>Animals</v>
      </c>
      <c r="E203" t="str">
        <v>Circus &amp; Clowns</v>
      </c>
      <c r="F203" t="str">
        <v>Dog playing a large vertical drum</v>
      </c>
      <c r="G203" t="str">
        <v>Clockwork</v>
      </c>
      <c r="H203" t="str">
        <v>Advances in a circular path while playing drum with both arms</v>
      </c>
      <c r="I203" t="str">
        <v>Tin &amp; plastic</v>
      </c>
      <c r="J203" t="str">
        <v>11x9x14</v>
      </c>
      <c r="K203" t="str">
        <v>Daiya</v>
      </c>
      <c r="L203" t="str">
        <v>Good</v>
      </c>
      <c r="M203" t="str">
        <v>1970</v>
      </c>
      <c r="N203" t="str">
        <v>1975</v>
      </c>
      <c r="P203">
        <v>12</v>
      </c>
      <c r="S203" t="str">
        <v>60 (2024)</v>
      </c>
      <c r="U203" t="str">
        <v>Rubber balls were replaced</v>
      </c>
      <c r="V203" t="str">
        <v>One rubber ball missing</v>
      </c>
      <c r="W203" t="str">
        <v>PAA90261</v>
      </c>
      <c r="X203" t="str">
        <v>PAA90262</v>
      </c>
    </row>
    <row r="204">
      <c r="A204">
        <v>203</v>
      </c>
      <c r="B204" t="str">
        <v>Single Bar Exercise</v>
      </c>
      <c r="C204" t="str">
        <v>MS 014</v>
      </c>
      <c r="D204" t="str">
        <v>People</v>
      </c>
      <c r="E204" t="str">
        <v>Circus &amp; Clowns</v>
      </c>
      <c r="F204" t="str">
        <v>Celuloid girl on trapeze</v>
      </c>
      <c r="G204" t="str">
        <v>Clockwork</v>
      </c>
      <c r="H204" t="str">
        <v>Acrobat tumbles around the trapeze</v>
      </c>
      <c r="I204" t="str">
        <v>Celuloid, plastic &amp; metal</v>
      </c>
      <c r="J204" t="str">
        <v>14x14x17</v>
      </c>
      <c r="L204" t="str">
        <v>Excellent</v>
      </c>
      <c r="M204" t="str">
        <v>1980</v>
      </c>
      <c r="N204" t="str">
        <v>1990</v>
      </c>
      <c r="R204" t="str">
        <v>Pollock's London</v>
      </c>
      <c r="S204" t="str">
        <v>30 (2024) w/ box</v>
      </c>
      <c r="V204" t="str">
        <v>Made in China</v>
      </c>
      <c r="W204" t="str">
        <v>PAA90257</v>
      </c>
    </row>
    <row r="205">
      <c r="A205">
        <v>204</v>
      </c>
      <c r="B205" t="str">
        <v>Clown</v>
      </c>
      <c r="C205" t="str">
        <v>525/K</v>
      </c>
      <c r="D205" t="str">
        <v>People</v>
      </c>
      <c r="E205" t="str">
        <v>Circus &amp; Clowns</v>
      </c>
      <c r="F205" t="str">
        <v>Sparkling spinwheel  pink &amp; orange w/ clown</v>
      </c>
      <c r="G205" t="str">
        <v>Friction</v>
      </c>
      <c r="H205" t="str">
        <v>Upon pushing the base, wheel rotates and sparks, clown appears and opens arms</v>
      </c>
      <c r="I205" t="str">
        <v>Tin</v>
      </c>
      <c r="J205" t="str">
        <v>3x5x13</v>
      </c>
      <c r="K205" t="str">
        <v>Arnold</v>
      </c>
      <c r="L205" t="str">
        <v>Excellent</v>
      </c>
      <c r="M205" t="str">
        <v>1965</v>
      </c>
      <c r="N205" t="str">
        <v>1969</v>
      </c>
      <c r="T205" t="str">
        <v>10 (62)</v>
      </c>
      <c r="W205" t="str">
        <v>PAA90240</v>
      </c>
    </row>
    <row r="206">
      <c r="A206">
        <v>205</v>
      </c>
      <c r="B206" t="str">
        <v>Space and clown</v>
      </c>
      <c r="C206">
        <v>519</v>
      </c>
      <c r="D206" t="str">
        <v>People</v>
      </c>
      <c r="E206" t="str">
        <v>Circus &amp; Clowns</v>
      </c>
      <c r="F206" t="str">
        <v>Sparkling spinwheel w/ planets and clown</v>
      </c>
      <c r="G206" t="str">
        <v>Friction</v>
      </c>
      <c r="H206" t="str">
        <v>Upon pushing the base, wheel rotates and sparks, clown appears and opens arms</v>
      </c>
      <c r="I206" t="str">
        <v>Tin</v>
      </c>
      <c r="J206" t="str">
        <v>3x5x13</v>
      </c>
      <c r="K206" t="str">
        <v>Arnold</v>
      </c>
      <c r="L206" t="str">
        <v>Good</v>
      </c>
      <c r="M206" t="str">
        <v>1930</v>
      </c>
      <c r="N206" t="str">
        <v>1939</v>
      </c>
      <c r="T206" t="str">
        <v>66 (32)</v>
      </c>
      <c r="U206" t="str">
        <v>USA patent 20.11.1928 (10 (57); similar toy in 10 (57)</v>
      </c>
      <c r="V206" t="str">
        <v>The toy seems to be wrongly assembled, the clown should be nearer the wall</v>
      </c>
      <c r="W206" t="str">
        <v>PAA90240</v>
      </c>
    </row>
    <row r="207">
      <c r="A207">
        <v>206</v>
      </c>
      <c r="B207" t="str">
        <v>Punch &amp; Judy Shooting Game</v>
      </c>
      <c r="C207">
        <v>174</v>
      </c>
      <c r="D207" t="str">
        <v>People</v>
      </c>
      <c r="E207" t="str">
        <v>Fairground</v>
      </c>
      <c r="F207" t="str">
        <v>Shooting Game w/ Punch, Judy &amp; Dog</v>
      </c>
      <c r="G207" t="str">
        <v>Other</v>
      </c>
      <c r="H207" t="str">
        <v>Pistol with cork held by a wire and target with 3 figures that will drop when hit</v>
      </c>
      <c r="I207" t="str">
        <v>Tin &amp; plastic</v>
      </c>
      <c r="J207" t="str">
        <v>2x28x18</v>
      </c>
      <c r="K207" t="str">
        <v>Welsotoys</v>
      </c>
      <c r="L207" t="str">
        <v>Excellent</v>
      </c>
      <c r="M207" t="str">
        <v>1955</v>
      </c>
      <c r="N207" t="str">
        <v>1960</v>
      </c>
      <c r="O207" t="str">
        <v>Very Good</v>
      </c>
      <c r="P207">
        <v>5</v>
      </c>
      <c r="Q207">
        <v>1985</v>
      </c>
      <c r="R207" t="str">
        <v>Loja de brinquedos, R. Capelistas</v>
      </c>
      <c r="W207" t="str">
        <v>no photo</v>
      </c>
    </row>
    <row r="208">
      <c r="A208">
        <v>207</v>
      </c>
      <c r="B208" t="str">
        <v>"Winner of the West" Overland Stagecoach with Four Galloping Horses</v>
      </c>
      <c r="D208" t="str">
        <v>Carriages &amp; Cycles</v>
      </c>
      <c r="E208" t="str">
        <v>Far West</v>
      </c>
      <c r="F208" t="str">
        <v>Wells Fargo Overland Stage w/ 4 horses</v>
      </c>
      <c r="G208" t="str">
        <v>Battery</v>
      </c>
      <c r="H208" t="str">
        <v>The 4 horses "gallop" because of excentric rotation movement, driver jumps on his seat, cowboy in the rear shoots rifle, lantern flashes</v>
      </c>
      <c r="I208" t="str">
        <v xml:space="preserve">Mostly tin </v>
      </c>
      <c r="J208" t="str">
        <v>46x10x15</v>
      </c>
      <c r="K208" t="str">
        <v>Alps</v>
      </c>
      <c r="L208" t="str">
        <v>Excellent</v>
      </c>
      <c r="M208" t="str">
        <v>1955</v>
      </c>
      <c r="N208" t="str">
        <v>1960</v>
      </c>
      <c r="O208" t="str">
        <v>Very Good</v>
      </c>
      <c r="T208" t="str">
        <v>17 (206)</v>
      </c>
      <c r="U208" t="str">
        <v>scarcity 7/10</v>
      </c>
      <c r="W208" t="str">
        <v>P2020001</v>
      </c>
    </row>
    <row r="209">
      <c r="A209">
        <v>208</v>
      </c>
      <c r="B209" t="str">
        <v>Pioneer Covered Wagon</v>
      </c>
      <c r="D209" t="str">
        <v>Carriages &amp; Cycles</v>
      </c>
      <c r="E209" t="str">
        <v>Far West</v>
      </c>
      <c r="F209" t="str">
        <v>"Pioneer" carriage w/ horse and driver</v>
      </c>
      <c r="G209" t="str">
        <v>Battery</v>
      </c>
      <c r="H209" t="str">
        <v>Horse moves head and legs, driver jumps on his seat, changes direction</v>
      </c>
      <c r="I209" t="str">
        <v>Tin &amp; Plastic canopy</v>
      </c>
      <c r="J209" t="str">
        <v>38x11x21</v>
      </c>
      <c r="K209" t="str">
        <v>Ichida</v>
      </c>
      <c r="L209" t="str">
        <v>Excellent</v>
      </c>
      <c r="M209" t="str">
        <v>1965</v>
      </c>
      <c r="N209" t="str">
        <v>1969</v>
      </c>
      <c r="S209" t="str">
        <v>170 (2024) w/ box</v>
      </c>
      <c r="T209" t="str">
        <v>17 (135)</v>
      </c>
      <c r="U209" t="str">
        <v>scarcity 7/10</v>
      </c>
      <c r="W209" t="str">
        <v>P2020002</v>
      </c>
      <c r="X209" t="str">
        <v>P2020003</v>
      </c>
    </row>
    <row r="210">
      <c r="A210">
        <v>209</v>
      </c>
      <c r="B210" t="str">
        <v>Wagon Master</v>
      </c>
      <c r="C210">
        <v>3345</v>
      </c>
      <c r="D210" t="str">
        <v>Carriages &amp; Cycles</v>
      </c>
      <c r="E210" t="str">
        <v>Far West</v>
      </c>
      <c r="F210" t="str">
        <v>"Wagon Master" w/ 2 horses and driver</v>
      </c>
      <c r="G210" t="str">
        <v>Battery</v>
      </c>
      <c r="H210" t="str">
        <v>Horses "gallop", driver jumps from his seat, galloping sound</v>
      </c>
      <c r="I210" t="str">
        <v>Tin, plastic &amp; cloth</v>
      </c>
      <c r="J210" t="str">
        <v>46x12x21</v>
      </c>
      <c r="K210" t="str">
        <v>Modern Toys</v>
      </c>
      <c r="L210" t="str">
        <v>Good</v>
      </c>
      <c r="M210" t="str">
        <v>1964</v>
      </c>
      <c r="N210" t="str">
        <v>1969</v>
      </c>
      <c r="S210" t="str">
        <v>120 -150; 240 (2024) w/ box</v>
      </c>
      <c r="T210" t="str">
        <v>78 (180)</v>
      </c>
      <c r="U210" t="str">
        <v>patent no.68617, 48832; scarcity 6/10; for the Spanish market, is called "Caravana", with specific box and name on the canopy</v>
      </c>
      <c r="V210" t="str">
        <v>we have another that was oponed to show mechanism (with 4 horses(?))</v>
      </c>
      <c r="W210" t="str">
        <v>P2020004</v>
      </c>
    </row>
    <row r="211">
      <c r="A211">
        <v>210</v>
      </c>
      <c r="B211" t="str">
        <v>Abrojito el chacarero</v>
      </c>
      <c r="D211" t="str">
        <v>Cars</v>
      </c>
      <c r="E211" t="str">
        <v>Far West</v>
      </c>
      <c r="F211" t="str">
        <v>Crazy Jeep w/ cowboy with red hat</v>
      </c>
      <c r="G211" t="str">
        <v>Clockwork</v>
      </c>
      <c r="H211" t="str">
        <v>Has a chaotic parh, spins and can stand on the rear wheels</v>
      </c>
      <c r="I211" t="str">
        <v>Tin</v>
      </c>
      <c r="J211" t="str">
        <v>17x9x19</v>
      </c>
      <c r="K211" t="str">
        <v>Vispa Halcon</v>
      </c>
      <c r="L211" t="str">
        <v>Good</v>
      </c>
      <c r="M211" t="str">
        <v>1955</v>
      </c>
      <c r="N211" t="str">
        <v>1959</v>
      </c>
      <c r="Q211" t="str">
        <v>may/2015</v>
      </c>
      <c r="R211" t="str">
        <v>Museo Argentino del Juguete - El Calafate, Argentina</v>
      </c>
      <c r="U211" t="str">
        <v>this is an adaptation of the Crazy Jeep, designed for Vista by the italian Adino Spadetto</v>
      </c>
      <c r="W211" t="str">
        <v>P2020017</v>
      </c>
      <c r="X211" t="str">
        <v>P2020018</v>
      </c>
    </row>
    <row r="212">
      <c r="A212">
        <v>211</v>
      </c>
      <c r="B212" t="str">
        <v>Vaquero Mareado</v>
      </c>
      <c r="C212">
        <v>133</v>
      </c>
      <c r="D212" t="str">
        <v>Cars</v>
      </c>
      <c r="E212" t="str">
        <v>Far West</v>
      </c>
      <c r="F212" t="str">
        <v>Crazy Jeep w/ cowboy with yellow hat</v>
      </c>
      <c r="G212" t="str">
        <v>Clockwork</v>
      </c>
      <c r="H212" t="str">
        <v>Has a chaotic parh, spins and can stand on the rear wheels</v>
      </c>
      <c r="I212" t="str">
        <v>Tin</v>
      </c>
      <c r="J212" t="str">
        <v>12x7x14</v>
      </c>
      <c r="K212" t="str">
        <v>Rico</v>
      </c>
      <c r="L212" t="str">
        <v>Excellent</v>
      </c>
      <c r="M212" t="str">
        <v>1955</v>
      </c>
      <c r="N212" t="str">
        <v>1959</v>
      </c>
      <c r="S212" t="str">
        <v>200-290 (2024)</v>
      </c>
      <c r="W212" t="str">
        <v>P2020020</v>
      </c>
      <c r="X212" t="str">
        <v>P2020021</v>
      </c>
    </row>
    <row r="213">
      <c r="A213">
        <v>212</v>
      </c>
      <c r="B213" t="str">
        <v xml:space="preserve"> Bubbling Bull or Wild West Rodeo</v>
      </c>
      <c r="C213" t="str">
        <v>J-4099</v>
      </c>
      <c r="D213" t="str">
        <v>People</v>
      </c>
      <c r="E213" t="str">
        <v>Far West</v>
      </c>
      <c r="F213" t="str">
        <v>Bubble blowing bull w/ cowboy</v>
      </c>
      <c r="G213" t="str">
        <v>Battery</v>
      </c>
      <c r="H213" t="str">
        <v>The bull kicks the rider, who jumps, and blows bubbles from its nose</v>
      </c>
      <c r="I213" t="str">
        <v>Tin &amp; cloth</v>
      </c>
      <c r="J213" t="str">
        <v>17x11x17</v>
      </c>
      <c r="K213" t="str">
        <v>Linemar</v>
      </c>
      <c r="L213" t="str">
        <v>Excellent</v>
      </c>
      <c r="M213" t="str">
        <v>1959</v>
      </c>
      <c r="N213" t="str">
        <v>1965</v>
      </c>
      <c r="O213" t="str">
        <v>Very Good</v>
      </c>
      <c r="T213" t="str">
        <v xml:space="preserve">17 (59) 35 (37) </v>
      </c>
      <c r="U213" t="str">
        <v>Toy says "Wild West Rodeo", but box says " Bubbling Bull"; original price $2 (USA); desirability 4/6 scarcity 5/10</v>
      </c>
      <c r="W213" t="str">
        <v>P2020022</v>
      </c>
      <c r="X213" t="str">
        <v>P2020023</v>
      </c>
    </row>
    <row r="214">
      <c r="A214">
        <v>213</v>
      </c>
      <c r="B214" t="str">
        <v xml:space="preserve">Vaquero </v>
      </c>
      <c r="C214">
        <v>609</v>
      </c>
      <c r="D214" t="str">
        <v>People</v>
      </c>
      <c r="E214" t="str">
        <v>Far West</v>
      </c>
      <c r="F214" t="str">
        <v>Cowboy w/ blue hat and two pistols</v>
      </c>
      <c r="G214" t="str">
        <v>Clockwork</v>
      </c>
      <c r="H214" t="str">
        <v>Bends his body forward and backwards, while raises each arm in turn and shoots (noise);  w/ battery, pistols light when shooting</v>
      </c>
      <c r="I214" t="str">
        <v>Plastic &amp; cloth</v>
      </c>
      <c r="J214" t="str">
        <v>8x8x21</v>
      </c>
      <c r="K214" t="str">
        <v>Paya</v>
      </c>
      <c r="L214" t="str">
        <v>Excellent</v>
      </c>
      <c r="M214" t="str">
        <v>1958</v>
      </c>
      <c r="N214" t="str">
        <v>1965</v>
      </c>
      <c r="O214" t="str">
        <v>Very good, w/ instructions</v>
      </c>
      <c r="T214" t="str">
        <v>110-140 (2024) w/ box</v>
      </c>
      <c r="W214" t="str">
        <v>P2020050</v>
      </c>
      <c r="X214" t="str">
        <v>P2020051</v>
      </c>
      <c r="Y214" t="str">
        <v>P2020052</v>
      </c>
    </row>
    <row r="215">
      <c r="A215">
        <v>214</v>
      </c>
      <c r="B215" t="str">
        <v>Cowboy</v>
      </c>
      <c r="C215">
        <v>259</v>
      </c>
      <c r="D215" t="str">
        <v>People</v>
      </c>
      <c r="E215" t="str">
        <v>Far West</v>
      </c>
      <c r="F215" t="str">
        <v>Cowboy w/ pistol, red hat, blue trousers</v>
      </c>
      <c r="G215" t="str">
        <v>Clockwork</v>
      </c>
      <c r="H215" t="str">
        <v>Rotates his torso, makes a shooting sound, moves eyes</v>
      </c>
      <c r="I215" t="str">
        <v>Tin</v>
      </c>
      <c r="J215" t="str">
        <v>8x7x22</v>
      </c>
      <c r="K215" t="str">
        <v>Technofix</v>
      </c>
      <c r="L215" t="str">
        <v>Excellent</v>
      </c>
      <c r="M215" t="str">
        <v>1951</v>
      </c>
      <c r="N215" t="str">
        <v>1951</v>
      </c>
      <c r="S215" t="str">
        <v>600 (2024) not very good</v>
      </c>
      <c r="T215" t="str">
        <v>1 (72)</v>
      </c>
      <c r="U215" t="str">
        <v>The toy was not successful, was only made during one year and is rare</v>
      </c>
      <c r="V215" t="str">
        <v>Made in US Zone Germany</v>
      </c>
      <c r="W215" t="str">
        <v>P2020047</v>
      </c>
      <c r="X215" t="str">
        <v>P2020048</v>
      </c>
      <c r="Y215" t="str">
        <v>P2020049</v>
      </c>
    </row>
    <row r="216">
      <c r="A216">
        <v>215</v>
      </c>
      <c r="B216" t="str">
        <v>Walking Monkey Cowboy with Two Guns</v>
      </c>
      <c r="C216">
        <v>694</v>
      </c>
      <c r="D216" t="str">
        <v>Animals</v>
      </c>
      <c r="E216" t="str">
        <v>Far West</v>
      </c>
      <c r="F216" t="str">
        <v>Monkey cowboy w/ two pistols and small red hat</v>
      </c>
      <c r="G216" t="str">
        <v>Clockwork</v>
      </c>
      <c r="H216" t="str">
        <v>Body balances laterally, arms raise and fall in turn and shoots, hat moves up and down</v>
      </c>
      <c r="I216" t="str">
        <v>Mostly tin</v>
      </c>
      <c r="J216" t="str">
        <v>9x7x16</v>
      </c>
      <c r="K216" t="str">
        <v>Yonezawa</v>
      </c>
      <c r="L216" t="str">
        <v>Excellent</v>
      </c>
      <c r="M216" t="str">
        <v>1965</v>
      </c>
      <c r="N216" t="str">
        <v>1969</v>
      </c>
      <c r="O216" t="str">
        <v>Excellent</v>
      </c>
      <c r="S216" t="str">
        <v>299 (2024) w/ box</v>
      </c>
      <c r="W216" t="str">
        <v>P2020045</v>
      </c>
      <c r="X216" t="str">
        <v>P2020046</v>
      </c>
    </row>
    <row r="217">
      <c r="A217">
        <v>216</v>
      </c>
      <c r="B217" t="str">
        <v>Banjoist</v>
      </c>
      <c r="D217" t="str">
        <v>People</v>
      </c>
      <c r="E217" t="str">
        <v>Far West</v>
      </c>
      <c r="F217" t="str">
        <v>Blond man w/ banjo</v>
      </c>
      <c r="G217" t="str">
        <v>Clockwork</v>
      </c>
      <c r="H217" t="str">
        <v>Body vibrates, head waves laterally, right arm "plays" banjo</v>
      </c>
      <c r="I217" t="str">
        <v>Tin</v>
      </c>
      <c r="J217" t="str">
        <v>5x5x13</v>
      </c>
      <c r="K217" t="str">
        <v>Linemar</v>
      </c>
      <c r="L217" t="str">
        <v>Very Good</v>
      </c>
      <c r="M217" t="str">
        <v>1956</v>
      </c>
      <c r="N217" t="str">
        <v>1960</v>
      </c>
      <c r="S217" t="str">
        <v>170 (2024)</v>
      </c>
      <c r="T217" t="str">
        <v>51 (50)</v>
      </c>
      <c r="U217" t="str">
        <v>The manufacturer's logo is mostly cut by the hole for the key; was made by TPS, but box has Linemar trademark; jap. Pat. No. 128040 (1957); scarcity 4/5</v>
      </c>
      <c r="W217" t="str">
        <v>P2020044</v>
      </c>
    </row>
    <row r="218">
      <c r="A218">
        <v>217</v>
      </c>
      <c r="B218" t="str">
        <v>Bullfighter and bull</v>
      </c>
      <c r="D218" t="str">
        <v>People</v>
      </c>
      <c r="E218" t="str">
        <v>Fairground</v>
      </c>
      <c r="F218" t="str">
        <v>Bullfighter and bull</v>
      </c>
      <c r="G218" t="str">
        <v>Clockwork</v>
      </c>
      <c r="H218" t="str">
        <v>They get quickly closer and apart and bend, so that bull lowers its head and bullfighter raises both arms</v>
      </c>
      <c r="I218" t="str">
        <v>Tin</v>
      </c>
      <c r="J218" t="str">
        <v>17x5x12</v>
      </c>
      <c r="L218" t="str">
        <v>Very Good</v>
      </c>
      <c r="M218" t="str">
        <v>1955</v>
      </c>
      <c r="N218" t="str">
        <v>1959</v>
      </c>
      <c r="P218">
        <v>170</v>
      </c>
      <c r="Q218" t="str">
        <v>June /2021</v>
      </c>
      <c r="R218" t="str">
        <v>Catawiki</v>
      </c>
      <c r="V218" t="str">
        <v>made in Japan</v>
      </c>
      <c r="W218" t="str">
        <v>P2020039</v>
      </c>
      <c r="X218" t="str">
        <v>P2020040</v>
      </c>
      <c r="Y218" t="str">
        <v>P2020043</v>
      </c>
    </row>
    <row r="219">
      <c r="A219">
        <v>218</v>
      </c>
      <c r="B219" t="str">
        <v>Bucking Horse</v>
      </c>
      <c r="C219">
        <v>30</v>
      </c>
      <c r="D219" t="str">
        <v>Animals</v>
      </c>
      <c r="E219" t="str">
        <v>Animals</v>
      </c>
      <c r="F219" t="str">
        <v>Small beije horse</v>
      </c>
      <c r="G219" t="str">
        <v>Clockwork</v>
      </c>
      <c r="H219" t="str">
        <v>Front legs oscilate forwards/backwards, causing the horse to jump</v>
      </c>
      <c r="I219" t="str">
        <v>Tin</v>
      </c>
      <c r="J219" t="str">
        <v>10x2.5x8</v>
      </c>
      <c r="K219" t="str">
        <v>Kohler</v>
      </c>
      <c r="L219" t="str">
        <v>Good</v>
      </c>
      <c r="M219" t="str">
        <v>1940</v>
      </c>
      <c r="N219" t="str">
        <v>1959</v>
      </c>
      <c r="T219" t="str">
        <v>46 (191) 108 (48)</v>
      </c>
      <c r="V219" t="str">
        <v>made in US Zone Germany</v>
      </c>
      <c r="W219" t="str">
        <v>P2020037</v>
      </c>
      <c r="X219" t="str">
        <v>P2020038</v>
      </c>
    </row>
    <row r="220">
      <c r="A220">
        <v>219</v>
      </c>
      <c r="B220" t="str">
        <v>Bucking Horse with Lasso Spinning Rider</v>
      </c>
      <c r="C220" t="str">
        <v>30D</v>
      </c>
      <c r="D220" t="str">
        <v>People</v>
      </c>
      <c r="E220" t="str">
        <v>Far West</v>
      </c>
      <c r="F220" t="str">
        <v>Cowboy on a small beje horse</v>
      </c>
      <c r="G220" t="str">
        <v>Clockwork</v>
      </c>
      <c r="H220" t="str">
        <v>Front legs oscilate forwards/backwards, causing the horse to jump</v>
      </c>
      <c r="I220" t="str">
        <v>Tin &amp; papier mache</v>
      </c>
      <c r="J220" t="str">
        <v>10x4x9</v>
      </c>
      <c r="K220" t="str">
        <v>Kohler</v>
      </c>
      <c r="L220" t="str">
        <v>Very Good</v>
      </c>
      <c r="M220" t="str">
        <v>1939</v>
      </c>
      <c r="N220" t="str">
        <v>1960</v>
      </c>
      <c r="O220" t="str">
        <v>Good</v>
      </c>
      <c r="S220" t="str">
        <v>170 (2024)</v>
      </c>
      <c r="T220" t="str">
        <v>22 (237) 46 (191)</v>
      </c>
      <c r="V220" t="str">
        <v>made in US Zone Germany</v>
      </c>
      <c r="W220" t="str">
        <v>P2020032</v>
      </c>
      <c r="X220" t="str">
        <v>P2020033</v>
      </c>
    </row>
    <row r="221">
      <c r="A221">
        <v>220</v>
      </c>
      <c r="B221" t="str">
        <v>Ridem Cowboy</v>
      </c>
      <c r="C221" t="str">
        <v xml:space="preserve">4-3632-1 </v>
      </c>
      <c r="D221" t="str">
        <v>People</v>
      </c>
      <c r="E221" t="str">
        <v>Far West</v>
      </c>
      <c r="F221" t="str">
        <v>Cowboy w/ lasso on a standing small brown horse</v>
      </c>
      <c r="G221" t="str">
        <v>Clockwork</v>
      </c>
      <c r="H221" t="str">
        <v>Horse tail and lasso rotate</v>
      </c>
      <c r="I221" t="str">
        <v>Tin</v>
      </c>
      <c r="J221" t="str">
        <v>6x3.5x16</v>
      </c>
      <c r="K221" t="str">
        <v>Modern Toys</v>
      </c>
      <c r="L221" t="str">
        <v>Very Good</v>
      </c>
      <c r="M221" t="str">
        <v>1945</v>
      </c>
      <c r="N221" t="str">
        <v>1954</v>
      </c>
      <c r="O221" t="str">
        <v>Poor "Bucking Broncho with Twirling Lariat"</v>
      </c>
      <c r="T221" t="str">
        <v>126 (79)</v>
      </c>
      <c r="U221" t="str">
        <v>P. patents: 16606, 2300</v>
      </c>
      <c r="V221" t="str">
        <v>made in Occupied Japan</v>
      </c>
      <c r="W221" t="str">
        <v>P2020034</v>
      </c>
      <c r="X221" t="str">
        <v>P2020035</v>
      </c>
    </row>
    <row r="222">
      <c r="A222">
        <v>221</v>
      </c>
      <c r="B222" t="str">
        <v>Lasso Spinning Cowboy</v>
      </c>
      <c r="C222">
        <v>946</v>
      </c>
      <c r="D222" t="str">
        <v>People</v>
      </c>
      <c r="E222" t="str">
        <v>Far West</v>
      </c>
      <c r="F222" t="str">
        <v>Horse and rider w/ lasso on a platform</v>
      </c>
      <c r="G222" t="str">
        <v>Clockwork</v>
      </c>
      <c r="H222" t="str">
        <v>Toy vibrates, lasso rotates</v>
      </c>
      <c r="I222" t="str">
        <v>Tin</v>
      </c>
      <c r="J222" t="str">
        <v>13x5x15</v>
      </c>
      <c r="K222" t="str">
        <v>Keim</v>
      </c>
      <c r="L222" t="str">
        <v>Very Good</v>
      </c>
      <c r="M222" t="str">
        <v>1935</v>
      </c>
      <c r="N222" t="str">
        <v>1960</v>
      </c>
      <c r="O222" t="str">
        <v>Good, but one flip missing</v>
      </c>
      <c r="T222" t="str">
        <v>22 (237) 46 (178)</v>
      </c>
      <c r="V222" t="str">
        <v>made in US Zone Germany</v>
      </c>
      <c r="W222" t="str">
        <v>P2020028</v>
      </c>
      <c r="X222" t="str">
        <v>P2020029</v>
      </c>
    </row>
    <row r="223">
      <c r="A223">
        <v>222</v>
      </c>
      <c r="B223" t="str">
        <v>Potro Salvaje</v>
      </c>
      <c r="C223">
        <v>673</v>
      </c>
      <c r="D223" t="str">
        <v>People</v>
      </c>
      <c r="E223" t="str">
        <v>Far West</v>
      </c>
      <c r="F223" t="str">
        <v>Plastic cowboy w/ lasso on a white plastic horse</v>
      </c>
      <c r="G223" t="str">
        <v>Clockwork</v>
      </c>
      <c r="H223" t="str">
        <v>Horse tail and lasso rotate</v>
      </c>
      <c r="I223" t="str">
        <v>Plastic</v>
      </c>
      <c r="J223" t="str">
        <v>14x11x19</v>
      </c>
      <c r="K223" t="str">
        <v>Paya</v>
      </c>
      <c r="L223" t="str">
        <v>Very Good</v>
      </c>
      <c r="M223" t="str">
        <v>1960</v>
      </c>
      <c r="N223" t="str">
        <v>1965</v>
      </c>
      <c r="R223" t="str">
        <v>Barcelona</v>
      </c>
      <c r="S223" t="str">
        <v>&gt;100 (2024) w/ box</v>
      </c>
      <c r="U223" t="str">
        <v>box has a second trademark: Rai; original price 68 ptas</v>
      </c>
      <c r="W223" t="str">
        <v>P2020030</v>
      </c>
      <c r="X223" t="str">
        <v>P2020031</v>
      </c>
    </row>
    <row r="224">
      <c r="A224">
        <v>223</v>
      </c>
      <c r="B224" t="str">
        <v>Cowboy with Whirling Lasso</v>
      </c>
      <c r="D224" t="str">
        <v>People</v>
      </c>
      <c r="E224" t="str">
        <v>Far West</v>
      </c>
      <c r="F224" t="str">
        <v xml:space="preserve">Standing cowboy w/ green trousers, green hat and lasso </v>
      </c>
      <c r="G224" t="str">
        <v>Clockwork</v>
      </c>
      <c r="H224" t="str">
        <v xml:space="preserve"> Vibrates while body waves laterally and rotates lasso</v>
      </c>
      <c r="I224" t="str">
        <v>Tin &amp; celuloid</v>
      </c>
      <c r="J224" t="str">
        <v>7x14x24</v>
      </c>
      <c r="K224" t="str">
        <v>Alps</v>
      </c>
      <c r="L224" t="str">
        <v>Good</v>
      </c>
      <c r="M224" t="str">
        <v>1955</v>
      </c>
      <c r="N224" t="str">
        <v>1960</v>
      </c>
      <c r="S224" t="str">
        <v>150 (2024) w/ box</v>
      </c>
      <c r="U224" t="str">
        <v xml:space="preserve"> most toys have problems with hats</v>
      </c>
      <c r="V224" t="str">
        <v>toy in very good condition, but pistol is not original and hat is sagging (and broke a flap)</v>
      </c>
      <c r="W224" t="str">
        <v>P2060208</v>
      </c>
      <c r="X224" t="str">
        <v>P2060209</v>
      </c>
    </row>
    <row r="225">
      <c r="A225">
        <v>224</v>
      </c>
      <c r="B225" t="str">
        <v>Sparking Arab Gentleman</v>
      </c>
      <c r="D225" t="str">
        <v>People</v>
      </c>
      <c r="E225" t="str">
        <v>Miscellaneous</v>
      </c>
      <c r="F225" t="str">
        <v>Torso and head of Arab gentleman w/ black coat</v>
      </c>
      <c r="G225" t="str">
        <v>Clockwork</v>
      </c>
      <c r="H225" t="str">
        <v>Upon pressing lever, sparks leave mouth</v>
      </c>
      <c r="I225" t="str">
        <v>Tin</v>
      </c>
      <c r="J225" t="str">
        <v>5x2x12</v>
      </c>
      <c r="K225" t="str">
        <v>Arnold</v>
      </c>
      <c r="L225" t="str">
        <v>Very Good</v>
      </c>
      <c r="M225" t="str">
        <v>1930</v>
      </c>
      <c r="N225" t="str">
        <v>1940</v>
      </c>
      <c r="T225" t="str">
        <v>66 (32)</v>
      </c>
      <c r="W225" t="str">
        <v>P2030067</v>
      </c>
    </row>
    <row r="226">
      <c r="A226">
        <v>225</v>
      </c>
      <c r="B226" t="str">
        <v>Twinkle Toes or The Ballet Dancer</v>
      </c>
      <c r="D226" t="str">
        <v>People</v>
      </c>
      <c r="E226" t="str">
        <v>Sports &amp; Leisure</v>
      </c>
      <c r="F226" t="str">
        <v>Ballerina w/ green dress standing on one foot</v>
      </c>
      <c r="G226" t="str">
        <v>Friction</v>
      </c>
      <c r="H226" t="str">
        <v>Upon pulling the toothed spinning rod and placing toy on floor, it will rotate</v>
      </c>
      <c r="I226" t="str">
        <v>Tin</v>
      </c>
      <c r="J226" t="str">
        <v>7x7x14</v>
      </c>
      <c r="K226" t="str">
        <v>Marx</v>
      </c>
      <c r="L226" t="str">
        <v>Excellent</v>
      </c>
      <c r="M226" t="str">
        <v xml:space="preserve">1930 </v>
      </c>
      <c r="N226" t="str">
        <v>1940</v>
      </c>
      <c r="R226" t="str">
        <v>New Orleans, USA</v>
      </c>
      <c r="S226" t="str">
        <v>260-300 (2024) on high range w/ box</v>
      </c>
      <c r="T226" t="str">
        <v>108 (40)</v>
      </c>
      <c r="U226" t="str">
        <v>there are several variants with different dresses; for this particular toy, two different boxes, one of each calls it "Twinkle Toes"; similar toys were made by Einfalt</v>
      </c>
      <c r="W226" t="str">
        <v>P2030074</v>
      </c>
      <c r="X226" t="str">
        <v>P2030075</v>
      </c>
    </row>
    <row r="227">
      <c r="A227">
        <v>226</v>
      </c>
      <c r="B227" t="str">
        <v>Fuchs mit Gans im Koffer</v>
      </c>
      <c r="C227">
        <v>969</v>
      </c>
      <c r="D227" t="str">
        <v>Animals</v>
      </c>
      <c r="E227" t="str">
        <v>Sports &amp; Leisure</v>
      </c>
      <c r="F227" t="str">
        <v>Fox w/ a cage containing a goose</v>
      </c>
      <c r="G227" t="str">
        <v>Clockwork</v>
      </c>
      <c r="H227" t="str">
        <v>Moves forward, goose waves neck and head</v>
      </c>
      <c r="I227" t="str">
        <v>Tin &amp; cloth</v>
      </c>
      <c r="J227" t="str">
        <v>10x7x13</v>
      </c>
      <c r="K227" t="str">
        <v>Schuco</v>
      </c>
      <c r="L227" t="str">
        <v>Excellent</v>
      </c>
      <c r="M227" t="str">
        <v>1960</v>
      </c>
      <c r="N227" t="str">
        <v>1968</v>
      </c>
      <c r="R227" t="str">
        <v>Gonçalo Rueda</v>
      </c>
      <c r="S227" t="str">
        <v>400-600 (2024)</v>
      </c>
      <c r="T227" t="str">
        <v xml:space="preserve">22 (225) 66 (390) 92(155) </v>
      </c>
      <c r="W227" t="str">
        <v>P2030068</v>
      </c>
      <c r="X227" t="str">
        <v>P2030069</v>
      </c>
      <c r="Y227" t="str">
        <v>P2030070</v>
      </c>
    </row>
    <row r="228">
      <c r="A228">
        <v>227</v>
      </c>
      <c r="B228" t="str">
        <v>Seppl mit Violine und Violinbogen</v>
      </c>
      <c r="C228" t="str">
        <v>982/2</v>
      </c>
      <c r="D228" t="str">
        <v>People</v>
      </c>
      <c r="E228" t="str">
        <v>Sports &amp; Leisure</v>
      </c>
      <c r="F228" t="str">
        <v>Tirolinien man dressed playing violin</v>
      </c>
      <c r="G228" t="str">
        <v>Clockwork</v>
      </c>
      <c r="H228" t="str">
        <v>Vibrates and rotates, right arm plays violin</v>
      </c>
      <c r="I228" t="str">
        <v>Tin &amp; cloth</v>
      </c>
      <c r="J228" t="str">
        <v>6x8x15</v>
      </c>
      <c r="K228" t="str">
        <v>Schuco</v>
      </c>
      <c r="L228" t="str">
        <v>Excellent</v>
      </c>
      <c r="M228" t="str">
        <v>1935</v>
      </c>
      <c r="N228" t="str">
        <v>1950</v>
      </c>
      <c r="T228" t="str">
        <v>66 (388) 92 (145)</v>
      </c>
      <c r="W228" t="str">
        <v>P2030072</v>
      </c>
      <c r="X228" t="str">
        <v>P2030073</v>
      </c>
    </row>
    <row r="229">
      <c r="A229">
        <v>228</v>
      </c>
      <c r="B229" t="str">
        <v>Li'L Abner and His Dogpatch Band</v>
      </c>
      <c r="D229" t="str">
        <v>People</v>
      </c>
      <c r="E229" t="str">
        <v>Sports &amp; Leisure</v>
      </c>
      <c r="F229" t="str">
        <v>Musical folk band of four, w/ piano</v>
      </c>
      <c r="G229" t="str">
        <v>Clockwork</v>
      </c>
      <c r="H229" t="str">
        <v>The guy standing dances, the girl playing piano waves her body, the guy sitted plays drums, the old lady moves arms</v>
      </c>
      <c r="I229" t="str">
        <v>Tin</v>
      </c>
      <c r="J229" t="str">
        <v>13x24x20</v>
      </c>
      <c r="K229" t="str">
        <v>Unique Art</v>
      </c>
      <c r="L229" t="str">
        <v>Very Good</v>
      </c>
      <c r="M229" t="str">
        <v>1945</v>
      </c>
      <c r="N229" t="str">
        <v>1950</v>
      </c>
      <c r="S229" t="str">
        <v>300-400 (2024)</v>
      </c>
      <c r="T229" t="str">
        <v>7 (90) 108 (54)</v>
      </c>
      <c r="U229" t="str">
        <v>" Copr. 1945"</v>
      </c>
      <c r="V229" t="str">
        <v>arms of the old lady are new</v>
      </c>
      <c r="W229" t="str">
        <v>P2030054</v>
      </c>
    </row>
    <row r="230">
      <c r="A230">
        <v>229</v>
      </c>
      <c r="B230" t="str">
        <v>Marx Merry Makers</v>
      </c>
      <c r="D230" t="str">
        <v>Animals</v>
      </c>
      <c r="E230" t="str">
        <v>Sports &amp; Leisure</v>
      </c>
      <c r="F230" t="str">
        <v>Mouse Band w/ four elements and a piano</v>
      </c>
      <c r="G230" t="str">
        <v>Clockwork</v>
      </c>
      <c r="H230" t="str">
        <v>The mouse standing dances, other playing piano waves its body, another plays drums, and a fourth violin</v>
      </c>
      <c r="I230" t="str">
        <v>Tin</v>
      </c>
      <c r="J230" t="str">
        <v>13x25x24</v>
      </c>
      <c r="K230" t="str">
        <v>Marx</v>
      </c>
      <c r="L230" t="str">
        <v>Very Good</v>
      </c>
      <c r="M230" t="str">
        <v>1931</v>
      </c>
      <c r="N230" t="str">
        <v>1935</v>
      </c>
      <c r="S230" t="str">
        <v>1200 (2024)</v>
      </c>
      <c r="T230" t="str">
        <v>50 (50) 101 (149) 108 (42) 113 (94)</v>
      </c>
      <c r="U230" t="str">
        <v xml:space="preserve">a variant has semi-circular scenario behind the violinist; another has the mouse sitted on the piano  waving a baton with its hands; original price $.98; our toy was made in England; pat. for the mechanism; for the brake: 1393936 (1921)1595702 (1924); </v>
      </c>
      <c r="V230" t="str">
        <v>one tin tap is broken</v>
      </c>
      <c r="W230" t="str">
        <v>P2030055</v>
      </c>
      <c r="X230" t="str">
        <v>P2030058</v>
      </c>
    </row>
    <row r="231">
      <c r="A231">
        <v>230</v>
      </c>
      <c r="B231" t="str">
        <v>Jazzbo-Jim The Dancer on the Roof</v>
      </c>
      <c r="D231" t="str">
        <v>People</v>
      </c>
      <c r="E231" t="str">
        <v>Sports &amp; Leisure</v>
      </c>
      <c r="F231" t="str">
        <v>Black man on top of a roof playing banjo</v>
      </c>
      <c r="G231" t="str">
        <v>Clockwork</v>
      </c>
      <c r="H231" t="str">
        <v>He jiggs, moving arms and legs</v>
      </c>
      <c r="I231" t="str">
        <v>Tin</v>
      </c>
      <c r="J231" t="str">
        <v>12x8x24</v>
      </c>
      <c r="K231" t="str">
        <v>Strauss</v>
      </c>
      <c r="L231" t="str">
        <v>Good</v>
      </c>
      <c r="M231" t="str">
        <v>1921</v>
      </c>
      <c r="N231" t="str">
        <v>1930</v>
      </c>
      <c r="S231" t="str">
        <v>1000-1300 (2024)</v>
      </c>
      <c r="U231" t="str">
        <v>"Jazzbo Jim" is a trademark, but the same name is used for a different toy from Unique Art (108 (35))</v>
      </c>
      <c r="V231" t="str">
        <v>some rust and discoloration</v>
      </c>
      <c r="W231" t="str">
        <v>P2030059</v>
      </c>
      <c r="X231" t="str">
        <v>P2030060</v>
      </c>
    </row>
    <row r="232">
      <c r="A232">
        <v>231</v>
      </c>
      <c r="B232" t="str">
        <v>Charlie McCarthy and his Benzine Buggy</v>
      </c>
      <c r="D232" t="str">
        <v>Cars</v>
      </c>
      <c r="E232" t="str">
        <v>Character</v>
      </c>
      <c r="F232" t="str">
        <v>Monocled figure dressed in black in a black crazy jeep</v>
      </c>
      <c r="G232" t="str">
        <v>Clockwork</v>
      </c>
      <c r="H232" t="str">
        <v>"crazy jeep": goes forward, reverse, spins,  stands on the two rear wheels, turns head</v>
      </c>
      <c r="I232" t="str">
        <v>Tin</v>
      </c>
      <c r="J232" t="str">
        <v>18x7x17</v>
      </c>
      <c r="K232" t="str">
        <v>Marx</v>
      </c>
      <c r="L232" t="str">
        <v>Excellent</v>
      </c>
      <c r="M232" t="str">
        <v>1938</v>
      </c>
      <c r="N232" t="str">
        <v>1950</v>
      </c>
      <c r="S232" t="str">
        <v>300-400 (2024)</v>
      </c>
      <c r="T232" t="str">
        <v>49 (117) 108 (49) 113 (95)</v>
      </c>
      <c r="U232" t="str">
        <v>based on the ventriloquist Edgar Bergen (friend of Marx); original price $.49; ; a variant has a red and white steering wheel</v>
      </c>
      <c r="W232" t="str">
        <v>P2030062</v>
      </c>
      <c r="X232" t="str">
        <v>P2030063</v>
      </c>
    </row>
    <row r="233">
      <c r="A233">
        <v>232</v>
      </c>
      <c r="B233" t="str">
        <v>Charlie McCarthy Walker or The McCarthy Strut</v>
      </c>
      <c r="D233" t="str">
        <v>People</v>
      </c>
      <c r="E233" t="str">
        <v>Character</v>
      </c>
      <c r="F233" t="str">
        <v xml:space="preserve">Standing monocled figure dressed in black </v>
      </c>
      <c r="G233" t="str">
        <v>Clockwork</v>
      </c>
      <c r="H233" t="str">
        <v>waddles with a swaying motion, opens and closes his mouth</v>
      </c>
      <c r="I233" t="str">
        <v>Tin</v>
      </c>
      <c r="J233" t="str">
        <v>6x7x21</v>
      </c>
      <c r="K233" t="str">
        <v>Marx</v>
      </c>
      <c r="L233" t="str">
        <v>Very Good</v>
      </c>
      <c r="M233" t="str">
        <v>1938</v>
      </c>
      <c r="N233" t="str">
        <v>1950</v>
      </c>
      <c r="P233">
        <v>319</v>
      </c>
      <c r="Q233" t="str">
        <v>Catawiki</v>
      </c>
      <c r="R233">
        <v>44531</v>
      </c>
      <c r="S233" t="str">
        <v>400-600 (2024)</v>
      </c>
      <c r="T233" t="str">
        <v>50 (99) 108 (49)</v>
      </c>
      <c r="U233" t="str">
        <v>based on the ventriloquist Edgar Bergen (friend of Marx); more difficult to find than "Charlie McCarthy and his Benzine Buggy"</v>
      </c>
      <c r="W233" t="str">
        <v>P2030065</v>
      </c>
      <c r="X233" t="str">
        <v>P2030066</v>
      </c>
    </row>
    <row r="234">
      <c r="A234">
        <v>233</v>
      </c>
      <c r="B234" t="str">
        <v>TUT TUT</v>
      </c>
      <c r="C234">
        <v>490</v>
      </c>
      <c r="D234" t="str">
        <v>Cars</v>
      </c>
      <c r="E234" t="str">
        <v>Travel &amp; Transport</v>
      </c>
      <c r="F234" t="str">
        <v>Gentleman blowing horn on an old white car</v>
      </c>
      <c r="G234" t="str">
        <v>Clockwork</v>
      </c>
      <c r="H234" t="str">
        <v>moves forward changing direction and rotating the steering wheel and moving right arm while making a warning sound</v>
      </c>
      <c r="I234" t="str">
        <v>Tin</v>
      </c>
      <c r="J234" t="str">
        <v>17x9x17</v>
      </c>
      <c r="K234" t="str">
        <v>Lehmann</v>
      </c>
      <c r="L234" t="str">
        <v>Very Good</v>
      </c>
      <c r="M234" t="str">
        <v>1903</v>
      </c>
      <c r="N234" t="str">
        <v>1935</v>
      </c>
      <c r="R234" t="str">
        <v>Gonçalo Rueda</v>
      </c>
      <c r="S234" t="str">
        <v>700-900 (2024)</v>
      </c>
      <c r="T234" t="str">
        <v>59 (108) 65 (242) 108 (25) 113 (75) 121 (81)</v>
      </c>
      <c r="U234" t="str">
        <v>pat USA May, 12 (1903); for the steering device: DRP 136312, Feb 22, 1902); US Pat 769802, Sept 13 (1904); in Prussia, June 15, 1901, police regulation determined that evrry motor vehicle must be equipped with a horn - this was the first toy auto with a horn;</v>
      </c>
      <c r="W234" t="str">
        <v>P2030076</v>
      </c>
      <c r="X234" t="str">
        <v>P2030077</v>
      </c>
    </row>
    <row r="235">
      <c r="A235">
        <v>234</v>
      </c>
      <c r="B235" t="str">
        <v>LI LA HAMSON CAB</v>
      </c>
      <c r="C235">
        <v>520</v>
      </c>
      <c r="D235" t="str">
        <v>Cars</v>
      </c>
      <c r="E235" t="str">
        <v>Travel &amp; Transport</v>
      </c>
      <c r="F235" t="str">
        <v xml:space="preserve">Old cab w/ two ladies and a driver </v>
      </c>
      <c r="G235" t="str">
        <v>Clockwork</v>
      </c>
      <c r="H235" t="str">
        <v>driver rides cahanging directions, while one lady knocks with umbrella the hatch on the roof, the other raises her arms, dog shakes head - apparently, they are frightened by the the driving and want to get out</v>
      </c>
      <c r="I235" t="str">
        <v>Tin</v>
      </c>
      <c r="J235" t="str">
        <v>13x8x14</v>
      </c>
      <c r="K235" t="str">
        <v>Lehmann</v>
      </c>
      <c r="L235" t="str">
        <v>Very Good</v>
      </c>
      <c r="M235" t="str">
        <v>1903</v>
      </c>
      <c r="N235" t="str">
        <v>1935</v>
      </c>
      <c r="P235">
        <v>1200</v>
      </c>
      <c r="Q235">
        <v>44713</v>
      </c>
      <c r="R235" t="str">
        <v>Gonçalo Rueda</v>
      </c>
      <c r="S235" t="str">
        <v>900-1500 (2024)</v>
      </c>
      <c r="T235" t="str">
        <v>59 (57) 65 (240) 108 (20)</v>
      </c>
      <c r="U235" t="str">
        <v>designed in 1889 on the model of hamson London cabs; LI and LA are diminutives for (Lieselotte and Laura), sisters of EPL; produced in various colours; pats. USA: May, 12 (1903) Jan 2 (1906) Jan, 22 (1907)</v>
      </c>
      <c r="W235" t="str">
        <v>P2030083</v>
      </c>
      <c r="X235" t="str">
        <v>P2030084</v>
      </c>
      <c r="Y235" t="str">
        <v>P2030086</v>
      </c>
    </row>
    <row r="236">
      <c r="A236">
        <v>235</v>
      </c>
      <c r="B236" t="str">
        <v>New Century Cycle</v>
      </c>
      <c r="C236">
        <v>345</v>
      </c>
      <c r="D236" t="str">
        <v>Cars</v>
      </c>
      <c r="E236" t="str">
        <v>Travel &amp; Transport</v>
      </c>
      <c r="F236" t="str">
        <v>Tricycle w/ gentleman and a black helper w/ umbrella</v>
      </c>
      <c r="G236" t="str">
        <v>Clockwork</v>
      </c>
      <c r="H236" t="str">
        <v>moves forward, while gentleman lifts his hat and helper turns umbrella</v>
      </c>
      <c r="I236" t="str">
        <v>Tin</v>
      </c>
      <c r="J236" t="str">
        <v>13x7x12</v>
      </c>
      <c r="K236" t="str">
        <v>Lehmann</v>
      </c>
      <c r="L236" t="str">
        <v>Very Good</v>
      </c>
      <c r="M236" t="str">
        <v>1895</v>
      </c>
      <c r="N236" t="str">
        <v>1938</v>
      </c>
      <c r="R236" t="str">
        <v>Catawiki</v>
      </c>
      <c r="S236" t="str">
        <v>400-800 (2024)</v>
      </c>
      <c r="T236" t="str">
        <v>59 (54) 65 (241) 108 (18)</v>
      </c>
      <c r="U236" t="str">
        <v>two versions, different umbrella: earlier birds and flowers, later (ours) stripes; based on a pedal taxi designed by Hermann Ganzwindt in 1895 for Berlin</v>
      </c>
      <c r="V236" t="str">
        <v>direction stick is new</v>
      </c>
      <c r="W236" t="str">
        <v>P2030088</v>
      </c>
      <c r="X236" t="str">
        <v>P2030091</v>
      </c>
    </row>
    <row r="237">
      <c r="A237">
        <v>236</v>
      </c>
      <c r="B237" t="str">
        <v>MASUYAMA</v>
      </c>
      <c r="C237">
        <v>773</v>
      </c>
      <c r="D237" t="str">
        <v>Carriages &amp; Cycles</v>
      </c>
      <c r="E237" t="str">
        <v>Travel &amp; Transport</v>
      </c>
      <c r="F237" t="str">
        <v>Coolie pulling rickshaw w/ lady w/ umbrella</v>
      </c>
      <c r="G237" t="str">
        <v>Clockwork</v>
      </c>
      <c r="H237" t="str">
        <v>collie walks (moves legs), carriage moves forward, lady waves head and fan, umbrella rotates</v>
      </c>
      <c r="I237" t="str">
        <v>Tin</v>
      </c>
      <c r="J237" t="str">
        <v>18x8x16</v>
      </c>
      <c r="K237" t="str">
        <v>Lehmann</v>
      </c>
      <c r="L237" t="str">
        <v>Excellent</v>
      </c>
      <c r="M237" t="str">
        <v>1927</v>
      </c>
      <c r="N237" t="str">
        <v>1938</v>
      </c>
      <c r="P237">
        <v>1850</v>
      </c>
      <c r="Q237">
        <v>44774</v>
      </c>
      <c r="R237" t="str">
        <v>Gonçalo Rueda</v>
      </c>
      <c r="S237" t="str">
        <v>1000-3000 (2024)</v>
      </c>
      <c r="T237" t="str">
        <v>59 (64) 65 (233) 108 (20)</v>
      </c>
      <c r="U237" t="str">
        <v>two versions, coolie with different hats (ours is the second); this type of vehicle - jinrikisha - was invented in 1889; toy designed by a japanese exchange student; in the 1920s Masuyama city was an intellectual pole; DRP Dec 2 (1911), USA pat Jan 25 (1927)</v>
      </c>
      <c r="W237" t="str">
        <v>P2030094</v>
      </c>
      <c r="X237" t="str">
        <v>P2030095</v>
      </c>
      <c r="Y237" t="str">
        <v>P2030096</v>
      </c>
    </row>
    <row r="238">
      <c r="A238">
        <v>237</v>
      </c>
      <c r="B238" t="str">
        <v>Paddy and the Pig</v>
      </c>
      <c r="C238">
        <v>500</v>
      </c>
      <c r="D238" t="str">
        <v>People</v>
      </c>
      <c r="E238" t="str">
        <v>Circus &amp; Clowns</v>
      </c>
      <c r="F238" t="str">
        <v>Man w/ green hat mounted on a pig w/ a red cover</v>
      </c>
      <c r="G238" t="str">
        <v>Clockwork</v>
      </c>
      <c r="H238" t="str">
        <v xml:space="preserve">moves in circles backwards and forwards, the pig tilts, causing Paddy  to move his trunk </v>
      </c>
      <c r="I238" t="str">
        <v>Tin</v>
      </c>
      <c r="J238" t="str">
        <v>14x6x14</v>
      </c>
      <c r="K238" t="str">
        <v>Lehmann</v>
      </c>
      <c r="L238" t="str">
        <v>Very Good</v>
      </c>
      <c r="M238" t="str">
        <v>1903</v>
      </c>
      <c r="N238" t="str">
        <v>1933</v>
      </c>
      <c r="O238">
        <v>800</v>
      </c>
      <c r="Q238" t="str">
        <v>Mars/2020</v>
      </c>
      <c r="R238" t="str">
        <v>Gonçalo Rueda</v>
      </c>
      <c r="S238" t="str">
        <v>&gt;1000 (2024)</v>
      </c>
      <c r="T238" t="str">
        <v>59 (139) 65 (231) 108 (18)</v>
      </c>
      <c r="U238" t="str">
        <v>Pats: USA May 12 (1903), April 25 (1905), Jan 22 (1907);  DRP Feb 15 145861 (1903) 147496; dancing on pigs was a popular circus atraction in 1900; there is na Irish expression: "as Irish as Paddy's pig"</v>
      </c>
      <c r="W238" t="str">
        <v>P2030098</v>
      </c>
      <c r="X238" t="str">
        <v>P2030099</v>
      </c>
      <c r="Y238" t="str">
        <v>P2030100</v>
      </c>
    </row>
    <row r="239">
      <c r="A239">
        <v>238</v>
      </c>
      <c r="B239" t="str">
        <v>ZIG-ZAG</v>
      </c>
      <c r="C239">
        <v>640</v>
      </c>
      <c r="D239" t="str">
        <v>Carriages &amp; Cycles</v>
      </c>
      <c r="E239" t="str">
        <v>Travel &amp; Transport</v>
      </c>
      <c r="F239" t="str">
        <v>Vehicle w/ two large wheels, driven by two men</v>
      </c>
      <c r="G239" t="str">
        <v>Clockwork</v>
      </c>
      <c r="H239" t="str">
        <v>random movement (according to Lehmann it never repeats a movement), white man turns the wheel, black man pulls lever</v>
      </c>
      <c r="I239" t="str">
        <v>Tin</v>
      </c>
      <c r="J239" t="str">
        <v>13x9x13</v>
      </c>
      <c r="K239" t="str">
        <v>Lehmann</v>
      </c>
      <c r="L239" t="str">
        <v>Very Good</v>
      </c>
      <c r="M239" t="str">
        <v>1910</v>
      </c>
      <c r="N239" t="str">
        <v>1945</v>
      </c>
      <c r="R239" t="str">
        <v>Catawiki</v>
      </c>
      <c r="S239" t="str">
        <v>800-1600 (2024)</v>
      </c>
      <c r="T239" t="str">
        <v>59 (106) 65 (239) 108 (123)</v>
      </c>
      <c r="U239" t="str">
        <v>the inspiration for this toy is not clear, but could be the Otto bicycle invented in 1882 (London); Daimler put a motor in 1885. Also, the reason for having one white and one black driver is unclear; USA pat: May, 12 (1903), Jan 2 (1906); DRP: Jan 22 (1907)</v>
      </c>
      <c r="W239" t="str">
        <v>P2030103</v>
      </c>
      <c r="X239" t="str">
        <v>P2030104</v>
      </c>
      <c r="Y239" t="str">
        <v>P2030108</v>
      </c>
    </row>
    <row r="240">
      <c r="A240">
        <v>239</v>
      </c>
      <c r="B240" t="str">
        <v>Open Sleigh</v>
      </c>
      <c r="C240">
        <v>3487</v>
      </c>
      <c r="D240" t="str">
        <v>Carriages &amp; Cycles</v>
      </c>
      <c r="E240" t="str">
        <v>Travel &amp; Transport</v>
      </c>
      <c r="F240" t="str">
        <v>Esquimo steering two dogs</v>
      </c>
      <c r="G240" t="str">
        <v>Battery</v>
      </c>
      <c r="H240" t="str">
        <v>mystery action, dogs jump, driver jumps on his seat, clink-clink sound, lantern lights</v>
      </c>
      <c r="I240" t="str">
        <v>Tin &amp; plastic</v>
      </c>
      <c r="J240" t="str">
        <v>38x10x17</v>
      </c>
      <c r="K240" t="str">
        <v>Modern Toys</v>
      </c>
      <c r="L240" t="str">
        <v>Excellent</v>
      </c>
      <c r="M240" t="str">
        <v>1967</v>
      </c>
      <c r="N240" t="str">
        <v>1969</v>
      </c>
      <c r="O240" t="str">
        <v>Very Good</v>
      </c>
      <c r="S240" t="str">
        <v>400-700 (2024) w/ box</v>
      </c>
      <c r="T240" t="str">
        <v>35 (130) 62 (128) 78 (176)</v>
      </c>
      <c r="U240" t="str">
        <v>Pat: 40-025291; desirability 5/6 scarcity 7-8/10</v>
      </c>
      <c r="W240" t="str">
        <v>P2040168</v>
      </c>
      <c r="X240" t="str">
        <v>P2040169</v>
      </c>
    </row>
    <row r="241" xml:space="preserve">
      <c r="A241">
        <v>240</v>
      </c>
      <c r="B241" t="str">
        <v>Le Petit Livreur</v>
      </c>
      <c r="C241">
        <v>224</v>
      </c>
      <c r="D241" t="str">
        <v>People</v>
      </c>
      <c r="E241" t="str">
        <v>Professions/Industrial</v>
      </c>
      <c r="F241" t="str">
        <v>Boy pulling a cart w/ a parcel</v>
      </c>
      <c r="G241" t="str">
        <v>Clockwork</v>
      </c>
      <c r="H241" t="str">
        <v>Boy pulls cart running, moving legs and waving body</v>
      </c>
      <c r="I241" t="str">
        <v>Tin &amp; cloth</v>
      </c>
      <c r="J241" t="str">
        <v>18x8x17</v>
      </c>
      <c r="K241" t="str">
        <v>Fernand Martin</v>
      </c>
      <c r="L241" t="str">
        <v>Good</v>
      </c>
      <c r="M241" t="str">
        <v>1911</v>
      </c>
      <c r="N241" t="str">
        <v>1912</v>
      </c>
      <c r="P241" t="str">
        <v>475</v>
      </c>
      <c r="Q241" t="str">
        <v>Apr/2019</v>
      </c>
      <c r="R241" t="str">
        <v>Feira Hotel Tuela</v>
      </c>
      <c r="S241" t="str">
        <v>700-1200 (2024)</v>
      </c>
      <c r="T241" t="str">
        <v>58 (126) 71 (140)</v>
      </c>
      <c r="U241" t="str" xml:space="preserve">
        <v xml:space="preserve">not very visible, the front of the cart reads "F.M." on the left, and his triangular trademark on the right; F.M. filed this toy in 1911, but M. Lévi filed a complaint in court, as he was the owner of the patent, which he had bought from M. Boucheron; because of this, this toy was removed from some shops, and was also made by Lévi until 1913; the toy was produced by Fernand Martin, Georges Flersheim and Victor Bonnet. Fernand Martin made the first model with spoke wheels and a head with “look a like”_x000d_
real hair in 1911; the second model is from Georges Flersheim and features the Flersheim key, another label, painted hair and the closed wheels._x000d_
This model was made from 1912 (our toy); the third model by Victor Bonnet is similar to the Flersheim model but has a different “Bonnet” key and was produced from 1919 until 1933. There is a fourth and rarest model, produced in 1911/12 with a higher suitcase/trunk that could be opened</v>
      </c>
      <c r="W241" t="str">
        <v>P2040109</v>
      </c>
      <c r="X241" t="str">
        <v>P2040110</v>
      </c>
      <c r="Y241" t="str">
        <v>P2040111</v>
      </c>
    </row>
    <row r="242">
      <c r="A242">
        <v>241</v>
      </c>
      <c r="B242" t="str">
        <v>Traveller</v>
      </c>
      <c r="D242" t="str">
        <v>People</v>
      </c>
      <c r="E242" t="str">
        <v>Travel &amp; Transport</v>
      </c>
      <c r="F242" t="str">
        <v>Gentleman w/ red hat and two suicases</v>
      </c>
      <c r="G242" t="str">
        <v>Clockwork</v>
      </c>
      <c r="H242" t="str">
        <v>Moves forward by moving his legs</v>
      </c>
      <c r="I242" t="str">
        <v>Tin</v>
      </c>
      <c r="J242" t="str">
        <v>9x8x18</v>
      </c>
      <c r="K242" t="str">
        <v>Distler</v>
      </c>
      <c r="L242" t="str">
        <v>Very Good</v>
      </c>
      <c r="M242" t="str">
        <v>1920</v>
      </c>
      <c r="N242" t="str">
        <v>1929</v>
      </c>
      <c r="R242" t="str">
        <v>Gonçalo Rueda</v>
      </c>
      <c r="T242" t="str">
        <v>41 (70)</v>
      </c>
      <c r="W242" t="str">
        <v>P2040115</v>
      </c>
      <c r="X242" t="str">
        <v>P2040116</v>
      </c>
    </row>
    <row r="243">
      <c r="A243">
        <v>242</v>
      </c>
      <c r="B243" t="str">
        <v>Joe Penner and his Duck Goo Goo</v>
      </c>
      <c r="D243" t="str">
        <v>People</v>
      </c>
      <c r="E243" t="str">
        <v>Character</v>
      </c>
      <c r="F243" t="str">
        <v>Man w/ cigar, holding one duck and a basket w/ 3 ducklings</v>
      </c>
      <c r="G243" t="str">
        <v>Clockwork</v>
      </c>
      <c r="H243" t="str">
        <v>Moves forward by moving his legs .- a hat was supposed to tilt up and down</v>
      </c>
      <c r="I243" t="str">
        <v>Tin</v>
      </c>
      <c r="J243" t="str">
        <v>11x11x20</v>
      </c>
      <c r="K243" t="str">
        <v>Marx</v>
      </c>
      <c r="L243" t="str">
        <v>Good</v>
      </c>
      <c r="M243">
        <v>1934</v>
      </c>
      <c r="N243">
        <v>1940</v>
      </c>
      <c r="S243" t="str">
        <v>250-600 (2024)</v>
      </c>
      <c r="T243" t="str">
        <v>50 (100)</v>
      </c>
      <c r="U243" t="str">
        <v>Original cost: $4.15/12; Joe Penner (1904 – 1941) was an American vaudeville, radio, and film comedian, noted for his famed catchphrase, “Wanna buy a duck?” which is printed in the basket.</v>
      </c>
      <c r="V243" t="str">
        <v>Cigar is new, hat is missing</v>
      </c>
      <c r="W243" t="str">
        <v>P2040118</v>
      </c>
      <c r="X243" t="str">
        <v>P2040119</v>
      </c>
    </row>
    <row r="244">
      <c r="A244">
        <v>243</v>
      </c>
      <c r="B244" t="str">
        <v>Bedouin on Camel or Camel Rider</v>
      </c>
      <c r="C244">
        <v>901</v>
      </c>
      <c r="D244" t="str">
        <v>People</v>
      </c>
      <c r="E244" t="str">
        <v>Travel &amp; Transport</v>
      </c>
      <c r="F244" t="str">
        <v>Arab on Camel</v>
      </c>
      <c r="G244" t="str">
        <v>Clockwork</v>
      </c>
      <c r="H244" t="str">
        <v>Camel walks on the 4 legs</v>
      </c>
      <c r="I244" t="str">
        <v>Tin</v>
      </c>
      <c r="J244" t="str">
        <v>14x4x15</v>
      </c>
      <c r="K244" t="str">
        <v>Keim</v>
      </c>
      <c r="L244" t="str">
        <v>Very Good</v>
      </c>
      <c r="M244">
        <v>1949</v>
      </c>
      <c r="N244">
        <v>1960</v>
      </c>
      <c r="P244">
        <v>208</v>
      </c>
      <c r="Q244">
        <v>44531</v>
      </c>
      <c r="R244" t="str">
        <v>Catawiki</v>
      </c>
      <c r="S244" t="str">
        <v>&gt; 400</v>
      </c>
      <c r="T244" t="str">
        <v>22 (281) 46 (178) 66 (200)</v>
      </c>
      <c r="V244" t="str">
        <v>Made in US Zone Germany</v>
      </c>
      <c r="W244" t="str">
        <v>P2040121</v>
      </c>
      <c r="X244" t="str">
        <v>P2040123</v>
      </c>
    </row>
    <row r="245">
      <c r="A245">
        <v>244</v>
      </c>
      <c r="B245" t="str">
        <v>Paddy's Pride</v>
      </c>
      <c r="C245">
        <v>130</v>
      </c>
      <c r="D245" t="str">
        <v>People</v>
      </c>
      <c r="E245" t="str">
        <v>Professions/Industrial</v>
      </c>
      <c r="F245" t="str">
        <v>Man on a carriage pulled by a pig</v>
      </c>
      <c r="G245" t="str">
        <v>Clockwork</v>
      </c>
      <c r="H245" t="str">
        <v>Wheels move forward, man raises arms and pulls the pig's ears</v>
      </c>
      <c r="I245" t="str">
        <v>Tin</v>
      </c>
      <c r="J245" t="str">
        <v>20x9x11</v>
      </c>
      <c r="K245" t="str">
        <v>Stock</v>
      </c>
      <c r="L245" t="str">
        <v>Excellent</v>
      </c>
      <c r="M245">
        <v>1912</v>
      </c>
      <c r="N245">
        <v>1932</v>
      </c>
      <c r="T245" t="str">
        <v>66 (423) 94 (105) 108 (37)</v>
      </c>
      <c r="U245" t="str">
        <v>Original price 0.65-0.70 DM; there is debate about the inspiration for the toy; the original version had spiked wheels, towards the end, litographed wheels (our toy). According to book 72 (83), a former employee continued the production of this toys until the 70s, after the company closed</v>
      </c>
      <c r="W245" t="str">
        <v>P2040142</v>
      </c>
      <c r="X245" t="str">
        <v>P2040145</v>
      </c>
    </row>
    <row r="246">
      <c r="A246">
        <v>245</v>
      </c>
      <c r="B246" t="str">
        <v>Tricycle with Driver</v>
      </c>
      <c r="D246" t="str">
        <v>People</v>
      </c>
      <c r="E246" t="str">
        <v>Professions/Industrial</v>
      </c>
      <c r="F246" t="str">
        <v>Boy w/ yellow jacket riding a tricycle for carrying merchandise</v>
      </c>
      <c r="G246" t="str">
        <v>Friction</v>
      </c>
      <c r="H246" t="str">
        <v>pedals tricycle, neck grows ansd shortens</v>
      </c>
      <c r="I246" t="str">
        <v>Tin</v>
      </c>
      <c r="J246" t="str">
        <v>14x8x12</v>
      </c>
      <c r="K246" t="str">
        <v>Distler</v>
      </c>
      <c r="L246" t="str">
        <v>Excellent</v>
      </c>
      <c r="M246">
        <v>1956</v>
      </c>
      <c r="N246">
        <v>1962</v>
      </c>
      <c r="T246" t="str">
        <v>41 (175) 66 (111)</v>
      </c>
      <c r="U246" t="str">
        <v>various colours, some photos show it carrying two bags</v>
      </c>
      <c r="W246" t="str">
        <v>P2040125</v>
      </c>
      <c r="X246" t="str">
        <v>P2040126</v>
      </c>
    </row>
    <row r="247">
      <c r="A247">
        <v>246</v>
      </c>
      <c r="B247" t="str">
        <v>Oscar</v>
      </c>
      <c r="D247" t="str">
        <v>People</v>
      </c>
      <c r="E247" t="str">
        <v>Professions/Industrial</v>
      </c>
      <c r="F247" t="str">
        <v>Black boy w/ green jacket riding a tricycle with parcels</v>
      </c>
      <c r="G247" t="str">
        <v>Friction</v>
      </c>
      <c r="H247" t="str">
        <v>pedals tricycle, neck grows ansd shortens</v>
      </c>
      <c r="I247" t="str">
        <v>Tin</v>
      </c>
      <c r="J247" t="str">
        <v>15x6x12</v>
      </c>
      <c r="K247" t="str">
        <v>Mont-Blanc</v>
      </c>
      <c r="L247" t="str">
        <v>Very Good</v>
      </c>
      <c r="M247">
        <v>1955</v>
      </c>
      <c r="N247">
        <v>1965</v>
      </c>
      <c r="S247" t="str">
        <v>170-300 (2024)</v>
      </c>
      <c r="U247" t="str">
        <v>cart says ""Livraisons Oscar, jamais en retard" and "Klaxoner,…Oscar vous laissera passer"; variant "Punch" has white rider</v>
      </c>
      <c r="W247" t="str">
        <v>P2040127</v>
      </c>
      <c r="X247" t="str">
        <v>P2040129</v>
      </c>
    </row>
    <row r="248">
      <c r="A248">
        <v>247</v>
      </c>
      <c r="B248" t="str">
        <v>Express-Boy</v>
      </c>
      <c r="C248" t="str">
        <v>57-1</v>
      </c>
      <c r="D248" t="str">
        <v>People</v>
      </c>
      <c r="E248" t="str">
        <v>Professions/Industrial</v>
      </c>
      <c r="F248" t="str">
        <v>Porter pushing a brown suitcase</v>
      </c>
      <c r="G248" t="str">
        <v>Clockwork</v>
      </c>
      <c r="H248" t="str">
        <v>boy runs, then jumps to the top of the suitcase and rides it; this achived by two levers hitting the legs, and other two linked to the arms</v>
      </c>
      <c r="I248" t="str">
        <v>Tin &amp; papier mache</v>
      </c>
      <c r="J248" t="str">
        <v>9x4x7</v>
      </c>
      <c r="K248" t="str">
        <v>Gescha</v>
      </c>
      <c r="L248" t="str">
        <v>Very Good</v>
      </c>
      <c r="M248">
        <v>1938</v>
      </c>
      <c r="N248">
        <v>1960</v>
      </c>
      <c r="T248" t="str">
        <v>22 (235) 46 (116) 66 (376)</v>
      </c>
      <c r="U248" t="str">
        <v>two variants: handle of the bag flexible and litographed (we have this)</v>
      </c>
      <c r="V248" t="str">
        <v>we have a second toy with a red porter (poorer conditionn)</v>
      </c>
      <c r="W248" t="str">
        <v>P2040149</v>
      </c>
      <c r="X248" t="str">
        <v>P2040150</v>
      </c>
      <c r="Y248" t="str">
        <v>P2040151</v>
      </c>
      <c r="Z248" t="str">
        <v>P2060233</v>
      </c>
    </row>
    <row r="249">
      <c r="A249">
        <v>248</v>
      </c>
      <c r="B249" t="str">
        <v>Traveller with Suitcase</v>
      </c>
      <c r="C249">
        <v>271</v>
      </c>
      <c r="D249" t="str">
        <v>People</v>
      </c>
      <c r="E249" t="str">
        <v>Travel &amp; Transport</v>
      </c>
      <c r="F249" t="str">
        <v>Boy in red overcoat w/ suitcase</v>
      </c>
      <c r="G249" t="str">
        <v>Clockwork</v>
      </c>
      <c r="H249" t="str">
        <v>Moves higs legs while moves forward</v>
      </c>
      <c r="I249" t="str">
        <v>Tin</v>
      </c>
      <c r="J249" t="str">
        <v>7x8x12</v>
      </c>
      <c r="K249" t="str">
        <v>Bell</v>
      </c>
      <c r="L249" t="str">
        <v>Very Good</v>
      </c>
      <c r="M249">
        <v>1950</v>
      </c>
      <c r="N249">
        <v>1955</v>
      </c>
      <c r="S249" t="str">
        <v>150-200 (2023)</v>
      </c>
      <c r="W249" t="str">
        <v>P2040152</v>
      </c>
      <c r="X249" t="str">
        <v>P2040153</v>
      </c>
      <c r="Y249" t="str">
        <v>P2040154</v>
      </c>
    </row>
    <row r="250">
      <c r="A250">
        <v>249</v>
      </c>
      <c r="B250" t="str">
        <v>NU-NU</v>
      </c>
      <c r="C250">
        <v>733</v>
      </c>
      <c r="D250" t="str">
        <v>People</v>
      </c>
      <c r="E250" t="str">
        <v>Professions/Industrial</v>
      </c>
      <c r="F250" t="str">
        <v>Chinese pulling a Tea Chest</v>
      </c>
      <c r="G250" t="str">
        <v>Clockwork</v>
      </c>
      <c r="H250" t="str">
        <v>Moves legs to advance</v>
      </c>
      <c r="I250" t="str">
        <v>Tin</v>
      </c>
      <c r="J250" t="str">
        <v>12x5x14</v>
      </c>
      <c r="K250" t="str">
        <v>Lehmann</v>
      </c>
      <c r="L250" t="str">
        <v>Reasonable</v>
      </c>
      <c r="M250">
        <v>1924</v>
      </c>
      <c r="N250">
        <v>1938</v>
      </c>
      <c r="S250" t="str">
        <v>400-700 (2024)</v>
      </c>
      <c r="T250" t="str">
        <v>59 (68)</v>
      </c>
      <c r="U250" t="str">
        <v>Variant of "Kadi", which has 2 chinese; DRP: May 12 (1903), Jan 22 (1907); USA pat Dec 2 (1903); initial version with string pull</v>
      </c>
      <c r="W250" t="str">
        <v>P2040130</v>
      </c>
      <c r="X250" t="str">
        <v>P2040131</v>
      </c>
      <c r="Y250" t="str">
        <v>P2040132</v>
      </c>
    </row>
    <row r="251">
      <c r="A251">
        <v>250</v>
      </c>
      <c r="B251" t="str">
        <v>Coolie with Cart</v>
      </c>
      <c r="C251">
        <v>551</v>
      </c>
      <c r="D251" t="str">
        <v>People</v>
      </c>
      <c r="E251" t="str">
        <v>Professions/Industrial</v>
      </c>
      <c r="F251" t="str">
        <v>Coolie pulling a cart w/ an hidden boy</v>
      </c>
      <c r="G251" t="str">
        <v>Clockwork</v>
      </c>
      <c r="H251" t="str">
        <v>Coolie moves legs, pulling the cart; a boy appears in the cart and tries to pull the coolie's braid</v>
      </c>
      <c r="I251" t="str">
        <v>Tin</v>
      </c>
      <c r="J251" t="str">
        <v>15x9x12</v>
      </c>
      <c r="K251" t="str">
        <v>Gundka-Werk</v>
      </c>
      <c r="L251" t="str">
        <v>Excellent</v>
      </c>
      <c r="M251">
        <v>1925</v>
      </c>
      <c r="N251">
        <v>1929</v>
      </c>
      <c r="R251" t="str">
        <v>Gonçalo Rueda</v>
      </c>
      <c r="S251" t="str">
        <v>1000-1500 (2024)</v>
      </c>
      <c r="T251" t="str">
        <v>66 (459)</v>
      </c>
      <c r="U251" t="str">
        <v>Wheels can have a different litography</v>
      </c>
      <c r="W251" t="str">
        <v>P2040135</v>
      </c>
      <c r="X251" t="str">
        <v>P2040136</v>
      </c>
      <c r="Y251" t="str">
        <v>P2040137</v>
      </c>
    </row>
    <row r="252">
      <c r="A252">
        <v>251</v>
      </c>
      <c r="B252" t="str">
        <v>The Walking Trolleyman</v>
      </c>
      <c r="C252">
        <v>185</v>
      </c>
      <c r="D252" t="str">
        <v>People</v>
      </c>
      <c r="E252" t="str">
        <v>Professions/Industrial</v>
      </c>
      <c r="F252" t="str">
        <v>Man pulling a cart with a suitcase</v>
      </c>
      <c r="G252" t="str">
        <v>Clockwork</v>
      </c>
      <c r="H252" t="str">
        <v>Man moves legs, suitcase can be opened</v>
      </c>
      <c r="I252" t="str">
        <v>Tin</v>
      </c>
      <c r="J252" t="str">
        <v>17x7x15</v>
      </c>
      <c r="K252" t="str">
        <v>Stock</v>
      </c>
      <c r="L252" t="str">
        <v>Excellent</v>
      </c>
      <c r="M252">
        <v>1917</v>
      </c>
      <c r="N252">
        <v>1929</v>
      </c>
      <c r="S252" t="str">
        <v>&gt;250 (2023)</v>
      </c>
      <c r="T252" t="str">
        <v>66 (423) 94 (146)</v>
      </c>
      <c r="U252" t="str">
        <v>We have the second version (c.1925), when each arm and half the upper body were made of one piece and the coat became green instead of blue; original price: 70 Pf; there are simpler versions without box and litographed spikes;K this was the last toy launched by Stock before WW1</v>
      </c>
      <c r="V252" t="str">
        <v>Typical porter of a railway station</v>
      </c>
      <c r="W252" t="str">
        <v>P2040139</v>
      </c>
      <c r="X252" t="str">
        <v>P2040141</v>
      </c>
    </row>
    <row r="253">
      <c r="A253">
        <v>252</v>
      </c>
      <c r="B253" t="str">
        <v>Man with Suitcase</v>
      </c>
      <c r="C253">
        <v>3026</v>
      </c>
      <c r="D253" t="str">
        <v>People</v>
      </c>
      <c r="E253" t="str">
        <v>Travel &amp; Transport</v>
      </c>
      <c r="F253" t="str">
        <v>Gentleman in yellow overcoat with suitcase</v>
      </c>
      <c r="G253" t="str">
        <v>Clockwork</v>
      </c>
      <c r="H253" t="str">
        <v>Feet rotate giving seeming to walk and man moves forward waiving foward and backwards his left arm; if he hits an obstacle is supposed to change direction and contour it</v>
      </c>
      <c r="I253" t="str">
        <v>Tin</v>
      </c>
      <c r="J253" t="str">
        <v>6,5x5x11</v>
      </c>
      <c r="K253" t="str">
        <v>Voit</v>
      </c>
      <c r="L253" t="str">
        <v>Excellent</v>
      </c>
      <c r="M253">
        <v>1952</v>
      </c>
      <c r="N253">
        <v>1960</v>
      </c>
      <c r="O253" t="str">
        <v>Very Good</v>
      </c>
      <c r="P253">
        <v>400</v>
      </c>
      <c r="Q253">
        <v>44166</v>
      </c>
      <c r="R253" t="str">
        <v>Gonçalo Rueda</v>
      </c>
      <c r="S253" t="str">
        <v>500-800 (2024) w/ box</v>
      </c>
      <c r="T253" t="str">
        <v>22 (225) 46 (273) 66 (467)</v>
      </c>
      <c r="U253" t="str">
        <v>DGM 1694357 (1952)</v>
      </c>
      <c r="W253" t="str">
        <v>P2040155</v>
      </c>
      <c r="X253" t="str">
        <v>P2040156</v>
      </c>
      <c r="Y253" t="str">
        <v>P2040157</v>
      </c>
    </row>
    <row r="254">
      <c r="A254">
        <v>253</v>
      </c>
      <c r="B254" t="str">
        <v>Transport Worker</v>
      </c>
      <c r="C254">
        <v>13</v>
      </c>
      <c r="D254" t="str">
        <v>People</v>
      </c>
      <c r="E254" t="str">
        <v>Professions/Industrial</v>
      </c>
      <c r="F254" t="str">
        <v>Worker rolling a wooden crate</v>
      </c>
      <c r="G254" t="str">
        <v>Clockwork</v>
      </c>
      <c r="H254" t="str">
        <v>The mechanism is in the box, which rotates; the man has his arms on the box, seemingly rotating it</v>
      </c>
      <c r="I254" t="str">
        <v xml:space="preserve">Tin </v>
      </c>
      <c r="J254" t="str">
        <v>12x5x11</v>
      </c>
      <c r="K254" t="str">
        <v>WUCO</v>
      </c>
      <c r="L254" t="str">
        <v>Excellent</v>
      </c>
      <c r="M254">
        <v>1954</v>
      </c>
      <c r="N254">
        <v>1962</v>
      </c>
      <c r="T254" t="str">
        <v>22 (231) 46 (282) 66 (474)</v>
      </c>
      <c r="W254" t="str">
        <v>P2040158</v>
      </c>
      <c r="X254" t="str">
        <v>P2040159</v>
      </c>
      <c r="Y254" t="str">
        <v>P2040160</v>
      </c>
      <c r="Z254" t="str">
        <v>P2040167</v>
      </c>
    </row>
    <row r="255">
      <c r="A255">
        <v>254</v>
      </c>
      <c r="B255" t="str">
        <v>Goofy Trimardeur</v>
      </c>
      <c r="D255" t="str">
        <v>Animals</v>
      </c>
      <c r="E255" t="str">
        <v>Professions/Industrial</v>
      </c>
      <c r="F255" t="str">
        <v>Goofy rolling a wooden crate</v>
      </c>
      <c r="G255" t="str">
        <v>Clockwork</v>
      </c>
      <c r="H255" t="str">
        <v>The mechanism is in the box, which rotates; Goofy has his arms on the box, seemingly rotating it</v>
      </c>
      <c r="I255" t="str">
        <v>Tin &amp; plastic</v>
      </c>
      <c r="J255" t="str">
        <v>12x5x12</v>
      </c>
      <c r="K255" t="str">
        <v>Bindschedler Imprimeto</v>
      </c>
      <c r="L255" t="str">
        <v>Very Good</v>
      </c>
      <c r="M255">
        <v>1960</v>
      </c>
      <c r="N255">
        <v>1965</v>
      </c>
      <c r="S255" t="str">
        <v>110 (2024)</v>
      </c>
      <c r="U255" t="str">
        <v>This toy is almost a copy of the Wuco (no. 255); the difference is the head - here Goofy, and the litography</v>
      </c>
      <c r="W255" t="str">
        <v>P2040162</v>
      </c>
      <c r="X255" t="str">
        <v>P2040163</v>
      </c>
      <c r="Y255" t="str">
        <v>P2040167</v>
      </c>
    </row>
    <row r="256">
      <c r="A256">
        <v>255</v>
      </c>
      <c r="B256" t="str">
        <v>Baggage Porter</v>
      </c>
      <c r="D256" t="str">
        <v>People</v>
      </c>
      <c r="E256" t="str">
        <v>Professions/Industrial</v>
      </c>
      <c r="F256" t="str">
        <v>Porter on a baggage car, signaling with his left arm</v>
      </c>
      <c r="G256" t="str">
        <v>Clockwork</v>
      </c>
      <c r="H256" t="str">
        <v>Moves forward, then turns left, the porter raising his left arm (it turns left because a small wheel staggared 45º lowers to the floor; suitcase can be opened</v>
      </c>
      <c r="I256" t="str">
        <v>Tin</v>
      </c>
      <c r="J256" t="str">
        <v>11x6x10</v>
      </c>
      <c r="L256" t="str">
        <v>Excellent</v>
      </c>
      <c r="M256">
        <v>1950</v>
      </c>
      <c r="N256">
        <v>1960</v>
      </c>
      <c r="U256" t="str">
        <v>DRGM</v>
      </c>
      <c r="V256" t="str">
        <v>made in Germany</v>
      </c>
      <c r="W256" t="str">
        <v>P2040170</v>
      </c>
      <c r="X256" t="str">
        <v>P2040171</v>
      </c>
      <c r="Y256" t="str">
        <v>P2040172</v>
      </c>
    </row>
    <row r="257">
      <c r="A257">
        <v>256</v>
      </c>
      <c r="B257" t="str">
        <v>Mighty Hunter or Big Game Hunter</v>
      </c>
      <c r="C257">
        <v>308</v>
      </c>
      <c r="D257" t="str">
        <v>People</v>
      </c>
      <c r="E257" t="str">
        <v>Sports &amp; Leisure</v>
      </c>
      <c r="F257" t="str">
        <v>Hunter holding a rifle facing targets</v>
      </c>
      <c r="G257" t="str">
        <v>Other</v>
      </c>
      <c r="H257" t="str">
        <v>Ewhen pressing a lever, huinter raises  rifle, a shot is heard, and the target raised falls</v>
      </c>
      <c r="I257" t="str">
        <v>Tin</v>
      </c>
      <c r="J257" t="str">
        <v>21x5.5x12</v>
      </c>
      <c r="K257" t="str">
        <v>Kellermann</v>
      </c>
      <c r="L257" t="str">
        <v>Very Good</v>
      </c>
      <c r="M257">
        <v>1926</v>
      </c>
      <c r="N257">
        <v>1930</v>
      </c>
      <c r="T257" t="str">
        <v>75 (50)</v>
      </c>
      <c r="W257" t="str">
        <v>P2050182</v>
      </c>
    </row>
    <row r="258">
      <c r="A258">
        <v>257</v>
      </c>
      <c r="B258" t="str">
        <v>Happy Grand'Pa with Ringing Bell</v>
      </c>
      <c r="D258" t="str">
        <v>People</v>
      </c>
      <c r="E258" t="str">
        <v>Sports &amp; Leisure</v>
      </c>
      <c r="F258" t="str">
        <v>Old man reading near a house and 2 chicken</v>
      </c>
      <c r="G258" t="str">
        <v>Clockwork</v>
      </c>
      <c r="H258" t="str">
        <v>Parasol rotaes, man waves back and forward, chickens vibrtae</v>
      </c>
      <c r="I258" t="str">
        <v>Tin</v>
      </c>
      <c r="J258" t="str">
        <v>10x11x11</v>
      </c>
      <c r="K258" t="str">
        <v>Yoneya</v>
      </c>
      <c r="L258" t="str">
        <v>Excellent</v>
      </c>
      <c r="M258">
        <v>1965</v>
      </c>
      <c r="N258">
        <v>1969</v>
      </c>
      <c r="O258" t="str">
        <v>Very Good</v>
      </c>
      <c r="S258" t="str">
        <v>&gt;100 (2024)</v>
      </c>
      <c r="W258" t="str">
        <v>P2050180</v>
      </c>
      <c r="X258" t="str">
        <v>P2050181</v>
      </c>
    </row>
    <row r="259">
      <c r="A259">
        <v>258</v>
      </c>
      <c r="B259" t="str">
        <v>Sam the City Gardener</v>
      </c>
      <c r="D259" t="str">
        <v>People</v>
      </c>
      <c r="E259" t="str">
        <v>Professions/Industrial</v>
      </c>
      <c r="F259" t="str">
        <v>Gentleman in white suit pushing a garden cart</v>
      </c>
      <c r="G259" t="str">
        <v>Clockwork</v>
      </c>
      <c r="H259" t="str">
        <v>Cart advances, gardener moves his legs</v>
      </c>
      <c r="I259" t="str">
        <v>Tin &amp; plastic</v>
      </c>
      <c r="J259" t="str">
        <v>21x11x20</v>
      </c>
      <c r="K259" t="str">
        <v>Marx</v>
      </c>
      <c r="L259" t="str">
        <v>Excellent</v>
      </c>
      <c r="M259">
        <v>1955</v>
      </c>
      <c r="N259">
        <v>1959</v>
      </c>
      <c r="O259" t="str">
        <v>Very Good</v>
      </c>
      <c r="S259" t="str">
        <v>200-250 (2024) w/ box</v>
      </c>
      <c r="U259" t="str">
        <v>Made in England; toys made in the USA have a different box and also came with 7 plastic tools</v>
      </c>
      <c r="W259" t="str">
        <v>P2050177</v>
      </c>
      <c r="X259" t="str">
        <v>P2050178</v>
      </c>
    </row>
    <row r="260">
      <c r="A260">
        <v>259</v>
      </c>
      <c r="B260" t="str">
        <v>B-Z Fork LIft</v>
      </c>
      <c r="C260">
        <v>1775</v>
      </c>
      <c r="D260" t="str">
        <v>Vans/Buses &amp;Trucks</v>
      </c>
      <c r="E260" t="str">
        <v>Professions/Industrial</v>
      </c>
      <c r="F260" t="str">
        <v>Forklift w/ operator</v>
      </c>
      <c r="G260" t="str">
        <v>Battery</v>
      </c>
      <c r="H260" t="str">
        <v>Mystery action, operator moves levers</v>
      </c>
      <c r="I260" t="str">
        <v>Tin</v>
      </c>
      <c r="J260" t="str">
        <v>26x10x18</v>
      </c>
      <c r="K260" t="str">
        <v>Modern Toys</v>
      </c>
      <c r="L260" t="str">
        <v>Very Good</v>
      </c>
      <c r="M260">
        <v>1957</v>
      </c>
      <c r="N260">
        <v>1958</v>
      </c>
      <c r="P260">
        <v>103</v>
      </c>
      <c r="Q260">
        <v>45108</v>
      </c>
      <c r="R260" t="str">
        <v>Catawiki</v>
      </c>
      <c r="S260" t="str">
        <v>180 (2024)</v>
      </c>
      <c r="T260" t="str">
        <v>78 (238)</v>
      </c>
      <c r="U260" t="str">
        <v>scarcity 6/10; this model does not operate the lift; pat: 400627, (4?)21526, (4?)21527, (4?)28151</v>
      </c>
      <c r="W260" t="str">
        <v>P2050173</v>
      </c>
      <c r="X260" t="str">
        <v>P2050174</v>
      </c>
      <c r="Y260" t="str">
        <v>P2050176</v>
      </c>
    </row>
    <row r="261">
      <c r="A261">
        <v>260</v>
      </c>
      <c r="B261" t="str">
        <v>Compressor</v>
      </c>
      <c r="C261">
        <v>556</v>
      </c>
      <c r="D261" t="str">
        <v>People</v>
      </c>
      <c r="E261" t="str">
        <v>Professions/Industrial</v>
      </c>
      <c r="F261" t="str">
        <v>Man w/ air hammer and generator</v>
      </c>
      <c r="G261" t="str">
        <v>Other</v>
      </c>
      <c r="H261" t="str">
        <v>Turning knob, man moves arms and hammer works (up and down); adjustable location of the man</v>
      </c>
      <c r="I261" t="str">
        <v>Tin &amp; plastic</v>
      </c>
      <c r="J261" t="str">
        <v>18x12x13</v>
      </c>
      <c r="K261" t="str">
        <v>Gescha</v>
      </c>
      <c r="L261" t="str">
        <v>Excellent</v>
      </c>
      <c r="M261">
        <v>1960</v>
      </c>
      <c r="N261">
        <v>1965</v>
      </c>
      <c r="S261" t="str">
        <v>1400 (2025) w/ box</v>
      </c>
      <c r="T261" t="str">
        <v>22 (230) 46 (117) 66 (378)</v>
      </c>
      <c r="W261" t="str">
        <v>P2050204</v>
      </c>
      <c r="X261" t="str">
        <v>P2050206</v>
      </c>
    </row>
    <row r="262">
      <c r="A262">
        <v>261</v>
      </c>
      <c r="B262" t="str">
        <v>TAP-TAP</v>
      </c>
      <c r="C262">
        <v>560</v>
      </c>
      <c r="D262" t="str">
        <v>People</v>
      </c>
      <c r="E262" t="str">
        <v>Professions/Industrial</v>
      </c>
      <c r="F262" t="str">
        <v>Gardener w/ wheelbarrow</v>
      </c>
      <c r="G262" t="str">
        <v>Clockwork</v>
      </c>
      <c r="H262" t="str">
        <v>Wheelbarrow moves forward, gardener moves legs</v>
      </c>
      <c r="I262" t="str">
        <v>Tin</v>
      </c>
      <c r="J262" t="str">
        <v>16x7x14</v>
      </c>
      <c r="K262" t="str">
        <v>Lehmann</v>
      </c>
      <c r="L262" t="str">
        <v>Very Good</v>
      </c>
      <c r="M262">
        <v>1907</v>
      </c>
      <c r="N262">
        <v>1945</v>
      </c>
      <c r="S262" t="str">
        <v>350-500 (2024)</v>
      </c>
      <c r="T262" t="str">
        <v>59 (118)</v>
      </c>
      <c r="U262" t="str">
        <v>Represents a gardener, came with a spade (with EPL logo); Pat: USA May 12 (1903); our version seems to be the oldest, makes ref to USA pat 1903 and does not have toy number; other versions have toy number and refer to USA pat Jan 25 (1927); this toy was popular among itinerant vendors</v>
      </c>
      <c r="W262" t="str">
        <v>P2050202</v>
      </c>
      <c r="X262" t="str">
        <v>P2050203</v>
      </c>
    </row>
    <row r="263">
      <c r="A263">
        <v>262</v>
      </c>
      <c r="B263" t="str">
        <v>ZIKRA</v>
      </c>
      <c r="C263">
        <v>752</v>
      </c>
      <c r="D263" t="str">
        <v>Carriages &amp; Cycles</v>
      </c>
      <c r="E263" t="str">
        <v>Travel &amp; Transport</v>
      </c>
      <c r="F263" t="str">
        <v>Zebra cart w/ driver</v>
      </c>
      <c r="G263" t="str">
        <v>Clockwork</v>
      </c>
      <c r="H263" t="str">
        <v>As it advances, the driver moves up and down on the seat and the zebra bucks</v>
      </c>
      <c r="I263" t="str">
        <v>Tin</v>
      </c>
      <c r="J263" t="str">
        <v>18x7x12</v>
      </c>
      <c r="K263" t="str">
        <v>Lehmann</v>
      </c>
      <c r="L263" t="str">
        <v>Poor</v>
      </c>
      <c r="M263">
        <v>1924</v>
      </c>
      <c r="N263">
        <v>1935</v>
      </c>
      <c r="S263" t="str">
        <v>250-850 (2024)</v>
      </c>
      <c r="T263" t="str">
        <v>59 (121)</v>
      </c>
      <c r="U263" t="str">
        <v>Pat: USA Dec 2 (1013), Jan 25 (1927); The toy was inspired by the ill-fated attempt in early 1900's to domesticate zebras as saddle animals and cross-bread them with horses (in Dar-es-Salam, then a German colony), called zebroids; some of these animals were shown as circus freaks or for advertising purposes, and they bucked and kicked frequently; the description of this toy is: "Mexican zebra team; the zebra refuses to be tamed and leaps about wildly". The reason for being Mexican is unknown..; there are 3 versions: "Dare Devil", "Zikra" and "Na-Nu".- until 1948</v>
      </c>
      <c r="V263" t="str">
        <v>front legs of zebra are new</v>
      </c>
      <c r="W263" t="str">
        <v>P2050199</v>
      </c>
      <c r="X263" t="str">
        <v>P2050200</v>
      </c>
    </row>
    <row r="264">
      <c r="A264">
        <v>263</v>
      </c>
      <c r="B264" t="str">
        <v>NA-OB</v>
      </c>
      <c r="C264">
        <v>680</v>
      </c>
      <c r="D264" t="str">
        <v>Carriages &amp; Cycles</v>
      </c>
      <c r="E264" t="str">
        <v>Travel &amp; Transport</v>
      </c>
      <c r="F264" t="str">
        <v>Donkey cart w/ driver</v>
      </c>
      <c r="G264" t="str">
        <v>Clockwork</v>
      </c>
      <c r="H264" t="str">
        <v>It moves forward (wheels rotate)</v>
      </c>
      <c r="I264" t="str">
        <v>Tin</v>
      </c>
      <c r="J264" t="str">
        <v>15x6x8</v>
      </c>
      <c r="K264" t="str">
        <v>Lehmann</v>
      </c>
      <c r="L264" t="str">
        <v>Good</v>
      </c>
      <c r="M264">
        <v>1917</v>
      </c>
      <c r="N264">
        <v>1938</v>
      </c>
      <c r="S264" t="str">
        <v>200-250 (2024)</v>
      </c>
      <c r="T264" t="str">
        <v>59  (175)</v>
      </c>
      <c r="U264" t="str">
        <v>Pat: May, 12 (1903), Jan 22 (1907), Dec 2 (1913)</v>
      </c>
      <c r="V264" t="str">
        <v>small wheel and rope are new</v>
      </c>
      <c r="W264" t="str">
        <v>P2060211</v>
      </c>
      <c r="X264" t="str">
        <v>P2060212</v>
      </c>
    </row>
    <row r="265">
      <c r="A265">
        <v>264</v>
      </c>
      <c r="B265" t="str">
        <v xml:space="preserve">Camping Caravan </v>
      </c>
      <c r="C265" t="str">
        <v>580/81</v>
      </c>
      <c r="D265" t="str">
        <v>Cars</v>
      </c>
      <c r="E265" t="str">
        <v>Sports &amp; Leisure</v>
      </c>
      <c r="F265" t="str">
        <v>Car and Caravan, and a couple</v>
      </c>
      <c r="G265" t="str">
        <v>Friction</v>
      </c>
      <c r="H265" t="str">
        <v>Car works by friction; caravan can operate shade and rear dor</v>
      </c>
      <c r="I265" t="str">
        <v>Tin &amp; papier mache</v>
      </c>
      <c r="J265" t="str">
        <v>39x9x 6.5</v>
      </c>
      <c r="K265" t="str">
        <v>WUCO</v>
      </c>
      <c r="L265" t="str">
        <v>Very Good</v>
      </c>
      <c r="M265">
        <v>1956</v>
      </c>
      <c r="N265">
        <v>1960</v>
      </c>
      <c r="S265" t="str">
        <v>400 (2024) w/ box</v>
      </c>
      <c r="T265" t="str">
        <v>22 (60) 46 (278) 66 (474)</v>
      </c>
      <c r="U265" t="str">
        <v>two marks on the wheel not found in the remaining toys except EPL768</v>
      </c>
      <c r="V265" t="str">
        <v>small pin in the front of the caravan is missing</v>
      </c>
      <c r="W265" t="str">
        <v>P2050193</v>
      </c>
    </row>
    <row r="266">
      <c r="A266">
        <v>265</v>
      </c>
      <c r="B266" t="str">
        <v>Hunter's Cottage</v>
      </c>
      <c r="D266" t="str">
        <v>People</v>
      </c>
      <c r="E266" t="str">
        <v>Sports &amp; Leisure</v>
      </c>
      <c r="F266" t="str">
        <v>Hunter w/ house, rabbit and dog</v>
      </c>
      <c r="G266" t="str">
        <v>Clockwork</v>
      </c>
      <c r="H266" t="str">
        <v>Rabbit runs around the house followed by dog, then inverts movement, while hunter vtries to point rifle at it</v>
      </c>
      <c r="I266" t="str">
        <v>Tin</v>
      </c>
      <c r="J266" t="str">
        <v>11x18x10</v>
      </c>
      <c r="K266" t="str">
        <v>Tatsuya</v>
      </c>
      <c r="L266" t="str">
        <v>Excellent</v>
      </c>
      <c r="M266">
        <v>1955</v>
      </c>
      <c r="N266">
        <v>1960</v>
      </c>
      <c r="O266" t="str">
        <v>Very Good</v>
      </c>
      <c r="V266" t="str">
        <v>tip of rifle broken?</v>
      </c>
      <c r="W266" t="str">
        <v>P2050187</v>
      </c>
      <c r="X266" t="str">
        <v>P2050188</v>
      </c>
    </row>
    <row r="267">
      <c r="A267">
        <v>266</v>
      </c>
      <c r="B267" t="str">
        <v>Girl with Geese</v>
      </c>
      <c r="D267" t="str">
        <v>People</v>
      </c>
      <c r="E267" t="str">
        <v>Professions/Industrial</v>
      </c>
      <c r="F267" t="str">
        <v>Girl w/ two geese in line</v>
      </c>
      <c r="G267" t="str">
        <v>Clockwork</v>
      </c>
      <c r="H267" t="str">
        <v>Girl and geese move their legs, girl raises and lowers right arm with baton</v>
      </c>
      <c r="I267" t="str">
        <v>Tin &amp; plastic</v>
      </c>
      <c r="J267" t="str">
        <v>17x6x11</v>
      </c>
      <c r="K267" t="str">
        <v>Kohler</v>
      </c>
      <c r="L267" t="str">
        <v>Excellent</v>
      </c>
      <c r="M267">
        <v>1960</v>
      </c>
      <c r="N267">
        <v>1965</v>
      </c>
      <c r="T267" t="str">
        <v>22 (233) 46 (188) 66 (215)</v>
      </c>
      <c r="U267" t="str">
        <v>DRGM 1787944 (1959)</v>
      </c>
      <c r="W267" t="str">
        <v>P2050184</v>
      </c>
      <c r="X267" t="str">
        <v>P2050186</v>
      </c>
    </row>
    <row r="268">
      <c r="A268">
        <v>267</v>
      </c>
      <c r="B268" t="str">
        <v>Ostrich and Cart</v>
      </c>
      <c r="C268">
        <v>51</v>
      </c>
      <c r="D268" t="str">
        <v>Boats &amp; Ships</v>
      </c>
      <c r="E268" t="str">
        <v>Travel &amp; Transport</v>
      </c>
      <c r="F268" t="str">
        <v>Ostrich pulling cart w/ driver</v>
      </c>
      <c r="G268" t="str">
        <v>Clockwork</v>
      </c>
      <c r="H268" t="str">
        <v>Ostrich moves legs and neck/head</v>
      </c>
      <c r="I268" t="str">
        <v>Tin &amp; plastic</v>
      </c>
      <c r="J268" t="str">
        <v>22x6x15</v>
      </c>
      <c r="K268" t="str">
        <v>Kohler</v>
      </c>
      <c r="L268" t="str">
        <v>Excellent</v>
      </c>
      <c r="M268">
        <v>1955</v>
      </c>
      <c r="N268">
        <v>1962</v>
      </c>
      <c r="O268" t="str">
        <v>Excellent</v>
      </c>
      <c r="R268" t="str">
        <v>Catawiki</v>
      </c>
      <c r="S268" t="str">
        <v>150-250 (2024) w/ box only girl</v>
      </c>
      <c r="T268" t="str">
        <v>22 (279) 46 (188) 66 (214)</v>
      </c>
      <c r="W268" t="str">
        <v>P2060254</v>
      </c>
      <c r="X268" t="str">
        <v>P2060256</v>
      </c>
    </row>
    <row r="269">
      <c r="A269">
        <v>268</v>
      </c>
      <c r="B269" t="str">
        <v>Horse with Cart and Driver</v>
      </c>
      <c r="D269" t="str">
        <v>Carriages &amp; Cycles</v>
      </c>
      <c r="E269" t="str">
        <v>Travel &amp; Transport</v>
      </c>
      <c r="F269" t="str">
        <v>Horse pulling cart w/ driver</v>
      </c>
      <c r="G269" t="str">
        <v>Clockwork</v>
      </c>
      <c r="H269" t="str">
        <v>Advances, wheels rotate</v>
      </c>
      <c r="I269" t="str">
        <v>Tin</v>
      </c>
      <c r="J269" t="str">
        <v>23x8.5x13</v>
      </c>
      <c r="K269" t="str">
        <v>Marx</v>
      </c>
      <c r="L269" t="str">
        <v>Excellent</v>
      </c>
      <c r="M269">
        <v>1950</v>
      </c>
      <c r="N269">
        <v>1959</v>
      </c>
      <c r="S269" t="str">
        <v>150-300 (2024)</v>
      </c>
      <c r="T269" t="str">
        <v>50 (43, 45)</v>
      </c>
      <c r="U269" t="str">
        <v>There are combinations of different horses, carts and drivers; this toy was made in England</v>
      </c>
      <c r="W269" t="str">
        <v>P2060222</v>
      </c>
      <c r="X269" t="str">
        <v>P2060223</v>
      </c>
    </row>
    <row r="270">
      <c r="A270">
        <v>269</v>
      </c>
      <c r="B270" t="str">
        <v>Plodding Donkey with Cowboy</v>
      </c>
      <c r="C270">
        <v>2090</v>
      </c>
      <c r="D270" t="str">
        <v>People</v>
      </c>
      <c r="E270" t="str">
        <v>Far West</v>
      </c>
      <c r="F270" t="str">
        <v>Cowboy w/ red hat on a brown donkey</v>
      </c>
      <c r="G270" t="str">
        <v>Clockwork</v>
      </c>
      <c r="H270" t="str">
        <v>Donkey walks on the 4 four legs</v>
      </c>
      <c r="I270" t="str">
        <v>Tin &amp; plastic</v>
      </c>
      <c r="J270" t="str">
        <v>11x5x13</v>
      </c>
      <c r="K270" t="str">
        <v>Yoneya</v>
      </c>
      <c r="L270" t="str">
        <v>Excellent</v>
      </c>
      <c r="M270">
        <v>1965</v>
      </c>
      <c r="N270">
        <v>1970</v>
      </c>
      <c r="O270" t="str">
        <v>Very Good</v>
      </c>
      <c r="S270" t="str">
        <v>100-170 (2024) w/ box</v>
      </c>
      <c r="U270" t="str">
        <v>The box has a different trademark (DAYA) but same toy number</v>
      </c>
      <c r="W270" t="str">
        <v>P2060217</v>
      </c>
      <c r="X270" t="str">
        <v>P2060218</v>
      </c>
      <c r="Y270" t="str">
        <v>P2060219</v>
      </c>
    </row>
    <row r="271">
      <c r="A271">
        <v>270</v>
      </c>
      <c r="B271" t="str">
        <v>Western Hero</v>
      </c>
      <c r="D271" t="str">
        <v>People</v>
      </c>
      <c r="E271" t="str">
        <v>Far West</v>
      </c>
      <c r="F271" t="str">
        <v>Plastic cowboy w/ pistol and red hat riding tin horse</v>
      </c>
      <c r="G271" t="str">
        <v>Clockwork</v>
      </c>
      <c r="H271" t="str">
        <v>Horse jumps forward on four legs</v>
      </c>
      <c r="I271" t="str">
        <v>Tin &amp; plastic</v>
      </c>
      <c r="J271" t="str">
        <v>21x6x16</v>
      </c>
      <c r="K271" t="str">
        <v>HAJI</v>
      </c>
      <c r="L271" t="str">
        <v>Excellent</v>
      </c>
      <c r="M271">
        <v>1965</v>
      </c>
      <c r="N271">
        <v>1970</v>
      </c>
      <c r="R271" t="str">
        <v>Loja em Braga</v>
      </c>
      <c r="U271" t="str">
        <v>Older versions of this toy  have a tin cowboy (and a different box); also, this plastic cowboy appears on a different horse, made in Korea, named "cowboy on horse"</v>
      </c>
      <c r="W271" t="str">
        <v>P2060220</v>
      </c>
    </row>
    <row r="272">
      <c r="A272">
        <v>271</v>
      </c>
      <c r="B272" t="str">
        <v>Donkey Express</v>
      </c>
      <c r="D272" t="str">
        <v>Carriages &amp; Cycles</v>
      </c>
      <c r="E272" t="str">
        <v>Travel &amp; Transport</v>
      </c>
      <c r="F272" t="str">
        <v>Donkey pulling a covered cart w/ a boy driver</v>
      </c>
      <c r="G272" t="str">
        <v>Clockwork</v>
      </c>
      <c r="H272" t="str">
        <v>Donkey jumps forward on four legs</v>
      </c>
      <c r="I272" t="str">
        <v>Tin</v>
      </c>
      <c r="J272" t="str">
        <v>18x5.5x8</v>
      </c>
      <c r="K272" t="str">
        <v>HAJI</v>
      </c>
      <c r="L272" t="str">
        <v>Excellent</v>
      </c>
      <c r="M272">
        <v>1970</v>
      </c>
      <c r="N272">
        <v>1975</v>
      </c>
      <c r="S272" t="str">
        <v>50 (2023) w/ box</v>
      </c>
      <c r="U272" t="str">
        <v>There is a variant named "Donkey boy" (this also writtenm in the saddle),  but boy mounts the donkey</v>
      </c>
      <c r="W272" t="str">
        <v>P2060231</v>
      </c>
      <c r="X272" t="str">
        <v>P2060232</v>
      </c>
    </row>
    <row r="273">
      <c r="A273">
        <v>272</v>
      </c>
      <c r="B273" t="str">
        <v>Music Band "General"</v>
      </c>
      <c r="C273">
        <v>234</v>
      </c>
      <c r="D273" t="str">
        <v>People</v>
      </c>
      <c r="E273" t="str">
        <v>Military</v>
      </c>
      <c r="F273" t="str">
        <v>Man in red uniform playing cymbals</v>
      </c>
      <c r="G273" t="str">
        <v>Clockwork</v>
      </c>
      <c r="H273" t="str">
        <v>moves arms up and down to play cymbal (poor design, cymbals leave their position, and stops working) and rotates body</v>
      </c>
      <c r="I273" t="str">
        <v>Tin, plastic &amp; cloth</v>
      </c>
      <c r="J273" t="str">
        <v>8x7x17</v>
      </c>
      <c r="K273" t="str">
        <v>Yonezawa</v>
      </c>
      <c r="L273" t="str">
        <v>Very Good</v>
      </c>
      <c r="M273">
        <v>1970</v>
      </c>
      <c r="N273">
        <v>1975</v>
      </c>
      <c r="O273" t="str">
        <v>Very Good</v>
      </c>
      <c r="S273" t="str">
        <v>80 (2024) w/ box</v>
      </c>
      <c r="U273" t="str">
        <v>there is a variant with black uniform</v>
      </c>
      <c r="W273" t="str">
        <v>P2060215</v>
      </c>
      <c r="X273" t="str">
        <v>P2060216</v>
      </c>
    </row>
    <row r="274">
      <c r="A274">
        <v>273</v>
      </c>
      <c r="B274" t="str">
        <v>SuperDozer with Revolving Lighted Engine</v>
      </c>
      <c r="C274" t="str">
        <v>T-27</v>
      </c>
      <c r="D274" t="str">
        <v>Vans/Buses &amp;Trucks</v>
      </c>
      <c r="E274" t="str">
        <v>Professions/Industrial</v>
      </c>
      <c r="F274" t="str">
        <v>Orange buldozer</v>
      </c>
      <c r="G274" t="str">
        <v>Battery</v>
      </c>
      <c r="H274" t="str">
        <v>Mystery action, engine lights</v>
      </c>
      <c r="I274" t="str">
        <v>Tin</v>
      </c>
      <c r="J274" t="str">
        <v>19x10x13</v>
      </c>
      <c r="L274" t="str">
        <v>Very Good</v>
      </c>
      <c r="M274">
        <v>1965</v>
      </c>
      <c r="N274">
        <v>1970</v>
      </c>
      <c r="O274" t="str">
        <v>Very Good</v>
      </c>
      <c r="S274" t="str">
        <v>140 (2024) w/ box</v>
      </c>
      <c r="U274" t="str">
        <v>A variant box with different side colors has Frankonia trademark (a US importer)</v>
      </c>
      <c r="V274" t="str">
        <v>made in Japan; the toy is complete, although the box shows shovel</v>
      </c>
      <c r="W274" t="str">
        <v>P2060213</v>
      </c>
      <c r="X274" t="str">
        <v>P2060214</v>
      </c>
    </row>
    <row r="275">
      <c r="A275">
        <v>274</v>
      </c>
      <c r="B275" t="str">
        <v>Tractor Perplex</v>
      </c>
      <c r="D275" t="str">
        <v>Vans/Buses &amp;Trucks</v>
      </c>
      <c r="E275" t="str">
        <v>Travel &amp; Transport</v>
      </c>
      <c r="F275" t="str">
        <v>Red tractor</v>
      </c>
      <c r="G275" t="str">
        <v>Clockwork</v>
      </c>
      <c r="H275" t="str">
        <v>Steerable, two gear shifting and stop</v>
      </c>
      <c r="I275" t="str">
        <v>Tin</v>
      </c>
      <c r="J275" t="str">
        <v>18x19x10</v>
      </c>
      <c r="K275" t="str">
        <v>Arnold</v>
      </c>
      <c r="L275" t="str">
        <v>Very Good</v>
      </c>
      <c r="M275">
        <v>1955</v>
      </c>
      <c r="N275">
        <v>1965</v>
      </c>
      <c r="T275" t="str">
        <v>10 (186) 22 (167)</v>
      </c>
      <c r="V275" t="str">
        <v>driver is missing (this is common in internet)</v>
      </c>
      <c r="W275" t="str">
        <v>P2060227</v>
      </c>
      <c r="X275" t="str">
        <v>P2060228</v>
      </c>
    </row>
    <row r="276">
      <c r="A276">
        <v>275</v>
      </c>
      <c r="B276" t="str">
        <v>Tractor with Trailer</v>
      </c>
      <c r="C276" t="str">
        <v>77/6</v>
      </c>
      <c r="D276" t="str">
        <v>Vans/Buses &amp;Trucks</v>
      </c>
      <c r="E276" t="str">
        <v>Travel &amp; Transport</v>
      </c>
      <c r="F276" t="str">
        <v>Red and green tractor w/ driver and trailer</v>
      </c>
      <c r="G276" t="str">
        <v>Clockwork</v>
      </c>
      <c r="H276" t="str">
        <v>Steerable, trailer can tilt sideways</v>
      </c>
      <c r="I276" t="str">
        <v>Tin &amp; papier mache</v>
      </c>
      <c r="J276" t="str">
        <v>28x7x8</v>
      </c>
      <c r="K276" t="str">
        <v>GAMA</v>
      </c>
      <c r="L276" t="str">
        <v>Very Good</v>
      </c>
      <c r="M276">
        <v>1955</v>
      </c>
      <c r="N276">
        <v>1959</v>
      </c>
      <c r="S276" t="str">
        <v>100-250 (2024)</v>
      </c>
      <c r="T276" t="str">
        <v>44 (49) 45 (69) 46 (96)</v>
      </c>
      <c r="U276" t="str">
        <v>no. 77/6 or 776</v>
      </c>
      <c r="V276" t="str">
        <v>small  plastic chimney missing</v>
      </c>
      <c r="W276" t="str">
        <v>P2060229</v>
      </c>
    </row>
    <row r="277">
      <c r="A277">
        <v>276</v>
      </c>
      <c r="B277" t="str">
        <v>Catterpillar with Shovel</v>
      </c>
      <c r="C277">
        <v>70002</v>
      </c>
      <c r="D277" t="str">
        <v>Vans/Buses &amp;Trucks</v>
      </c>
      <c r="E277" t="str">
        <v>Professions/Industrial</v>
      </c>
      <c r="F277" t="str">
        <v>Red and yellow caterpillar w/ yellow shovel</v>
      </c>
      <c r="G277" t="str">
        <v>Clockwork</v>
      </c>
      <c r="H277" t="str">
        <v>Moves forward, shovel can be risen with a lever</v>
      </c>
      <c r="I277" t="str">
        <v>Tin</v>
      </c>
      <c r="J277" t="str">
        <v>13x8x6</v>
      </c>
      <c r="K277" t="str">
        <v>GAMA</v>
      </c>
      <c r="L277" t="str">
        <v>Excellent</v>
      </c>
      <c r="M277">
        <v>1998</v>
      </c>
      <c r="N277">
        <v>1998</v>
      </c>
      <c r="O277" t="str">
        <v>Excellent</v>
      </c>
      <c r="P277">
        <v>25</v>
      </c>
      <c r="T277" t="str">
        <v>44 (52) 45 (75)</v>
      </c>
      <c r="U277" t="str">
        <v>Reproduction with certificate; made by  TRIX Modelleisenbhan</v>
      </c>
      <c r="W277" t="str">
        <v>P2060241</v>
      </c>
    </row>
    <row r="278">
      <c r="A278">
        <v>277</v>
      </c>
      <c r="B278" t="str">
        <v>Road Roller 1927</v>
      </c>
      <c r="D278" t="str">
        <v>Vans/Buses &amp;Trucks</v>
      </c>
      <c r="E278" t="str">
        <v>Professions/Industrial</v>
      </c>
      <c r="F278" t="str">
        <v>Green road roller</v>
      </c>
      <c r="G278" t="str">
        <v>Clockwork</v>
      </c>
      <c r="H278" t="str">
        <v>Moves foward and backwards</v>
      </c>
      <c r="I278" t="str">
        <v>Tin</v>
      </c>
      <c r="J278" t="str">
        <v>18x10x14</v>
      </c>
      <c r="K278" t="str">
        <v>Kovap</v>
      </c>
      <c r="L278" t="str">
        <v>Excellent</v>
      </c>
      <c r="M278">
        <v>1995</v>
      </c>
      <c r="N278">
        <v>2024</v>
      </c>
      <c r="O278" t="str">
        <v>Excellent</v>
      </c>
      <c r="S278" t="str">
        <v>55 (2024)</v>
      </c>
      <c r="W278" t="str">
        <v>P2060245</v>
      </c>
    </row>
    <row r="279">
      <c r="A279">
        <v>278</v>
      </c>
      <c r="B279" t="str">
        <v>Tractor and Trailer</v>
      </c>
      <c r="D279" t="str">
        <v>Vans/Buses &amp;Trucks</v>
      </c>
      <c r="E279" t="str">
        <v>Travel &amp; Transport</v>
      </c>
      <c r="F279" t="str">
        <v>Red and yellow tractor w/ trailer</v>
      </c>
      <c r="G279" t="str">
        <v>Clockwork</v>
      </c>
      <c r="H279" t="str">
        <v>Seerable, 3 gears and reverse, brake</v>
      </c>
      <c r="I279" t="str">
        <v>Tin</v>
      </c>
      <c r="J279" t="str">
        <v>36x9x9</v>
      </c>
      <c r="K279" t="str">
        <v>Kovap</v>
      </c>
      <c r="L279" t="str">
        <v>Excellent</v>
      </c>
      <c r="M279">
        <v>1995</v>
      </c>
      <c r="N279">
        <v>2024</v>
      </c>
      <c r="O279" t="str">
        <v>Excellent</v>
      </c>
      <c r="P279">
        <v>15</v>
      </c>
      <c r="S279" t="str">
        <v>64 (2024)</v>
      </c>
      <c r="W279" t="str">
        <v>P2060243</v>
      </c>
    </row>
    <row r="280">
      <c r="A280">
        <v>279</v>
      </c>
      <c r="B280" t="str">
        <v>Maletero</v>
      </c>
      <c r="C280">
        <v>852</v>
      </c>
      <c r="D280" t="str">
        <v>People</v>
      </c>
      <c r="E280" t="str">
        <v>Travel &amp; Transport</v>
      </c>
      <c r="F280" t="str">
        <v>Man w/ two orange suitcases</v>
      </c>
      <c r="G280" t="str">
        <v>Clockwork</v>
      </c>
      <c r="H280" t="str">
        <v>legs move</v>
      </c>
      <c r="I280" t="str">
        <v>Tin</v>
      </c>
      <c r="J280" t="str">
        <v>9x9x18</v>
      </c>
      <c r="K280" t="str">
        <v>Paya</v>
      </c>
      <c r="L280" t="str">
        <v>Excellent</v>
      </c>
      <c r="M280">
        <v>1995</v>
      </c>
      <c r="N280">
        <v>2000</v>
      </c>
      <c r="O280" t="str">
        <v>Excellent</v>
      </c>
      <c r="R280" t="str">
        <v>Parents offer</v>
      </c>
      <c r="S280" t="str">
        <v>80 (2024)</v>
      </c>
      <c r="U280" t="str">
        <v>Reproduction with certificate (original made in 1930-1934)</v>
      </c>
      <c r="W280" t="str">
        <v>P2060250</v>
      </c>
    </row>
    <row r="281">
      <c r="A281">
        <v>280</v>
      </c>
      <c r="B281" t="str">
        <v>Playing Ping-Pong</v>
      </c>
      <c r="C281" t="str">
        <v>MS 358</v>
      </c>
      <c r="D281" t="str">
        <v>People</v>
      </c>
      <c r="E281" t="str">
        <v>Sports &amp; Leisure</v>
      </c>
      <c r="F281" t="str">
        <v>Two men playing ping-pong</v>
      </c>
      <c r="G281" t="str">
        <v>Clockwork</v>
      </c>
      <c r="H281" t="str">
        <v>One man tilts forward, the racket hitting the ball, which moves to the other side of the table, where the other man awaits for it slight inclined backwards; the action repeats</v>
      </c>
      <c r="I281" t="str">
        <v>Tin</v>
      </c>
      <c r="J281" t="str">
        <v>23x7x13</v>
      </c>
      <c r="L281" t="str">
        <v>Excellent</v>
      </c>
      <c r="M281">
        <v>1995</v>
      </c>
      <c r="N281">
        <v>2020</v>
      </c>
      <c r="O281" t="str">
        <v>Excellent</v>
      </c>
      <c r="S281" t="str">
        <v>40-60 (2024)</v>
      </c>
      <c r="V281" t="str">
        <v>made in China</v>
      </c>
      <c r="W281" t="str">
        <v>P2060238</v>
      </c>
      <c r="X281" t="str">
        <v>P2060239</v>
      </c>
    </row>
    <row r="282">
      <c r="A282">
        <v>281</v>
      </c>
      <c r="B282" t="str">
        <v>Little Traveller</v>
      </c>
      <c r="C282" t="str">
        <v>MS 823</v>
      </c>
      <c r="D282" t="str">
        <v>People</v>
      </c>
      <c r="E282" t="str">
        <v>Travel &amp; Transport</v>
      </c>
      <c r="F282" t="str">
        <v>Man in yellow jacket w/ red suitcase</v>
      </c>
      <c r="G282" t="str">
        <v>Clockwork</v>
      </c>
      <c r="H282" t="str">
        <v>Suitcase moves forward, man moves legs</v>
      </c>
      <c r="I282" t="str">
        <v>Tin, Plastic &amp; cloth</v>
      </c>
      <c r="J282" t="str">
        <v>9x9x15</v>
      </c>
      <c r="L282" t="str">
        <v>Excellent</v>
      </c>
      <c r="M282">
        <v>1995</v>
      </c>
      <c r="N282">
        <v>2020</v>
      </c>
      <c r="O282" t="str">
        <v>Excellent</v>
      </c>
      <c r="S282" t="str">
        <v>40-60 (2024)</v>
      </c>
      <c r="V282" t="str">
        <v>made in China</v>
      </c>
      <c r="W282" t="str">
        <v>P2060236</v>
      </c>
      <c r="X282" t="str">
        <v>P2060237</v>
      </c>
    </row>
    <row r="283">
      <c r="A283">
        <v>282</v>
      </c>
      <c r="B283" t="str">
        <v>Slugger Champions</v>
      </c>
      <c r="C283" t="str">
        <v>MS 381</v>
      </c>
      <c r="D283" t="str">
        <v>People</v>
      </c>
      <c r="E283" t="str">
        <v>Sports &amp; Leisure</v>
      </c>
      <c r="F283" t="str">
        <v>Black and white boxeurs on the ring</v>
      </c>
      <c r="G283" t="str">
        <v>Clockwork</v>
      </c>
      <c r="H283" t="str">
        <v>The boxeurs vibrate, moving bodies and one arm</v>
      </c>
      <c r="I283" t="str">
        <v>Tin</v>
      </c>
      <c r="J283" t="str">
        <v>12x12x11</v>
      </c>
      <c r="L283" t="str">
        <v>Excellent</v>
      </c>
      <c r="M283">
        <v>2000</v>
      </c>
      <c r="N283">
        <v>2024</v>
      </c>
      <c r="O283" t="str">
        <v>Excellent</v>
      </c>
      <c r="S283" t="str">
        <v>30 (2024)</v>
      </c>
      <c r="U283" t="str">
        <v>This is a reproduction of the Biller toy with the same name</v>
      </c>
      <c r="V283" t="str">
        <v>made in China</v>
      </c>
      <c r="W283" t="str">
        <v>P2060249</v>
      </c>
    </row>
    <row r="284">
      <c r="A284">
        <v>283</v>
      </c>
      <c r="B284" t="str">
        <v>Construction set for Steam Engine D5</v>
      </c>
      <c r="C284" t="str">
        <v>D5/C5</v>
      </c>
      <c r="D284" t="str">
        <v>Tracks /Platform base</v>
      </c>
      <c r="E284" t="str">
        <v>Professions/Industrial</v>
      </c>
      <c r="F284" t="str">
        <v>Steam engine on a platform</v>
      </c>
      <c r="G284" t="str">
        <v>Other</v>
      </c>
      <c r="H284" t="str">
        <v>Steam engine</v>
      </c>
      <c r="I284" t="str">
        <v>Tin</v>
      </c>
      <c r="J284" t="str">
        <v>20x14x21</v>
      </c>
      <c r="K284" t="str">
        <v>Wilesco</v>
      </c>
      <c r="L284" t="str">
        <v>Excellent</v>
      </c>
      <c r="M284">
        <v>1970</v>
      </c>
      <c r="N284">
        <v>2024</v>
      </c>
      <c r="O284" t="str">
        <v>Excellent, with instructions, printed in 1974</v>
      </c>
      <c r="P284">
        <v>18</v>
      </c>
      <c r="S284" t="str">
        <v>150-200 (2024)</v>
      </c>
      <c r="U284" t="str">
        <v>Wilesco sells it for 130€ (2024); we have also accessories M66 (dynamo) and M51 (drilling machine)</v>
      </c>
      <c r="W284" t="str">
        <v>P2060251</v>
      </c>
      <c r="X284" t="str">
        <v>P2060253</v>
      </c>
    </row>
    <row r="285">
      <c r="A285">
        <v>284</v>
      </c>
      <c r="B285" t="str">
        <v>Crane</v>
      </c>
      <c r="D285" t="str">
        <v>Others</v>
      </c>
      <c r="E285" t="str">
        <v>Professions/Industrial</v>
      </c>
      <c r="F285" t="str">
        <v>Large blue, red and yellow crane on wheels</v>
      </c>
      <c r="G285" t="str">
        <v>Clockwork</v>
      </c>
      <c r="H285" t="str">
        <v>The lever has four horizontal positions (X), for rotation directions and raise/lower load</v>
      </c>
      <c r="I285" t="str">
        <v>Tin</v>
      </c>
      <c r="J285" t="str">
        <v>45x14x23</v>
      </c>
      <c r="K285" t="str">
        <v>NBN</v>
      </c>
      <c r="L285" t="str">
        <v>Good</v>
      </c>
      <c r="M285">
        <v>1960</v>
      </c>
      <c r="N285">
        <v>1965</v>
      </c>
      <c r="P285">
        <v>130</v>
      </c>
      <c r="R285" t="str">
        <v>Tavira</v>
      </c>
      <c r="S285" t="str">
        <v>100-200 (2024)</v>
      </c>
      <c r="T285" t="str">
        <v>46 (209)</v>
      </c>
      <c r="U285" t="str">
        <v>2 variants: the one we have, another where the crane sits on four legs</v>
      </c>
      <c r="W285" t="str">
        <v>P2060246</v>
      </c>
    </row>
    <row r="286">
      <c r="A286">
        <v>285</v>
      </c>
      <c r="B286" t="str">
        <v>Toonerville Trolley</v>
      </c>
      <c r="C286" t="str">
        <v>6-310-50</v>
      </c>
      <c r="D286" t="str">
        <v>Vans/Buses &amp;Trucks</v>
      </c>
      <c r="E286" t="str">
        <v>Character</v>
      </c>
      <c r="F286" t="str">
        <v>Comical Trolley w/ driver</v>
      </c>
      <c r="G286" t="str">
        <v>Clockwork</v>
      </c>
      <c r="H286" t="str">
        <v xml:space="preserve">Toy wobbles as it moves forward,driver moves forward and back and steers. The trolley stops, the driver rotates the tiller in opposite directions until the trolley moves again. </v>
      </c>
      <c r="I286" t="str">
        <v>Tin</v>
      </c>
      <c r="J286" t="str">
        <v>12.5x7x18</v>
      </c>
      <c r="K286" t="str">
        <v>Fischer, H</v>
      </c>
      <c r="L286" t="str">
        <v>Very Good</v>
      </c>
      <c r="M286">
        <v>1922</v>
      </c>
      <c r="N286">
        <v>1929</v>
      </c>
      <c r="O286" t="str">
        <v>Reproduction box (too small, probably for one variant of this toy)</v>
      </c>
      <c r="P286">
        <v>262</v>
      </c>
      <c r="Q286" t="str">
        <v>Feb/2025</v>
      </c>
      <c r="R286" t="str">
        <v>Catawiki</v>
      </c>
      <c r="S286" t="str">
        <v>350-450 (2025)</v>
      </c>
      <c r="T286" t="str">
        <v>108 (33)</v>
      </c>
      <c r="U286" t="str">
        <v>Fontaine Fox was a popular American cartoonist, with the Toonerville Trolley as a syndicated cartoon featuring a trolley with "Skipper" at the helm. Some felt that Fontaine's inspiration for the Trolley was based on a Trolley Ride he took through Pelham New York in 1909. F.F. continued this comic strip until 1955 when he retired. Marked Trolley No. 280098, G.M. 33967 and D.R.P. 257554 (1912). Distributed in the USA by Nifty. There are four toy variants, 3 made in Germany in the mid-1920s by H. Fischer, Nuremberg, and a fourth was made in Japan, maker unknown, probably circa 1930. Variant 1 is the one most readily available today (our toy), which means it greatly outsold the others in the 1920s. The mechanism involves stop-and-go and shaking and an eccentric axle with offset wheels that cause the toy to wobble as it moves forward. The Skipper holds the tiller in one hand, which is connected by a rod to the mechanism, so that when the trolley moves forward the Skipper moves forward and back and the tiller is moved as if he is steering. The second variant has a simpler mechanism: it has an offset wheel so that it does wobble, but the Skipper’s arm is not connected to the mechanism. To create movement around the Skipper, he is placed on a spring.  No electric take-up wire on the roof, and slightly smaller box. The third variant is designed to run on railroad tracks. It sold in a bigger box that included the track. The Japanese variant was made circa 1930 and was larger. Same markings and copyright date 1922, but just above the Skipper’s head on the roof canopy it reads “Made In Japan.”</v>
      </c>
      <c r="W286" t="str">
        <v>P2030078</v>
      </c>
      <c r="X286" t="str">
        <v>P2030079</v>
      </c>
      <c r="Y286" t="str">
        <v>P2030080</v>
      </c>
    </row>
    <row r="287">
      <c r="A287">
        <v>286</v>
      </c>
      <c r="B287" t="str">
        <v xml:space="preserve">La Boule Mystérieuse </v>
      </c>
      <c r="C287">
        <v>204</v>
      </c>
      <c r="D287" t="str">
        <v>Tracks /Platform base</v>
      </c>
      <c r="E287" t="str">
        <v>Circus &amp; Clowns</v>
      </c>
      <c r="F287" t="str">
        <v xml:space="preserve">Vertical spiral track w/ acrobat inside a ball </v>
      </c>
      <c r="G287" t="str">
        <v>Clockwork</v>
      </c>
      <c r="H287" t="str">
        <v>Pulling the string, the ball closes and rolls down the spiral, and then  it ascends back to the top and opens</v>
      </c>
      <c r="I287" t="str">
        <v>Tin</v>
      </c>
      <c r="J287" t="str">
        <v>11x11x36</v>
      </c>
      <c r="K287" t="str">
        <v>Fernand Martin</v>
      </c>
      <c r="L287" t="str">
        <v>Very Good</v>
      </c>
      <c r="M287">
        <v>1906</v>
      </c>
      <c r="N287">
        <v>1912</v>
      </c>
      <c r="P287">
        <v>842</v>
      </c>
      <c r="Q287" t="str">
        <v>Feb/2025</v>
      </c>
      <c r="R287" t="str">
        <v>Catawiki</v>
      </c>
      <c r="S287" t="str">
        <v>800-1200 (2025)</v>
      </c>
      <c r="T287" t="str">
        <v>58 (122) 71 (119) 108 (19)</v>
      </c>
      <c r="U287" t="str">
        <v>The design was inspired by an act performed by acrobat Léon LeRoche at the Barnum &amp; Bailey Circus in 1902, where he scaled a 3.6 meter high spiral inside a rolling metal ball. French inventor M. Célestin Gasselin patented the design on December 6, 1905. Fernand Martin acquired the patent and began production in 1906. The toy was registered in Germany under patent number D.R.G.M. 269277.</v>
      </c>
      <c r="W287" t="str">
        <v>P1010042</v>
      </c>
      <c r="X287" t="str">
        <v>P1010043</v>
      </c>
    </row>
    <row r="288">
      <c r="A288">
        <v>287</v>
      </c>
      <c r="B288" t="str">
        <v>Interplanetary Spaceship ATOM-ROCKET-15</v>
      </c>
      <c r="C288">
        <v>800</v>
      </c>
      <c r="D288" t="str">
        <v>Space Vehicles</v>
      </c>
      <c r="E288" t="str">
        <v>Space / Sci-Fi</v>
      </c>
      <c r="F288" t="str">
        <v>Vertical rocket no.15, w/ astronaut in cockpit</v>
      </c>
      <c r="G288" t="str">
        <v>Battery</v>
      </c>
      <c r="H288" t="str">
        <v>Bump-and-go action, flashing engine, rotating antena, engine noise</v>
      </c>
      <c r="I288" t="str">
        <v>Tin &amp; plastic</v>
      </c>
      <c r="J288" t="str">
        <v>32x16x13</v>
      </c>
      <c r="K288" t="str">
        <v>Yonezawa</v>
      </c>
      <c r="L288" t="str">
        <v>Very Good</v>
      </c>
      <c r="M288">
        <v>1965</v>
      </c>
      <c r="N288">
        <v>1970</v>
      </c>
      <c r="O288" t="str">
        <v>Excellent</v>
      </c>
      <c r="S288" t="str">
        <v>200-300 (2024) w/ box</v>
      </c>
      <c r="T288" t="str">
        <v>35 (22)</v>
      </c>
      <c r="U288" t="str">
        <v>scarcity 6/10</v>
      </c>
      <c r="V288" t="str">
        <v>one side "missile" missing</v>
      </c>
      <c r="W288" t="str">
        <v>PD260012</v>
      </c>
    </row>
    <row r="289">
      <c r="A289">
        <v>288</v>
      </c>
      <c r="B289" t="str">
        <v>Holdraketa</v>
      </c>
      <c r="D289" t="str">
        <v>Space Vehicles</v>
      </c>
      <c r="E289" t="str">
        <v>Space / Sci-Fi</v>
      </c>
      <c r="F289" t="str">
        <v>Vertical grey rocket</v>
      </c>
      <c r="G289" t="str">
        <v>Friction</v>
      </c>
      <c r="H289" t="str">
        <v>When the tip hits an obstacle, the rocket raises vertically, opens hatchet and articulated stairs open</v>
      </c>
      <c r="I289" t="str">
        <v>Tin</v>
      </c>
      <c r="J289" t="str">
        <v>40x11x11</v>
      </c>
      <c r="K289" t="str">
        <v>Lemezarugyar</v>
      </c>
      <c r="L289" t="str">
        <v>Excellent</v>
      </c>
      <c r="M289">
        <v>1990</v>
      </c>
      <c r="N289">
        <v>1999</v>
      </c>
      <c r="O289" t="str">
        <v>Excellent</v>
      </c>
      <c r="S289" t="str">
        <v>100 (2024) w/ box</v>
      </c>
      <c r="T289" t="str">
        <v>43 (178)</v>
      </c>
      <c r="U289" t="str">
        <v>This Hungarian toy is a copy of a japanese original made by  Mausya in the 60s</v>
      </c>
      <c r="W289" t="str">
        <v>PD260013</v>
      </c>
    </row>
    <row r="290">
      <c r="A290">
        <v>289</v>
      </c>
      <c r="B290" t="str">
        <v>Long Distance Jetliner</v>
      </c>
      <c r="C290">
        <v>342</v>
      </c>
      <c r="D290" t="str">
        <v>Space Vehicles</v>
      </c>
      <c r="E290" t="str">
        <v>Space / Sci-Fi</v>
      </c>
      <c r="F290" t="str">
        <v>Jet Plane MF-105</v>
      </c>
      <c r="G290" t="str">
        <v>Friction</v>
      </c>
      <c r="H290" t="str">
        <v>Moves forward</v>
      </c>
      <c r="I290" t="str">
        <v>Tin</v>
      </c>
      <c r="J290" t="str">
        <v>25x13x9</v>
      </c>
      <c r="L290" t="str">
        <v>Excellent</v>
      </c>
      <c r="M290">
        <v>1965</v>
      </c>
      <c r="N290">
        <v>1975</v>
      </c>
      <c r="S290" t="str">
        <v>50-100 (2024)</v>
      </c>
      <c r="V290" t="str">
        <v>made in China</v>
      </c>
      <c r="W290" t="str">
        <v>PD020081</v>
      </c>
      <c r="X290" t="str">
        <v>PD020082</v>
      </c>
    </row>
    <row r="291">
      <c r="A291">
        <v>290</v>
      </c>
      <c r="B291" t="str">
        <v>Space Rocket Apollo-11</v>
      </c>
      <c r="D291" t="str">
        <v>Space Vehicles</v>
      </c>
      <c r="E291" t="str">
        <v>Space / Sci-Fi</v>
      </c>
      <c r="F291" t="str">
        <v>White rocket Apollo-11</v>
      </c>
      <c r="G291" t="str">
        <v>Battery</v>
      </c>
      <c r="H291" t="str">
        <v>Moves forward, stops, raises vertically,  lowers, moves, with engine light and sound</v>
      </c>
      <c r="I291" t="str">
        <v>Plastic</v>
      </c>
      <c r="J291" t="str">
        <v>35x13x11</v>
      </c>
      <c r="K291" t="str">
        <v>Nomura</v>
      </c>
      <c r="L291" t="str">
        <v>Very Good</v>
      </c>
      <c r="M291">
        <v>1969</v>
      </c>
      <c r="N291">
        <v>1970</v>
      </c>
      <c r="S291" t="str">
        <v>120 (2024)</v>
      </c>
      <c r="T291" t="str">
        <v>35 (19)</v>
      </c>
      <c r="U291" t="str">
        <v>scarcity 5/10</v>
      </c>
      <c r="W291" t="str">
        <v>PD260015</v>
      </c>
      <c r="X291" t="str">
        <v>PD260017</v>
      </c>
    </row>
    <row r="292">
      <c r="A292">
        <v>291</v>
      </c>
      <c r="B292" t="str">
        <v>Apollo -X Moon Challenger</v>
      </c>
      <c r="D292" t="str">
        <v>Space Vehicles</v>
      </c>
      <c r="E292" t="str">
        <v>Space / Sci-Fi</v>
      </c>
      <c r="F292" t="str">
        <v>White and blue rocket w/ space capsule on top</v>
      </c>
      <c r="G292" t="str">
        <v>Battery</v>
      </c>
      <c r="H292" t="str">
        <v>Moves forward, stops, raises vertically, petals open and space capsule extends tem retreats and petals close, lowers, moves, with engine blinking light</v>
      </c>
      <c r="I292" t="str">
        <v>Plastic</v>
      </c>
      <c r="J292" t="str">
        <v>42x12x11</v>
      </c>
      <c r="K292" t="str">
        <v>Nomura</v>
      </c>
      <c r="L292" t="str">
        <v>Very Good</v>
      </c>
      <c r="M292">
        <v>1969</v>
      </c>
      <c r="N292">
        <v>1970</v>
      </c>
      <c r="O292" t="str">
        <v>Very Good</v>
      </c>
      <c r="S292" t="str">
        <v>240 (2024)</v>
      </c>
      <c r="T292" t="str">
        <v>35 (20)</v>
      </c>
      <c r="U292" t="str">
        <v>scarcity 5/10</v>
      </c>
      <c r="W292" t="str">
        <v>PD260018</v>
      </c>
      <c r="X292" t="str">
        <v>PD260019</v>
      </c>
    </row>
    <row r="293">
      <c r="A293">
        <v>292</v>
      </c>
      <c r="B293" t="str">
        <v>Space  Rocket Solar-X</v>
      </c>
      <c r="D293" t="str">
        <v>Space Vehicles</v>
      </c>
      <c r="E293" t="str">
        <v>Space / Sci-Fi</v>
      </c>
      <c r="F293" t="str">
        <v>Grey and red vertical rocket 7</v>
      </c>
      <c r="G293" t="str">
        <v>Battery</v>
      </c>
      <c r="H293" t="str">
        <v>Moves forward, raises vertically, wings spread and recoil, lowers, with engine light and sound</v>
      </c>
      <c r="I293" t="str">
        <v>Tin &amp; plastic</v>
      </c>
      <c r="J293" t="str">
        <v>40x12x13</v>
      </c>
      <c r="K293" t="str">
        <v>Nomura</v>
      </c>
      <c r="L293" t="str">
        <v>Very Good</v>
      </c>
      <c r="M293">
        <v>1968</v>
      </c>
      <c r="N293">
        <v>1970</v>
      </c>
      <c r="S293" t="str">
        <v>120 (2024)</v>
      </c>
      <c r="T293" t="str">
        <v>35 (171) 62 (115) 132 (139)</v>
      </c>
      <c r="U293" t="str">
        <v>scarcity 3/10; a second later variant was called Solar X-8 with different litography</v>
      </c>
      <c r="W293" t="str">
        <v>PD260021</v>
      </c>
      <c r="X293" t="str">
        <v>PD260022</v>
      </c>
    </row>
    <row r="294">
      <c r="A294">
        <v>293</v>
      </c>
      <c r="B294" t="str">
        <v>Space Rocket Saturn-X5</v>
      </c>
      <c r="C294">
        <v>5758</v>
      </c>
      <c r="D294" t="str">
        <v>Space Vehicles</v>
      </c>
      <c r="E294" t="str">
        <v>Space / Sci-Fi</v>
      </c>
      <c r="F294" t="str">
        <v>Horizontal rocket w/ green window</v>
      </c>
      <c r="G294" t="str">
        <v>Battery</v>
      </c>
      <c r="H294" t="str">
        <v>Mystery action, door opens and closes, engine sound</v>
      </c>
      <c r="I294" t="str">
        <v>Tin &amp; plastic</v>
      </c>
      <c r="J294" t="str">
        <v>28x8x10</v>
      </c>
      <c r="K294" t="str">
        <v>Alps</v>
      </c>
      <c r="L294" t="str">
        <v>Very Good</v>
      </c>
      <c r="M294">
        <v>1965</v>
      </c>
      <c r="N294">
        <v>1970</v>
      </c>
      <c r="O294" t="str">
        <v>Very Good</v>
      </c>
      <c r="U294" t="str">
        <v>lid of battery box with rust</v>
      </c>
      <c r="W294" t="str">
        <v>PD020085</v>
      </c>
      <c r="X294" t="str">
        <v>PD020086</v>
      </c>
      <c r="Y294" t="str">
        <v>PD020088</v>
      </c>
    </row>
    <row r="295">
      <c r="A295">
        <v>294</v>
      </c>
      <c r="B295" t="str">
        <v>NIKE</v>
      </c>
      <c r="C295" t="str">
        <v>MS-84</v>
      </c>
      <c r="D295" t="str">
        <v>Space Vehicles</v>
      </c>
      <c r="E295" t="str">
        <v>Space / Sci-Fi</v>
      </c>
      <c r="F295" t="str">
        <v>Blue and White Rocket NIKE</v>
      </c>
      <c r="G295" t="str">
        <v>Friction</v>
      </c>
      <c r="H295" t="str">
        <v>Moves by friction, when it hits na obstacle stands-up</v>
      </c>
      <c r="I295" t="str">
        <v>Tin</v>
      </c>
      <c r="J295" t="str">
        <v>19x7x7</v>
      </c>
      <c r="K295" t="str">
        <v>Masuya</v>
      </c>
      <c r="L295" t="str">
        <v>Very Good</v>
      </c>
      <c r="M295">
        <v>1965</v>
      </c>
      <c r="N295">
        <v>1970</v>
      </c>
      <c r="S295" t="str">
        <v>100 (2024)</v>
      </c>
      <c r="T295" t="str">
        <v>132 (53)</v>
      </c>
      <c r="U295" t="str">
        <v>several variants with different litographies; pat. P. 55095</v>
      </c>
      <c r="W295" t="str">
        <v>PD020083</v>
      </c>
      <c r="X295" t="str">
        <v>PD020084</v>
      </c>
    </row>
    <row r="296">
      <c r="A296">
        <v>295</v>
      </c>
      <c r="B296" t="str">
        <v>DUX ASTROMAN</v>
      </c>
      <c r="C296">
        <v>150</v>
      </c>
      <c r="D296" t="str">
        <v>Robots</v>
      </c>
      <c r="E296" t="str">
        <v>Space / Sci-Fi</v>
      </c>
      <c r="F296" t="str">
        <v>Green plastic transparent robot</v>
      </c>
      <c r="G296" t="str">
        <v>Battery</v>
      </c>
      <c r="H296" t="str">
        <v>Yellow button: raise and lower arms; green button: opens and closes arms laterally; red button: move forward; blue button: bend over and back</v>
      </c>
      <c r="I296" t="str">
        <v>Plastic</v>
      </c>
      <c r="J296" t="str">
        <v>10x12x35</v>
      </c>
      <c r="K296" t="str">
        <v>Dux</v>
      </c>
      <c r="L296" t="str">
        <v>Excellent</v>
      </c>
      <c r="M296">
        <v>1959</v>
      </c>
      <c r="N296">
        <v>1965</v>
      </c>
      <c r="O296" t="str">
        <v>Excellent w/ instructions</v>
      </c>
      <c r="S296" t="str">
        <v>1500-2000 (2024) w/ box</v>
      </c>
      <c r="T296" t="str">
        <v>43 (107)</v>
      </c>
      <c r="U296" t="str">
        <v>Designed by Lothar Stanetzki of Bonn; The original patent, was filed in January 1960 and granted in April 1964; considered as the first plastic robot; desirability 6/8</v>
      </c>
      <c r="V296" t="str">
        <v>spare antena (incomplete); cargo boxes missing</v>
      </c>
      <c r="W296" t="str">
        <v>PD020089</v>
      </c>
      <c r="X296" t="str">
        <v>PD020090</v>
      </c>
    </row>
    <row r="297">
      <c r="A297">
        <v>296</v>
      </c>
      <c r="B297" t="str">
        <v>Rotate-O-Matic Super Astronaut</v>
      </c>
      <c r="D297" t="str">
        <v>Robots</v>
      </c>
      <c r="E297" t="str">
        <v>Space / Sci-Fi</v>
      </c>
      <c r="F297" t="str">
        <v>Black robot w/ humnan face shooting guns</v>
      </c>
      <c r="G297" t="str">
        <v>Battery</v>
      </c>
      <c r="H297" t="str">
        <v>Moves forward, stops, swings doors, rotates body while shooting (blinking lights and sound)</v>
      </c>
      <c r="I297" t="str">
        <v>Tin</v>
      </c>
      <c r="J297" t="str">
        <v>9x14x30</v>
      </c>
      <c r="K297" t="str">
        <v>Horikawa</v>
      </c>
      <c r="L297" t="str">
        <v>Excellent</v>
      </c>
      <c r="M297">
        <v>1970</v>
      </c>
      <c r="N297">
        <v>1972</v>
      </c>
      <c r="O297" t="str">
        <v>Excellent</v>
      </c>
      <c r="S297" t="str">
        <v>300-500 (2024) w/ box</v>
      </c>
      <c r="T297" t="str">
        <v>35 (151) 132 (162)</v>
      </c>
      <c r="U297" t="str">
        <v>scarcity 1/10</v>
      </c>
      <c r="W297" t="str">
        <v>PD020091</v>
      </c>
      <c r="X297" t="str">
        <v>PD020093</v>
      </c>
    </row>
    <row r="298">
      <c r="A298">
        <v>297</v>
      </c>
      <c r="B298" t="str">
        <v>Musical Robot</v>
      </c>
      <c r="D298" t="str">
        <v>Robots</v>
      </c>
      <c r="E298" t="str">
        <v>Space / Sci-Fi</v>
      </c>
      <c r="F298" t="str">
        <v>Red and white plastic musical robot</v>
      </c>
      <c r="G298" t="str">
        <v>Battery</v>
      </c>
      <c r="H298" t="str">
        <v>Moves forward while plays music, stops with blinking light</v>
      </c>
      <c r="I298" t="str">
        <v>Plastic</v>
      </c>
      <c r="J298" t="str">
        <v>10x16x30</v>
      </c>
      <c r="K298" t="str">
        <v>HC Toys</v>
      </c>
      <c r="L298" t="str">
        <v>Very Good</v>
      </c>
      <c r="M298">
        <v>1980</v>
      </c>
      <c r="N298">
        <v>1990</v>
      </c>
      <c r="O298" t="str">
        <v>Very Good</v>
      </c>
      <c r="S298" t="str">
        <v>200 (2024) w/ box</v>
      </c>
      <c r="V298" t="str">
        <v>does not play music</v>
      </c>
      <c r="W298" t="str">
        <v>PD020094</v>
      </c>
      <c r="X298" t="str">
        <v>PD020095</v>
      </c>
    </row>
    <row r="299">
      <c r="A299">
        <v>298</v>
      </c>
      <c r="B299" t="str">
        <v>SATURN Robot</v>
      </c>
      <c r="C299">
        <v>1981</v>
      </c>
      <c r="D299" t="str">
        <v>Robots</v>
      </c>
      <c r="E299" t="str">
        <v>Space / Sci-Fi</v>
      </c>
      <c r="F299" t="str">
        <v>Black plastic robot w/ large TV screen</v>
      </c>
      <c r="G299" t="str">
        <v>Battery</v>
      </c>
      <c r="H299" t="str">
        <v>Moves forward as a space scene scrolls across the TV screen; 4 missiles can be manually shot</v>
      </c>
      <c r="I299" t="str">
        <v>Plastic</v>
      </c>
      <c r="J299" t="str">
        <v>11x17x30</v>
      </c>
      <c r="K299" t="str">
        <v>KAMCO</v>
      </c>
      <c r="L299" t="str">
        <v>Excellent</v>
      </c>
      <c r="M299">
        <v>1984</v>
      </c>
      <c r="N299">
        <v>1990</v>
      </c>
      <c r="O299" t="str">
        <v>Very Good</v>
      </c>
      <c r="S299" t="str">
        <v>150-250 (2025) w/ box</v>
      </c>
      <c r="W299" t="str">
        <v>PD030210</v>
      </c>
      <c r="X299" t="str">
        <v>PD030211</v>
      </c>
    </row>
    <row r="300">
      <c r="A300">
        <v>299</v>
      </c>
      <c r="B300" t="str">
        <v>Television Spaceman</v>
      </c>
      <c r="D300" t="str">
        <v>Robots</v>
      </c>
      <c r="E300" t="str">
        <v>Space / Sci-Fi</v>
      </c>
      <c r="F300" t="str">
        <v>Grey robot w/ astronaut face and helmet, with TV screen in chest</v>
      </c>
      <c r="G300" t="str">
        <v>Clockwork</v>
      </c>
      <c r="H300" t="str">
        <v>Moves forward in a sinusoidal path, while space scene scrolls in chest and antena rotates; arms can be raised manually</v>
      </c>
      <c r="I300" t="str">
        <v>Tin &amp; plastic</v>
      </c>
      <c r="J300" t="str">
        <v>5x6x19</v>
      </c>
      <c r="K300" t="str">
        <v>Alps</v>
      </c>
      <c r="L300" t="str">
        <v>Excellent</v>
      </c>
      <c r="M300">
        <v>1965</v>
      </c>
      <c r="N300">
        <v>1970</v>
      </c>
      <c r="O300" t="str">
        <v>Excellent</v>
      </c>
      <c r="P300">
        <v>366</v>
      </c>
      <c r="Q300" t="str">
        <v>Dex2021</v>
      </c>
      <c r="R300" t="str">
        <v>Catawiki</v>
      </c>
      <c r="S300" t="str">
        <v>300-500 (2025) w/ box</v>
      </c>
      <c r="T300" t="str">
        <v>43 (111) 132 (94)</v>
      </c>
      <c r="U300" t="str">
        <v>desirability 4/8</v>
      </c>
      <c r="W300" t="str">
        <v>PD020103</v>
      </c>
      <c r="X300" t="str">
        <v>PD020104</v>
      </c>
    </row>
    <row r="301">
      <c r="A301">
        <v>300</v>
      </c>
      <c r="B301" t="str">
        <v>TOBOR Robot Mecanico Centelleante</v>
      </c>
      <c r="D301" t="str">
        <v>Robots</v>
      </c>
      <c r="E301" t="str">
        <v>Space / Sci-Fi</v>
      </c>
      <c r="F301" t="str">
        <v xml:space="preserve">Robot w/ "W" in chest </v>
      </c>
      <c r="G301" t="str">
        <v>Clockwork</v>
      </c>
      <c r="H301" t="str">
        <v>Moves forward, sparks in chest</v>
      </c>
      <c r="I301" t="str">
        <v>Tin</v>
      </c>
      <c r="J301" t="str">
        <v>7x11.5x16</v>
      </c>
      <c r="K301" t="str">
        <v>Capri</v>
      </c>
      <c r="L301" t="str">
        <v>Excellent</v>
      </c>
      <c r="O301" t="str">
        <v xml:space="preserve"> Good</v>
      </c>
      <c r="P301">
        <v>298</v>
      </c>
      <c r="Q301">
        <v>45474</v>
      </c>
      <c r="R301" t="str">
        <v>Catawiki</v>
      </c>
      <c r="S301" t="str">
        <v>&gt;200 (2024) w/ box</v>
      </c>
      <c r="T301" t="str">
        <v>3 (247) 43 (65)</v>
      </c>
      <c r="U301" t="str">
        <v>This is an Argentinian version of the Noguchi (logo N inside a triangle) "Mechanical Sparking Spaceman"; desirability 4/8</v>
      </c>
      <c r="W301" t="str">
        <v>PD020100</v>
      </c>
      <c r="X301" t="str">
        <v>PD020102</v>
      </c>
    </row>
    <row r="302">
      <c r="A302">
        <v>301</v>
      </c>
      <c r="B302" t="str">
        <v>Roboy ST-1</v>
      </c>
      <c r="D302" t="str">
        <v>Robots</v>
      </c>
      <c r="E302" t="str">
        <v>Space / Sci-Fi</v>
      </c>
      <c r="F302" t="str">
        <v>Silver robot</v>
      </c>
      <c r="G302" t="str">
        <v>Clockwork</v>
      </c>
      <c r="H302" t="str">
        <v>Legs walk, makes sparks</v>
      </c>
      <c r="I302" t="str">
        <v>Tin</v>
      </c>
      <c r="J302" t="str">
        <v>10x6x20</v>
      </c>
      <c r="K302" t="str">
        <v>STRENCO</v>
      </c>
      <c r="L302" t="str">
        <v>Excellent</v>
      </c>
      <c r="M302">
        <v>1956</v>
      </c>
      <c r="N302">
        <v>1960</v>
      </c>
      <c r="S302" t="str">
        <v>&gt; 300 (2024)</v>
      </c>
      <c r="T302" t="str">
        <v>43 (31) 47 (98) 132 (75)</v>
      </c>
      <c r="U302" t="str">
        <v>Similar to "Zoomer the Robot" by Nomura; desirability 5/8</v>
      </c>
      <c r="W302" t="str">
        <v>PD020097</v>
      </c>
      <c r="X302" t="str">
        <v>PD020098</v>
      </c>
    </row>
    <row r="303">
      <c r="A303">
        <v>302</v>
      </c>
      <c r="B303" t="str">
        <v>Television Spaceman</v>
      </c>
      <c r="C303">
        <v>5235</v>
      </c>
      <c r="D303" t="str">
        <v>Robots</v>
      </c>
      <c r="E303" t="str">
        <v>Space / Sci-Fi</v>
      </c>
      <c r="F303" t="str">
        <v>Dark robot w/ red antena and TV screen in chest</v>
      </c>
      <c r="G303" t="str">
        <v>Battery</v>
      </c>
      <c r="H303" t="str">
        <v>On/off button is antena; walks as a space scene scrolls across the TV screen and swings arms; rolls eyes</v>
      </c>
      <c r="I303" t="str">
        <v>Tin &amp; plastic</v>
      </c>
      <c r="J303" t="str">
        <v>11x16x38</v>
      </c>
      <c r="K303" t="str">
        <v>Alps</v>
      </c>
      <c r="L303" t="str">
        <v>Excellent</v>
      </c>
      <c r="M303">
        <v>1961</v>
      </c>
      <c r="N303">
        <v>1969</v>
      </c>
      <c r="O303" t="str">
        <v>Good</v>
      </c>
      <c r="R303" t="str">
        <v>Gonçalo Rueda</v>
      </c>
      <c r="S303" t="str">
        <v>1000-2500 (2024) w/ box</v>
      </c>
      <c r="T303" t="str">
        <v>35 (186) 62 (106) 132 (27)</v>
      </c>
      <c r="U303" t="str">
        <v xml:space="preserve">Was made in 4 variants throughout the 1960s, but with the same box showing a metal antena;  variant 1 (1961-1963) had metal feet and legs, smaller television screen, clear mask, golden eyes that are closer to the front of the mask, tin battery cover, small u shaped hands, and diamond shaped metal radar dish. Variant 2 (1964) had plastic feet with three ridges on the front, and a plastic battery door.  Variant 3 (1965-1966) had red plastic circular antenna, plastic battery door and feet, but metal legs. Variant 4 (ours) (1967-1969) had plastic legs, large C shaped hands, a slightly larger TV screen, a red plastic hole for the antenna to go into, a rose tint facial mask, a slightly different color band for the mouth, the eyes are more set to the back of the head, and the trimming of the control panel is gray instead of it being a light sky blue.    Cost: $3.49 (1961), $3.79 (1963), $3.99 (1964), $4.49 (1968); scarcity 7/10; </v>
      </c>
      <c r="W303" t="str">
        <v>PD260029</v>
      </c>
      <c r="X303" t="str">
        <v>PD260030</v>
      </c>
      <c r="Y303" t="str">
        <v>PD260031</v>
      </c>
    </row>
    <row r="304">
      <c r="A304">
        <v>303</v>
      </c>
      <c r="B304" t="str">
        <v>Universe Rocket</v>
      </c>
      <c r="C304" t="str">
        <v>MF 030</v>
      </c>
      <c r="D304" t="str">
        <v>Space Vehicles</v>
      </c>
      <c r="E304" t="str">
        <v>Space / Sci-Fi</v>
      </c>
      <c r="F304" t="str">
        <v>Grey "Universe " rocket</v>
      </c>
      <c r="G304" t="str">
        <v>Friction</v>
      </c>
      <c r="H304" t="str">
        <v>Moves forward, makes sparks; retractable tip</v>
      </c>
      <c r="I304" t="str">
        <v>Tin</v>
      </c>
      <c r="J304" t="str">
        <v>28x14x6</v>
      </c>
      <c r="L304" t="str">
        <v>Very Good</v>
      </c>
      <c r="M304">
        <v>1965</v>
      </c>
      <c r="N304">
        <v>1970</v>
      </c>
      <c r="S304" t="str">
        <v>200 (2024) w/ box</v>
      </c>
      <c r="T304" t="str">
        <v>43 (178)</v>
      </c>
      <c r="U304" t="str">
        <v>desirability 3/8</v>
      </c>
      <c r="V304" t="str">
        <v>made in China</v>
      </c>
      <c r="W304" t="str">
        <v>PD020081</v>
      </c>
      <c r="X304" t="str">
        <v>PD020082</v>
      </c>
    </row>
    <row r="305">
      <c r="A305">
        <v>304</v>
      </c>
      <c r="B305" t="str">
        <v>Viscount Plane</v>
      </c>
      <c r="C305" t="str">
        <v>TP-237</v>
      </c>
      <c r="D305" t="str">
        <v>Aircraft</v>
      </c>
      <c r="E305" t="str">
        <v>Travel &amp; Transport</v>
      </c>
      <c r="F305" t="str">
        <v>American Airlines plane, showing stewardess and passengers</v>
      </c>
      <c r="G305" t="str">
        <v>Battery</v>
      </c>
      <c r="H305" t="str">
        <v>lever opens canopy:  central switch turns lights on the wings and stewerdess walks to and fro; right and left switches turn on respective helices; close canopy and plane starts to run; pull front lever and plane stops</v>
      </c>
      <c r="I305" t="str">
        <v>Tin &amp; plastic</v>
      </c>
      <c r="J305" t="str">
        <v>45x48x18</v>
      </c>
      <c r="K305" t="str">
        <v>Tomiyama</v>
      </c>
      <c r="L305" t="str">
        <v>Excellent</v>
      </c>
      <c r="M305">
        <v>1962</v>
      </c>
      <c r="N305">
        <v>1970</v>
      </c>
      <c r="S305" t="str">
        <v xml:space="preserve">400-600 (2024) </v>
      </c>
      <c r="T305" t="str">
        <v>14 (96) 62 (52) 104 (114)</v>
      </c>
      <c r="U305" t="str">
        <v xml:space="preserve">The Vickers Viscount passenger plane entered service in 1953. Tomy catalogue (1966) mentions 3 decorations: SAS, LH &amp; Alitalia; Rosko toys sold "Viscount Air Liner" of American Lines (our toy); toys were made with 2 logos, one for 1959-1963, the other (our) 1963-1982. </v>
      </c>
      <c r="W305" t="str">
        <v>PD260032</v>
      </c>
      <c r="X305" t="str">
        <v>PD260033</v>
      </c>
    </row>
    <row r="306">
      <c r="A306">
        <v>305</v>
      </c>
      <c r="B306" t="str">
        <v>Electro Radiant 5600</v>
      </c>
      <c r="C306">
        <v>5600</v>
      </c>
      <c r="D306" t="str">
        <v>Aircraft</v>
      </c>
      <c r="E306" t="str">
        <v>Travel &amp; Transport</v>
      </c>
      <c r="F306" t="str">
        <v>Pan-American airplane w/ two pilots in transparent canopy</v>
      </c>
      <c r="G306" t="str">
        <v>Battery</v>
      </c>
      <c r="H306" t="str">
        <v>Performs the original starting process of the real plane. The four engines start one after the other with an interval of about five seconds each, then the engines switch to high speed and the aircraft starts to taxi, whereby the direction can be changed via a steering wire. In addition, a small light bulb lights up on the nose of the aircraft. After taxiing, the four motors switch off again one after the other and the process is repeated as long as the switch is set to "automatic"</v>
      </c>
      <c r="I306" t="str">
        <v>Tin &amp; plastic</v>
      </c>
      <c r="J306" t="str">
        <v>42x48x16</v>
      </c>
      <c r="K306" t="str">
        <v>Schuco</v>
      </c>
      <c r="L306" t="str">
        <v>Very Good</v>
      </c>
      <c r="M306">
        <v>1957</v>
      </c>
      <c r="N306">
        <v>1968</v>
      </c>
      <c r="P306">
        <v>200</v>
      </c>
      <c r="Q306" t="str">
        <v>1990s</v>
      </c>
      <c r="R306" t="str">
        <v>Toy collector in Amadora</v>
      </c>
      <c r="S306" t="str">
        <v>1000 (2024) w/ box</v>
      </c>
      <c r="T306" t="str">
        <v xml:space="preserve">14 (93) 22 (201) 35 (68) 66 (397) 89 (80) 92 (196) </v>
      </c>
      <c r="U306" t="str">
        <v>Based on the four-engined Vickers Viscount 814. There are replicas of this toymade in 2005 (approx. 300€, 700€ w/ box) in 2025). "Replica" is printed on the bottom; scarcity 8/10</v>
      </c>
      <c r="V306" t="str">
        <v>does not work properly (gear defect, two gears are not interconnecting)</v>
      </c>
      <c r="W306" t="str">
        <v>PD260037</v>
      </c>
    </row>
    <row r="307">
      <c r="A307">
        <v>306</v>
      </c>
      <c r="B307" t="str">
        <v>Jet Plane Douglas DC-9</v>
      </c>
      <c r="D307" t="str">
        <v>Aircraft</v>
      </c>
      <c r="E307" t="str">
        <v>Travel &amp; Transport</v>
      </c>
      <c r="F307" t="str">
        <v>TWA airplane that opens door and launches ladder</v>
      </c>
      <c r="G307" t="str">
        <v>Battery</v>
      </c>
      <c r="H307" t="str">
        <v>Moves with engine lights and sound, stops, opens door and launches ladder while showing a stewerdess</v>
      </c>
      <c r="I307" t="str">
        <v>Tin &amp; plastic</v>
      </c>
      <c r="J307" t="str">
        <v>40x35x14</v>
      </c>
      <c r="K307" t="str">
        <v>Nomura</v>
      </c>
      <c r="L307" t="str">
        <v>Very Good</v>
      </c>
      <c r="M307">
        <v>1966</v>
      </c>
      <c r="N307">
        <v>1970</v>
      </c>
      <c r="S307" t="str">
        <v>250-300 (2024)</v>
      </c>
      <c r="U307" t="str">
        <v>The McDonnell Douglas DC-9 (initially known as the Douglas DC-9) is a twin-engine, single-aisle jet airliner, first manufactured in 1965, while the last was delivered in October 1982. Has a second trademark from Nikko Toy (103 (226))</v>
      </c>
      <c r="W307" t="str">
        <v>PD260046</v>
      </c>
      <c r="X307" t="str">
        <v>PD260047</v>
      </c>
      <c r="Y307" t="str">
        <v>PD260048</v>
      </c>
    </row>
    <row r="308">
      <c r="A308">
        <v>307</v>
      </c>
      <c r="B308" t="str">
        <v>Jet Plane Douglas DC-10</v>
      </c>
      <c r="D308" t="str">
        <v>Aircraft</v>
      </c>
      <c r="E308" t="str">
        <v>Travel &amp; Transport</v>
      </c>
      <c r="F308" t="str">
        <v>American Airlines plane, showing stewardesses at the doors</v>
      </c>
      <c r="G308" t="str">
        <v>Battery</v>
      </c>
      <c r="H308" t="str">
        <v>Moves with engine lights and sound, stops, opens doors and shows stewerdesses</v>
      </c>
      <c r="I308" t="str">
        <v>Tin &amp; plastic</v>
      </c>
      <c r="J308" t="str">
        <v>36x32x15</v>
      </c>
      <c r="K308" t="str">
        <v>Nomura</v>
      </c>
      <c r="L308" t="str">
        <v>Good</v>
      </c>
      <c r="M308">
        <v>1972</v>
      </c>
      <c r="N308">
        <v>1975</v>
      </c>
      <c r="T308" t="str">
        <v>14 (116) 83 (98) 110 (508)</v>
      </c>
      <c r="U308" t="str">
        <v>The McDonnell Douglas DC-10 is a trijet wide-body aircraft  intended to succeed the DC-8 for long-range flights. It was introduced on August 5, 1971, by American Airlines; production ended in 1989. Has a second trademark from Nikko Toy (103 (226))</v>
      </c>
      <c r="W308" t="str">
        <v>PD260049</v>
      </c>
      <c r="X308" t="str">
        <v>PD260051</v>
      </c>
      <c r="Y308" t="str">
        <v>PD260053</v>
      </c>
    </row>
    <row r="309">
      <c r="A309">
        <v>308</v>
      </c>
      <c r="B309" t="str">
        <v>PAN AM Boeing 747 SP Flying Jet Plane</v>
      </c>
      <c r="D309" t="str">
        <v>Aircraft</v>
      </c>
      <c r="E309" t="str">
        <v>Travel &amp; Transport</v>
      </c>
      <c r="F309" t="str">
        <v>White 747 on on a black base</v>
      </c>
      <c r="G309" t="str">
        <v>Battery</v>
      </c>
      <c r="H309" t="str">
        <v>runs foeard, progressivley takes off (base extends vertically), then lands</v>
      </c>
      <c r="I309" t="str">
        <v>Tin &amp; plastic</v>
      </c>
      <c r="J309" t="str">
        <v>32x32x11</v>
      </c>
      <c r="K309" t="str">
        <v>Roty</v>
      </c>
      <c r="L309" t="str">
        <v>Very Good</v>
      </c>
      <c r="M309">
        <v>1985</v>
      </c>
      <c r="N309">
        <v>1990</v>
      </c>
      <c r="S309" t="str">
        <v>200 (2024)</v>
      </c>
      <c r="U309" t="str">
        <v xml:space="preserve">Boeing 747 is a long-range wide-body airliner designed and manufactured by Boeing Commercial Airplanes in the United States between 1968 and 2023. </v>
      </c>
      <c r="W309" t="str">
        <v>PD020108</v>
      </c>
    </row>
    <row r="310">
      <c r="A310">
        <v>309</v>
      </c>
      <c r="B310" t="str">
        <v>Concorde Funplane</v>
      </c>
      <c r="C310" t="str">
        <v>FPCON64</v>
      </c>
      <c r="D310" t="str">
        <v>Aircraft</v>
      </c>
      <c r="E310" t="str">
        <v>Travel &amp; Transport</v>
      </c>
      <c r="F310" t="str">
        <v>Small British Airways Concorde</v>
      </c>
      <c r="G310" t="str">
        <v>Battery</v>
      </c>
      <c r="H310" t="str">
        <v>pull-back action; pressing button engine noise</v>
      </c>
      <c r="I310" t="str">
        <v>Plastic</v>
      </c>
      <c r="J310" t="str">
        <v>20x9x4</v>
      </c>
      <c r="L310" t="str">
        <v>Excellent</v>
      </c>
      <c r="M310">
        <v>2000</v>
      </c>
      <c r="N310">
        <v>2005</v>
      </c>
      <c r="O310" t="str">
        <v>Excellent</v>
      </c>
      <c r="P310">
        <v>7</v>
      </c>
      <c r="Q310" t="str">
        <v>May/2005</v>
      </c>
      <c r="R310" t="str">
        <v>onboard BA</v>
      </c>
      <c r="U310" t="str">
        <v>Exclusive to British Airways, supplied by Premier Portfolio International Ltd, UK. Construction of six prototypes began in February 1965, and Concorde entered service on 21 January 1976 with Air France from Paris-Roissy and British Airways from London Heathrow. On 25 July 2000, Air France Flight 4590 crashed shortly after take-off; commercial service was suspended until November 2001. The surviving aircraft were retired in 2003</v>
      </c>
      <c r="V310" t="str">
        <v>made in China</v>
      </c>
      <c r="W310" t="str">
        <v>PD020110</v>
      </c>
      <c r="X310" t="str">
        <v>PD020111</v>
      </c>
    </row>
    <row r="311">
      <c r="A311">
        <v>310</v>
      </c>
      <c r="B311" t="str">
        <v>Concorde</v>
      </c>
      <c r="C311">
        <v>1105</v>
      </c>
      <c r="D311" t="str">
        <v>Aircraft</v>
      </c>
      <c r="E311" t="str">
        <v>Travel &amp; Transport</v>
      </c>
      <c r="F311" t="str">
        <v>Concorde Lufthansa</v>
      </c>
      <c r="G311" t="str">
        <v>Friction</v>
      </c>
      <c r="H311" t="str">
        <v>Moves forward, sparks from engine</v>
      </c>
      <c r="I311" t="str">
        <v>Tin &amp; plastic</v>
      </c>
      <c r="J311" t="str">
        <v>33x15x9</v>
      </c>
      <c r="K311" t="str">
        <v>GAMA</v>
      </c>
      <c r="L311" t="str">
        <v>Good</v>
      </c>
      <c r="M311">
        <v>1968</v>
      </c>
      <c r="N311">
        <v>1970</v>
      </c>
      <c r="O311" t="str">
        <v>Very Good</v>
      </c>
      <c r="T311" t="str">
        <v>22 (210) 44 (128) 45 (90)</v>
      </c>
      <c r="U311" t="str">
        <v>Construction of six prototypes began in February 1965, and Concorde entered service on 21 January 1976 with Air France from Paris-Roissy and British Airways from London Heathrow. On 25 July 2000, Air France Flight 4590 crashed shortly after take-off; commercial service was suspended until November 2001. The surviving aircraft were retired in 2003</v>
      </c>
      <c r="W311" t="str">
        <v>PD260054</v>
      </c>
      <c r="X311" t="str">
        <v>PD260055</v>
      </c>
      <c r="Y311" t="str">
        <v>PD260056</v>
      </c>
    </row>
    <row r="312">
      <c r="A312">
        <v>311</v>
      </c>
      <c r="B312" t="str">
        <v>British Airways Concorde</v>
      </c>
      <c r="D312" t="str">
        <v>Aircraft</v>
      </c>
      <c r="E312" t="str">
        <v>Travel &amp; Transport</v>
      </c>
      <c r="F312" t="str">
        <v>Concorde British Airways</v>
      </c>
      <c r="G312" t="str">
        <v>Battery</v>
      </c>
      <c r="H312" t="str">
        <v>Moves forward with light and engine sound</v>
      </c>
      <c r="I312" t="str">
        <v>Tin &amp; Plastic</v>
      </c>
      <c r="J312" t="str">
        <v>46x21x11.5</v>
      </c>
      <c r="K312" t="str">
        <v>Daiya</v>
      </c>
      <c r="L312" t="str">
        <v>Very Good</v>
      </c>
      <c r="M312">
        <v>1967</v>
      </c>
      <c r="N312">
        <v>1980</v>
      </c>
      <c r="O312" t="str">
        <v>1. Excellent; 2. Good (differences in printing)</v>
      </c>
      <c r="T312" t="str">
        <v>14 (128)</v>
      </c>
      <c r="U312" t="str">
        <v>we have two (boxed) with red and blue details, respectively; there is also a variant made in Greece by Lyra (no.200); Construction of six prototypes began in February 1965, and Concorde entered service on 21 January 1976 with Air France from Paris-Roissy and British Airways from London Heathrow. On 25 July 2000, Air France Flight 4590 crashed shortly after take-off; commercial service was suspended until November 2001. The surviving aircraft were retired in 2003</v>
      </c>
      <c r="W312" t="str">
        <v>PD260057</v>
      </c>
      <c r="X312" t="str">
        <v>PD260058</v>
      </c>
    </row>
    <row r="313">
      <c r="A313">
        <v>312</v>
      </c>
      <c r="B313" t="str">
        <v>Super-Sonic Concorde</v>
      </c>
      <c r="D313" t="str">
        <v>Aircraft</v>
      </c>
      <c r="E313" t="str">
        <v>Travel &amp; Transport</v>
      </c>
      <c r="F313" t="str">
        <v>Super-Sonic Concorde British Airways</v>
      </c>
      <c r="G313" t="str">
        <v>Battery</v>
      </c>
      <c r="H313" t="str">
        <v>Moves forward with light and engine sound</v>
      </c>
      <c r="I313" t="str">
        <v>Plastic</v>
      </c>
      <c r="J313" t="str">
        <v>52x23x12</v>
      </c>
      <c r="K313" t="str">
        <v>HC Toys</v>
      </c>
      <c r="L313" t="str">
        <v>Excellent</v>
      </c>
      <c r="M313">
        <v>1977</v>
      </c>
      <c r="N313">
        <v>1980</v>
      </c>
      <c r="U313" t="str">
        <v>This toy appears to be based on a previous 1976 Alps toy Concorde. Construction of six prototypes began in February 1965, and Concorde entered service on 21 January 1976 with Air France from Paris-Roissy and British Airways from London Heathrow. On 25 July 2000, Air France Flight 4590 crashed shortly after take-off; commercial service was suspended until November 2001. The surviving aircraft were retired in 2003</v>
      </c>
      <c r="V313" t="str">
        <v>lid of battery compartment missing</v>
      </c>
      <c r="W313" t="str">
        <v>PD260059</v>
      </c>
      <c r="X313" t="str">
        <v>PD260060</v>
      </c>
    </row>
    <row r="314">
      <c r="A314">
        <v>313</v>
      </c>
      <c r="B314" t="str">
        <v>Concorde</v>
      </c>
      <c r="C314">
        <v>2894</v>
      </c>
      <c r="D314" t="str">
        <v>Aircraft</v>
      </c>
      <c r="E314" t="str">
        <v>Travel &amp; Transport</v>
      </c>
      <c r="F314" t="str">
        <v>Concorde w/ remote control</v>
      </c>
      <c r="G314" t="str">
        <v>Battery</v>
      </c>
      <c r="H314" t="str">
        <v>Steerable, moves forward, engine lights</v>
      </c>
      <c r="I314" t="str">
        <v>Tin &amp; plastic</v>
      </c>
      <c r="J314" t="str">
        <v>58x26x12</v>
      </c>
      <c r="K314" t="str">
        <v>Joustra</v>
      </c>
      <c r="L314" t="str">
        <v>Good</v>
      </c>
      <c r="M314">
        <v>1970</v>
      </c>
      <c r="N314">
        <v>1976</v>
      </c>
      <c r="S314" t="str">
        <v>60 (2024)</v>
      </c>
      <c r="T314" t="str">
        <v>14 (127) 55 (160)</v>
      </c>
      <c r="U314" t="str">
        <v>first version (1968) was friction powered; Construction of six prototypes began in February 1965, and Concorde entered service on 21 January 1976 with Air France from Paris-Roissy and British Airways from London Heathrow. On 25 July 2000, Air France Flight 4590 crashed shortly after take-off; commercial service was suspended until November 2001. The surviving aircraft were retired in 2003</v>
      </c>
      <c r="W314" t="str">
        <v>PD260061</v>
      </c>
    </row>
    <row r="315">
      <c r="A315">
        <v>314</v>
      </c>
      <c r="B315" t="str">
        <v>Flying-Hops</v>
      </c>
      <c r="C315" t="str">
        <v>"10/5"</v>
      </c>
      <c r="D315" t="str">
        <v>Aircraft</v>
      </c>
      <c r="E315" t="str">
        <v>Travel &amp; Transport</v>
      </c>
      <c r="F315" t="str">
        <v>Jet plane on a base</v>
      </c>
      <c r="G315" t="str">
        <v>Clockwork</v>
      </c>
      <c r="H315" t="str">
        <v>Base moves forward, bars connecting to plane raises, so that the plane takes off, flies in circles and lands</v>
      </c>
      <c r="I315" t="str">
        <v>Tin</v>
      </c>
      <c r="J315" t="str">
        <v>16x14x7</v>
      </c>
      <c r="K315" t="str">
        <v>HUKI</v>
      </c>
      <c r="L315" t="str">
        <v>Excellent</v>
      </c>
      <c r="M315">
        <v>1960</v>
      </c>
      <c r="N315">
        <v>1965</v>
      </c>
      <c r="P315">
        <v>158</v>
      </c>
      <c r="Q315">
        <v>44531</v>
      </c>
      <c r="R315" t="str">
        <v>Catawiki</v>
      </c>
      <c r="S315" t="str">
        <v>220-250 (2024) w/ box</v>
      </c>
      <c r="T315" t="str">
        <v>14 (165) 46 (161)</v>
      </c>
      <c r="U315" t="str">
        <v>We have two, one SAS the other KLM; replicas exists with a different box</v>
      </c>
      <c r="W315" t="str">
        <v>PD020126</v>
      </c>
      <c r="X315" t="str">
        <v>PD020127</v>
      </c>
      <c r="Y315" t="str">
        <v>PD020128</v>
      </c>
    </row>
    <row r="316">
      <c r="A316">
        <v>315</v>
      </c>
      <c r="B316" t="str">
        <v>Shooting Warplane with Turning Propeller and Machine-Gun Sounds plus Varying Turning Motion</v>
      </c>
      <c r="C316">
        <v>349</v>
      </c>
      <c r="D316" t="str">
        <v>Aircraft</v>
      </c>
      <c r="E316" t="str">
        <v>Military</v>
      </c>
      <c r="F316" t="str">
        <v>K-N 349 flighter plane</v>
      </c>
      <c r="G316" t="str">
        <v>Clockwork</v>
      </c>
      <c r="H316" t="str">
        <v>Wings tilt in forward motion, sparks from machine-gun</v>
      </c>
      <c r="I316" t="str">
        <v>Tin</v>
      </c>
      <c r="J316" t="str">
        <v>18.5x22x6</v>
      </c>
      <c r="K316" t="str">
        <v>Kellermann</v>
      </c>
      <c r="L316" t="str">
        <v>Very Good</v>
      </c>
      <c r="M316">
        <v>1936</v>
      </c>
      <c r="N316">
        <v>1942</v>
      </c>
      <c r="S316" t="str">
        <v>&gt;300</v>
      </c>
      <c r="T316" t="str">
        <v>75 (55,67)</v>
      </c>
      <c r="U316" t="str">
        <v>variant with cockpit without CKO logo (75 (60))</v>
      </c>
      <c r="W316" t="str">
        <v>PD020117</v>
      </c>
      <c r="X316" t="str">
        <v>PD020118</v>
      </c>
    </row>
    <row r="317">
      <c r="A317">
        <v>316</v>
      </c>
      <c r="B317" t="str">
        <v>Komet</v>
      </c>
      <c r="C317">
        <v>366</v>
      </c>
      <c r="D317" t="str">
        <v>Aircraft</v>
      </c>
      <c r="E317" t="str">
        <v>Travel &amp; Transport</v>
      </c>
      <c r="F317" t="str">
        <v>Yellow "Komet" plane</v>
      </c>
      <c r="G317" t="str">
        <v>Clockwork</v>
      </c>
      <c r="H317" t="str">
        <v>Wings tilt in forward motion, sparks from engine</v>
      </c>
      <c r="I317" t="str">
        <v>Tin</v>
      </c>
      <c r="J317" t="str">
        <v>18.5x22x7</v>
      </c>
      <c r="K317" t="str">
        <v>Kellermann</v>
      </c>
      <c r="L317" t="str">
        <v>Good</v>
      </c>
      <c r="M317">
        <v>1948</v>
      </c>
      <c r="N317">
        <v>1955</v>
      </c>
      <c r="S317" t="str">
        <v>220 (2024)</v>
      </c>
      <c r="T317" t="str">
        <v>14 (163) 22 (199) 75 (74)</v>
      </c>
      <c r="U317" t="str">
        <v>uses the same tools as the earlier CKO 349 (316); the toy was named after the world's first jet-propelled passenger plane</v>
      </c>
      <c r="V317" t="str">
        <v>made in US Zone Germany</v>
      </c>
      <c r="W317" t="str">
        <v>PD020120</v>
      </c>
      <c r="X317" t="str">
        <v>PD020121</v>
      </c>
    </row>
    <row r="318">
      <c r="A318">
        <v>317</v>
      </c>
      <c r="B318" t="str">
        <v>Artist</v>
      </c>
      <c r="C318">
        <v>546</v>
      </c>
      <c r="D318" t="str">
        <v>Aircraft</v>
      </c>
      <c r="E318" t="str">
        <v>Travel &amp; Transport</v>
      </c>
      <c r="F318" t="str">
        <v>Green "Artist" plane</v>
      </c>
      <c r="G318" t="str">
        <v>Clockwork</v>
      </c>
      <c r="H318" t="str">
        <v>moves forward and back and somersaults</v>
      </c>
      <c r="I318" t="str">
        <v>Tin</v>
      </c>
      <c r="J318" t="str">
        <v>10x13x5.5</v>
      </c>
      <c r="K318" t="str">
        <v>SCHOPPER</v>
      </c>
      <c r="L318" t="str">
        <v>Very Good</v>
      </c>
      <c r="M318">
        <v>1960</v>
      </c>
      <c r="N318">
        <v>1965</v>
      </c>
      <c r="S318" t="str">
        <v>40-80 (2024)</v>
      </c>
      <c r="V318" t="str">
        <v>We have a second plane with red fuselage and plastic wheels; the base for the somersault is new</v>
      </c>
      <c r="W318" t="str">
        <v>PD020124</v>
      </c>
      <c r="X318" t="str">
        <v>PD020125</v>
      </c>
    </row>
    <row r="319">
      <c r="A319">
        <v>318</v>
      </c>
      <c r="B319" t="str">
        <v>Airplane with folding wings</v>
      </c>
      <c r="D319" t="str">
        <v>Aircraft</v>
      </c>
      <c r="E319" t="str">
        <v>Travel &amp; Transport</v>
      </c>
      <c r="F319" t="str">
        <v>Small red aeroplane w/ folding wings</v>
      </c>
      <c r="G319" t="str">
        <v>Clockwork</v>
      </c>
      <c r="H319" t="str">
        <v>moves forward, rotates propeller</v>
      </c>
      <c r="I319" t="str">
        <v>Tin</v>
      </c>
      <c r="J319" t="str">
        <v>10x14.5x5</v>
      </c>
      <c r="L319" t="str">
        <v>Very Good</v>
      </c>
      <c r="M319">
        <v>1940</v>
      </c>
      <c r="N319">
        <v>1950</v>
      </c>
      <c r="S319" t="str">
        <v>80-100 (2024)</v>
      </c>
      <c r="V319" t="str">
        <v>propeller is new; original wheels?made in Germany</v>
      </c>
      <c r="W319" t="str">
        <v>PD020122</v>
      </c>
      <c r="X319" t="str">
        <v>PD020123</v>
      </c>
    </row>
    <row r="320">
      <c r="A320">
        <v>319</v>
      </c>
      <c r="B320" t="str">
        <v>Bomber Pilot</v>
      </c>
      <c r="C320">
        <v>5022</v>
      </c>
      <c r="D320" t="str">
        <v>Aircraft</v>
      </c>
      <c r="E320" t="str">
        <v>Military</v>
      </c>
      <c r="F320" t="str">
        <v xml:space="preserve">"Bomber" plane </v>
      </c>
      <c r="G320" t="str">
        <v>Battery</v>
      </c>
      <c r="H320" t="str">
        <v>moves forward with rotating propeller, engine lights and sound, stops, opens  cockpit, rotates head and waves right arm, closes cockpit</v>
      </c>
      <c r="I320" t="str">
        <v>Tin &amp; Plastic</v>
      </c>
      <c r="J320" t="str">
        <v>27x23x14</v>
      </c>
      <c r="K320" t="str">
        <v>Yoshiya</v>
      </c>
      <c r="L320" t="str">
        <v>Excellent</v>
      </c>
      <c r="M320">
        <v>1965</v>
      </c>
      <c r="N320">
        <v>1970</v>
      </c>
      <c r="O320" t="str">
        <v>Very Good</v>
      </c>
      <c r="S320" t="str">
        <v>250-350 (2024) w/ box</v>
      </c>
      <c r="T320" t="str">
        <v>14 (83) 35 (34) 83 (100) 89 (79)</v>
      </c>
      <c r="U320" t="str">
        <v>scarcity 5/10; 2 variants "Fighter", in blue or greent in green</v>
      </c>
      <c r="W320" t="str">
        <v>PD020130</v>
      </c>
      <c r="X320" t="str">
        <v>PD020131</v>
      </c>
      <c r="Y320" t="str">
        <v>PD020133</v>
      </c>
    </row>
    <row r="321">
      <c r="A321">
        <v>320</v>
      </c>
      <c r="B321" t="str">
        <v>Mystery Action Plane</v>
      </c>
      <c r="D321" t="str">
        <v>Aircraft</v>
      </c>
      <c r="E321" t="str">
        <v>Military</v>
      </c>
      <c r="F321" t="str">
        <v>XF-160 fighter jet</v>
      </c>
      <c r="G321" t="str">
        <v>Battery</v>
      </c>
      <c r="H321" t="str">
        <v>moves in a pattern flashing engine and machine-gun</v>
      </c>
      <c r="I321" t="str">
        <v>Tin</v>
      </c>
      <c r="J321" t="str">
        <v>28x2712</v>
      </c>
      <c r="K321" t="str">
        <v>Nomura</v>
      </c>
      <c r="L321" t="str">
        <v>Excellent</v>
      </c>
      <c r="M321">
        <v>1965</v>
      </c>
      <c r="N321">
        <v>1970</v>
      </c>
      <c r="S321" t="str">
        <v>350-400 (2025)</v>
      </c>
      <c r="T321" t="str">
        <v>14 (164) 31 (162) 35 (124) 83 (102)</v>
      </c>
      <c r="U321" t="str">
        <v>Has a second trademark from Nikko Toy (103 (226)); scarcity 5/10; variant in blue</v>
      </c>
      <c r="W321" t="str">
        <v>PD020138</v>
      </c>
      <c r="X321" t="str">
        <v>PD020140</v>
      </c>
      <c r="Y321" t="str">
        <v>PD020141</v>
      </c>
    </row>
    <row r="322">
      <c r="A322">
        <v>321</v>
      </c>
      <c r="B322" t="str">
        <v>Happy Plane</v>
      </c>
      <c r="D322" t="str">
        <v>Aircraft</v>
      </c>
      <c r="E322" t="str">
        <v>Travel &amp; Transport</v>
      </c>
      <c r="F322" t="str">
        <v>"Champion" bi-plane</v>
      </c>
      <c r="G322" t="str">
        <v>Battery</v>
      </c>
      <c r="H322" t="str">
        <v>moves forward,  then loops in circle and moves forward again with rotating propeller</v>
      </c>
      <c r="I322" t="str">
        <v>Tin &amp; plastic</v>
      </c>
      <c r="J322" t="str">
        <v>23x26.5x10</v>
      </c>
      <c r="K322" t="str">
        <v>TPS</v>
      </c>
      <c r="L322" t="str">
        <v>Excellent</v>
      </c>
      <c r="M322">
        <v>1975</v>
      </c>
      <c r="N322">
        <v>1979</v>
      </c>
      <c r="O322" t="str">
        <v>Very Good</v>
      </c>
      <c r="T322" t="str">
        <v>35 (89) 51 (104)</v>
      </c>
      <c r="U322" t="str">
        <v>scarcity 3/5</v>
      </c>
      <c r="W322" t="str">
        <v>PD020135</v>
      </c>
      <c r="X322" t="str">
        <v>PD020136</v>
      </c>
      <c r="Y322" t="str">
        <v>PD020137</v>
      </c>
    </row>
    <row r="323">
      <c r="A323">
        <v>322</v>
      </c>
      <c r="B323" t="str">
        <v>Autogyro - aeroplane</v>
      </c>
      <c r="C323">
        <v>231</v>
      </c>
      <c r="D323" t="str">
        <v>Aircraft</v>
      </c>
      <c r="E323" t="str">
        <v>Travel &amp; Transport</v>
      </c>
      <c r="F323" t="str">
        <v>Small aeroplane w/ vertical and horizontal propellers</v>
      </c>
      <c r="G323" t="str">
        <v>Clockwork</v>
      </c>
      <c r="H323" t="str">
        <v>Moves forward, propellers rotate</v>
      </c>
      <c r="I323" t="str">
        <v>Tin</v>
      </c>
      <c r="J323" t="str">
        <v>8x11.5x6</v>
      </c>
      <c r="K323" t="str">
        <v>Einfalt</v>
      </c>
      <c r="L323" t="str">
        <v>Very Good</v>
      </c>
      <c r="M323">
        <v>1935</v>
      </c>
      <c r="N323">
        <v>1939</v>
      </c>
      <c r="S323" t="str">
        <v>500 (2024)</v>
      </c>
      <c r="T323" t="str">
        <v>1 (39)</v>
      </c>
      <c r="W323" t="str">
        <v>PD020144</v>
      </c>
      <c r="X323" t="str">
        <v>PD020145</v>
      </c>
    </row>
    <row r="324">
      <c r="A324">
        <v>323</v>
      </c>
      <c r="B324" t="str">
        <v>U.S. Army Rescue Helicopter</v>
      </c>
      <c r="D324" t="str">
        <v>Aircraft</v>
      </c>
      <c r="E324" t="str">
        <v>Military</v>
      </c>
      <c r="F324" t="str">
        <v>Green Rescue Helicopter</v>
      </c>
      <c r="G324" t="str">
        <v>Clockwork</v>
      </c>
      <c r="H324" t="str">
        <v>Hangs on wire and flies in circles because of large rotating vertical propellers</v>
      </c>
      <c r="I324" t="str">
        <v>Tin &amp; plastic</v>
      </c>
      <c r="J324" t="str">
        <v>18x5.5x8</v>
      </c>
      <c r="L324" t="str">
        <v>Very Good</v>
      </c>
      <c r="M324">
        <v>1955</v>
      </c>
      <c r="N324">
        <v>1965</v>
      </c>
      <c r="U324" t="str">
        <v>made in Western Germany</v>
      </c>
      <c r="W324" t="str">
        <v>PD020171</v>
      </c>
      <c r="X324" t="str">
        <v>PD020172</v>
      </c>
    </row>
    <row r="325">
      <c r="A325">
        <v>324</v>
      </c>
      <c r="B325" t="str">
        <v>Rescue Helicopter</v>
      </c>
      <c r="D325" t="str">
        <v>Aircraft</v>
      </c>
      <c r="E325" t="str">
        <v>Travel &amp; Transport</v>
      </c>
      <c r="F325" t="str">
        <v>Orange and red rescue helicopter</v>
      </c>
      <c r="G325" t="str">
        <v>Clockwork</v>
      </c>
      <c r="H325" t="str">
        <v>Hangs on wire and flies in circles because of large rotating vertical propellers</v>
      </c>
      <c r="I325" t="str">
        <v>Tin &amp; plastic</v>
      </c>
      <c r="J325" t="str">
        <v>15x4x11</v>
      </c>
      <c r="L325" t="str">
        <v>Good</v>
      </c>
      <c r="M325">
        <v>1955</v>
      </c>
      <c r="N325">
        <v>1965</v>
      </c>
      <c r="S325" t="str">
        <v>200 (2024)</v>
      </c>
      <c r="U325" t="str">
        <v>made in Great Britain</v>
      </c>
      <c r="W325" t="str">
        <v>PD020173</v>
      </c>
      <c r="X325" t="str">
        <v>PD020174</v>
      </c>
    </row>
    <row r="326">
      <c r="A326">
        <v>325</v>
      </c>
      <c r="B326" t="str">
        <v xml:space="preserve">Airport </v>
      </c>
      <c r="C326">
        <v>2002</v>
      </c>
      <c r="D326" t="str">
        <v>Aircraft</v>
      </c>
      <c r="E326" t="str">
        <v>Travel &amp; Transport</v>
      </c>
      <c r="F326" t="str">
        <v>Airport w/ white airplane</v>
      </c>
      <c r="G326" t="str">
        <v>Clockwork</v>
      </c>
      <c r="H326" t="str">
        <v>When released, plane moves along the runway (propellers rotate). Then, two bars progressively lift it into air and land it again; it continues to move until it stops where it had started.</v>
      </c>
      <c r="I326" t="str">
        <v>Tin (base) &amp; plastic (plane)</v>
      </c>
      <c r="J326" t="str">
        <v>50x24x5</v>
      </c>
      <c r="K326" t="str">
        <v>Gescha</v>
      </c>
      <c r="L326" t="str">
        <v>Excellent</v>
      </c>
      <c r="M326">
        <v>1960</v>
      </c>
      <c r="N326">
        <v>1964</v>
      </c>
      <c r="O326" t="str">
        <v>Very Good</v>
      </c>
      <c r="S326" t="str">
        <v>100-120 (2024)</v>
      </c>
      <c r="T326" t="str">
        <v>46 (119) 47 (87)</v>
      </c>
      <c r="U326" t="str">
        <v>in 1964/5 it was supplemented with a radar structure and two planes (no. 2005)</v>
      </c>
      <c r="W326" t="str">
        <v>PD010076</v>
      </c>
      <c r="X326" t="str">
        <v>PD010078</v>
      </c>
    </row>
    <row r="327">
      <c r="A327">
        <v>326</v>
      </c>
      <c r="B327" t="str">
        <v>Radar Helicopter</v>
      </c>
      <c r="C327">
        <v>190</v>
      </c>
      <c r="D327" t="str">
        <v>Aircraft</v>
      </c>
      <c r="E327" t="str">
        <v>Travel &amp; Transport</v>
      </c>
      <c r="F327" t="str">
        <v>Platform w/ radar and flying helicopter</v>
      </c>
      <c r="G327" t="str">
        <v>Clockwork</v>
      </c>
      <c r="H327" t="str">
        <v>Two clockworks, for helicopter propeller and base &amp; radar, lever for flying  altitude</v>
      </c>
      <c r="I327" t="str">
        <v>Tin</v>
      </c>
      <c r="J327" t="str">
        <v>25x8x9</v>
      </c>
      <c r="K327" t="str">
        <v>Biller</v>
      </c>
      <c r="L327" t="str">
        <v>Very Good</v>
      </c>
      <c r="M327">
        <v>1959</v>
      </c>
      <c r="N327">
        <v>1965</v>
      </c>
      <c r="S327" t="str">
        <v>100 (2024)</v>
      </c>
      <c r="T327" t="str">
        <v>104 (117)</v>
      </c>
      <c r="W327" t="str">
        <v>PD020146</v>
      </c>
    </row>
    <row r="328">
      <c r="A328">
        <v>327</v>
      </c>
      <c r="B328" t="str">
        <v>Remote Control Helicopter</v>
      </c>
      <c r="C328">
        <v>90</v>
      </c>
      <c r="D328" t="str">
        <v>Aircraft</v>
      </c>
      <c r="E328" t="str">
        <v>Travel &amp; Transport</v>
      </c>
      <c r="F328" t="str">
        <v>Platform w/ flying helicopter</v>
      </c>
      <c r="G328" t="str">
        <v>Clockwork</v>
      </c>
      <c r="H328" t="str">
        <v>Two clockworks, for helicopter propeller and base, lever for flying  altitude</v>
      </c>
      <c r="I328" t="str">
        <v>Tin</v>
      </c>
      <c r="J328" t="str">
        <v>21x8x9</v>
      </c>
      <c r="K328" t="str">
        <v>Biller</v>
      </c>
      <c r="L328" t="str">
        <v>Very Good</v>
      </c>
      <c r="M328">
        <v>1953</v>
      </c>
      <c r="N328">
        <v>1965</v>
      </c>
      <c r="O328" t="str">
        <v>Very Good</v>
      </c>
      <c r="S328" t="str">
        <v>120-160 (2024)</v>
      </c>
      <c r="T328" t="str">
        <v>22 (203)</v>
      </c>
      <c r="U328" t="str">
        <v xml:space="preserve">two variants, helicopters and domes with different litography </v>
      </c>
      <c r="W328" t="str">
        <v>PD020148</v>
      </c>
      <c r="X328" t="str">
        <v>PD020149</v>
      </c>
    </row>
    <row r="329">
      <c r="A329">
        <v>328</v>
      </c>
      <c r="B329" t="str">
        <v>Trans World Flyer</v>
      </c>
      <c r="C329">
        <v>100</v>
      </c>
      <c r="D329" t="str">
        <v>Aircraft</v>
      </c>
      <c r="E329" t="str">
        <v>Travel &amp; Transport</v>
      </c>
      <c r="F329" t="str">
        <v>Base connected to an aeroplane and a control panel</v>
      </c>
      <c r="G329" t="str">
        <v>Clockwork</v>
      </c>
      <c r="H329" t="str">
        <v>Two clockworks, for plane propellers and base, lever for flying  altitude</v>
      </c>
      <c r="I329" t="str">
        <v>Tin</v>
      </c>
      <c r="J329" t="str">
        <v>31x16x9</v>
      </c>
      <c r="K329" t="str">
        <v>Biller</v>
      </c>
      <c r="L329" t="str">
        <v>Excellent</v>
      </c>
      <c r="M329">
        <v>1955</v>
      </c>
      <c r="N329">
        <v>1965</v>
      </c>
      <c r="O329" t="str">
        <v>Very Good, w/ carton base</v>
      </c>
      <c r="R329" t="str">
        <v>Gonçalo Rueda</v>
      </c>
      <c r="S329" t="str">
        <v>300 (2024 ) w/ box</v>
      </c>
      <c r="T329" t="str">
        <v>22 (203) 46 (45)</v>
      </c>
      <c r="U329" t="str">
        <v>DBP 1048811 (1959)</v>
      </c>
      <c r="W329" t="str">
        <v>PD020147</v>
      </c>
    </row>
    <row r="330">
      <c r="A330">
        <v>329</v>
      </c>
      <c r="B330" t="str">
        <v>Remote Control "Transport-Helicopter"</v>
      </c>
      <c r="C330">
        <v>110</v>
      </c>
      <c r="D330" t="str">
        <v>Aircraft</v>
      </c>
      <c r="E330" t="str">
        <v>Travel &amp; Transport</v>
      </c>
      <c r="F330" t="str">
        <v>Base connected to an aeroplane and a control panel</v>
      </c>
      <c r="G330" t="str">
        <v>Clockwork</v>
      </c>
      <c r="H330" t="str">
        <v>Two clockworks, for helicopter propellers and base, lever for flying  altitude</v>
      </c>
      <c r="I330" t="str">
        <v>Tin</v>
      </c>
      <c r="J330" t="str">
        <v>31x16x9</v>
      </c>
      <c r="K330" t="str">
        <v>Biller</v>
      </c>
      <c r="L330" t="str">
        <v>Good</v>
      </c>
      <c r="M330">
        <v>1956</v>
      </c>
      <c r="N330">
        <v>1965</v>
      </c>
      <c r="T330" t="str">
        <v>14 (204)</v>
      </c>
      <c r="U330" t="str">
        <v>Probably a Piasecki YH 16 helicopter</v>
      </c>
      <c r="V330" t="str">
        <v>two wheels of the helicopter missing</v>
      </c>
      <c r="W330" t="str">
        <v>PD170470</v>
      </c>
      <c r="X330" t="str">
        <v>PD170472</v>
      </c>
      <c r="Y330" t="str">
        <v>PD170473</v>
      </c>
    </row>
    <row r="331">
      <c r="A331">
        <v>330</v>
      </c>
      <c r="B331" t="str">
        <v>Bruxelles 1958</v>
      </c>
      <c r="D331" t="str">
        <v>Aircraft</v>
      </c>
      <c r="E331" t="str">
        <v>Travel &amp; Transport</v>
      </c>
      <c r="F331" t="str">
        <v>Atomium w/ circling helicopter</v>
      </c>
      <c r="G331" t="str">
        <v>Clockwork</v>
      </c>
      <c r="H331" t="str">
        <v>Atomium and helicopter rotate</v>
      </c>
      <c r="I331" t="str">
        <v>Plastic</v>
      </c>
      <c r="J331" t="str">
        <v>11x11x15</v>
      </c>
      <c r="K331" t="str">
        <v>Kohler</v>
      </c>
      <c r="L331" t="str">
        <v>Very Good</v>
      </c>
      <c r="M331">
        <v>1958</v>
      </c>
      <c r="N331">
        <v>1958</v>
      </c>
      <c r="O331" t="str">
        <v>Very good</v>
      </c>
      <c r="S331" t="str">
        <v>&gt;200</v>
      </c>
      <c r="U331" t="str">
        <v>The Atomium is a modernist building originally constructed as the centrepiece of the 1958 Brussels World's Fair; the base of the toy is the same as that of "Sputnik"</v>
      </c>
      <c r="W331" t="str">
        <v>PD020150</v>
      </c>
      <c r="X331" t="str">
        <v>PD020152</v>
      </c>
    </row>
    <row r="332">
      <c r="A332">
        <v>331</v>
      </c>
      <c r="B332" t="str">
        <v>Helicopter with Active Pilot</v>
      </c>
      <c r="C332" t="str">
        <v>MF 110</v>
      </c>
      <c r="D332" t="str">
        <v>Aircraft</v>
      </c>
      <c r="E332" t="str">
        <v>Travel &amp; Transport</v>
      </c>
      <c r="F332" t="str">
        <v>Light blue helicopter w/ pilot</v>
      </c>
      <c r="G332" t="str">
        <v>Clockwork</v>
      </c>
      <c r="H332" t="str">
        <v>Moves forward (can use a flexible rod as track), propeller rotates; when changes direction, pilot pulls controls</v>
      </c>
      <c r="I332" t="str">
        <v>Tin &amp; plastic</v>
      </c>
      <c r="J332" t="str">
        <v>41x7x14</v>
      </c>
      <c r="L332" t="str">
        <v>Excellent</v>
      </c>
      <c r="M332">
        <v>1965</v>
      </c>
      <c r="N332">
        <v>1970</v>
      </c>
      <c r="S332" t="str">
        <v>90 (2024)</v>
      </c>
      <c r="T332" t="str">
        <v>14 (207)</v>
      </c>
      <c r="U332" t="str">
        <v>Alouette-type; Variant in red; scarcity 3/5</v>
      </c>
      <c r="V332" t="str">
        <v>Made in China (Shangai industry)</v>
      </c>
      <c r="W332" t="str">
        <v>PD020166</v>
      </c>
      <c r="X332" t="str">
        <v>PD020168</v>
      </c>
    </row>
    <row r="333">
      <c r="A333">
        <v>332</v>
      </c>
      <c r="B333" t="str">
        <v>Air-Taxi</v>
      </c>
      <c r="C333">
        <v>570</v>
      </c>
      <c r="D333" t="str">
        <v>Aircraft</v>
      </c>
      <c r="E333" t="str">
        <v>Travel &amp; Transport</v>
      </c>
      <c r="F333" t="str">
        <v>Air-Taxi helicopter</v>
      </c>
      <c r="G333" t="str">
        <v>Friction</v>
      </c>
      <c r="H333" t="str">
        <v>Moves forward, propellers rotate</v>
      </c>
      <c r="I333" t="str">
        <v>Tin</v>
      </c>
      <c r="J333" t="str">
        <v>20x8x9</v>
      </c>
      <c r="K333" t="str">
        <v>Blomer &amp; Schuler</v>
      </c>
      <c r="L333" t="str">
        <v>Excellent</v>
      </c>
      <c r="M333">
        <v>1960</v>
      </c>
      <c r="N333">
        <v>1965</v>
      </c>
      <c r="T333" t="str">
        <v>46 (49)</v>
      </c>
      <c r="U333" t="str">
        <v>Variant with same litography, printed "Libelle"</v>
      </c>
      <c r="W333" t="str">
        <v>PD020163</v>
      </c>
      <c r="X333" t="str">
        <v>PD020164</v>
      </c>
      <c r="Y333" t="str">
        <v>PD020165</v>
      </c>
    </row>
    <row r="334">
      <c r="A334">
        <v>333</v>
      </c>
      <c r="B334" t="str">
        <v>Helios</v>
      </c>
      <c r="C334">
        <v>560</v>
      </c>
      <c r="D334" t="str">
        <v>Aircraft</v>
      </c>
      <c r="E334" t="str">
        <v>Travel &amp; Transport</v>
      </c>
      <c r="F334" t="str">
        <v>Helios 560 helicopter</v>
      </c>
      <c r="G334" t="str">
        <v>Friction</v>
      </c>
      <c r="H334" t="str">
        <v>Moves forward, propellers rotate</v>
      </c>
      <c r="I334" t="str">
        <v>Tin</v>
      </c>
      <c r="J334" t="str">
        <v>15x6.5x7</v>
      </c>
      <c r="K334" t="str">
        <v>Blomer &amp; Schuler</v>
      </c>
      <c r="L334" t="str">
        <v>Good</v>
      </c>
      <c r="M334">
        <v>1954</v>
      </c>
      <c r="N334">
        <v>1960</v>
      </c>
      <c r="T334" t="str">
        <v>46 (50)</v>
      </c>
      <c r="W334" t="str">
        <v>PD020153</v>
      </c>
      <c r="X334" t="str">
        <v>PD020155</v>
      </c>
    </row>
    <row r="335">
      <c r="A335">
        <v>334</v>
      </c>
      <c r="B335" t="str">
        <v xml:space="preserve">Helicopter </v>
      </c>
      <c r="C335">
        <v>567</v>
      </c>
      <c r="D335" t="str">
        <v>Aircraft</v>
      </c>
      <c r="E335" t="str">
        <v>Travel &amp; Transport</v>
      </c>
      <c r="F335" t="str">
        <v>Helicpter 567 w/ 2 propellers</v>
      </c>
      <c r="G335" t="str">
        <v>Friction</v>
      </c>
      <c r="H335" t="str">
        <v>Moves forward, propellers rotate; battery for lights</v>
      </c>
      <c r="I335" t="str">
        <v>Tin</v>
      </c>
      <c r="J335" t="str">
        <v>30x6x11</v>
      </c>
      <c r="K335" t="str">
        <v>Blomer &amp; Schuler</v>
      </c>
      <c r="L335" t="str">
        <v>Very Good</v>
      </c>
      <c r="M335">
        <v>1960</v>
      </c>
      <c r="N335">
        <v>1965</v>
      </c>
      <c r="O335" t="str">
        <v>Poor</v>
      </c>
      <c r="S335" t="str">
        <v>70 (2024)</v>
      </c>
      <c r="T335" t="str">
        <v>46 (50)</v>
      </c>
      <c r="W335" t="str">
        <v>PD170476</v>
      </c>
      <c r="X335" t="str">
        <v>PD170480</v>
      </c>
    </row>
    <row r="336">
      <c r="A336">
        <v>335</v>
      </c>
      <c r="B336" t="str">
        <v>Helicopter US Navy HU 58</v>
      </c>
      <c r="C336">
        <v>566</v>
      </c>
      <c r="D336" t="str">
        <v>Aircraft</v>
      </c>
      <c r="E336" t="str">
        <v>Military</v>
      </c>
      <c r="F336" t="str">
        <v>Small green helicopter w/ 2 propellers</v>
      </c>
      <c r="G336" t="str">
        <v>Friction</v>
      </c>
      <c r="H336" t="str">
        <v>2 friction motors, 1 per propeller</v>
      </c>
      <c r="I336" t="str">
        <v>Tin &amp; plastic</v>
      </c>
      <c r="J336" t="str">
        <v>20.5x4x9</v>
      </c>
      <c r="K336" t="str">
        <v>Blomer &amp; Schuler</v>
      </c>
      <c r="L336" t="str">
        <v>Very Good</v>
      </c>
      <c r="M336">
        <v>1960</v>
      </c>
      <c r="N336">
        <v>1965</v>
      </c>
      <c r="S336" t="str">
        <v>130-150 (2024) w/ box</v>
      </c>
      <c r="T336" t="str">
        <v>14 (203)</v>
      </c>
      <c r="U336" t="str">
        <v>Probably a Piasecki YH 16 helicopter</v>
      </c>
      <c r="W336" t="str">
        <v>PD020160</v>
      </c>
      <c r="X336" t="str">
        <v>PD020162</v>
      </c>
    </row>
    <row r="337">
      <c r="A337">
        <v>336</v>
      </c>
      <c r="B337" t="str">
        <v xml:space="preserve">Helicopter </v>
      </c>
      <c r="C337">
        <v>15</v>
      </c>
      <c r="D337" t="str">
        <v>Aircraft</v>
      </c>
      <c r="E337" t="str">
        <v>Travel &amp; Transport</v>
      </c>
      <c r="F337" t="str">
        <v>Blue helicopter w/ red propellers</v>
      </c>
      <c r="G337" t="str">
        <v>Friction</v>
      </c>
      <c r="H337" t="str">
        <v>Moves forward, propellers rotate; battery for lights</v>
      </c>
      <c r="I337" t="str">
        <v>Tin &amp; plastic</v>
      </c>
      <c r="J337" t="str">
        <v>21x15x9</v>
      </c>
      <c r="K337" t="str">
        <v>GAMA</v>
      </c>
      <c r="L337" t="str">
        <v>Very Good</v>
      </c>
      <c r="M337">
        <v>1950</v>
      </c>
      <c r="N337">
        <v>1955</v>
      </c>
      <c r="S337" t="str">
        <v>100 (2024)</v>
      </c>
      <c r="T337" t="str">
        <v>14 (190) 44 (124)</v>
      </c>
      <c r="U337" t="str">
        <v>Sikorsky S55, first flight was on November 10, 1949</v>
      </c>
      <c r="V337" t="str">
        <v>tail propeller misses 1 blade</v>
      </c>
      <c r="W337" t="str">
        <v>PD020158</v>
      </c>
      <c r="X337" t="str">
        <v>PD020159</v>
      </c>
    </row>
    <row r="338">
      <c r="A338">
        <v>337</v>
      </c>
      <c r="B338" t="str">
        <v>Control Tower and Remote Control Flying Helicopter</v>
      </c>
      <c r="C338">
        <v>5049</v>
      </c>
      <c r="D338" t="str">
        <v>Aircraft</v>
      </c>
      <c r="E338" t="str">
        <v>Travel &amp; Transport</v>
      </c>
      <c r="F338" t="str">
        <v>Tower linked to helicopter and remote control</v>
      </c>
      <c r="G338" t="str">
        <v>Friction</v>
      </c>
      <c r="H338" t="str">
        <v>Cranking the remote control can take-off, fly and land the helicopter</v>
      </c>
      <c r="I338" t="str">
        <v>Tin &amp; plastic</v>
      </c>
      <c r="J338" t="str">
        <v>68x15x28</v>
      </c>
      <c r="K338" t="str">
        <v>Arnold</v>
      </c>
      <c r="L338" t="str">
        <v>Excellent</v>
      </c>
      <c r="M338">
        <v>1959</v>
      </c>
      <c r="N338">
        <v>1965</v>
      </c>
      <c r="O338" t="str">
        <v>Very Good, w/ instructions</v>
      </c>
      <c r="S338" t="str">
        <v>200 (2024) w/ box</v>
      </c>
      <c r="T338" t="str">
        <v>10 (198) 14 (192) 46 (11) 66 (28) 104 (116)</v>
      </c>
      <c r="U338" t="str">
        <v>"Idlewild airport" (variant with different litography) Sabena helicopter (Sikorsky S55); box contains pat nos for USA, Canada, Italy, Spain, France, Austria, England, Belgium</v>
      </c>
      <c r="W338" t="str">
        <v>PD030183</v>
      </c>
      <c r="X338" t="str">
        <v>PD030186</v>
      </c>
    </row>
    <row r="339">
      <c r="A339">
        <v>338</v>
      </c>
      <c r="B339" t="str">
        <v>Piasecki Army Mule</v>
      </c>
      <c r="C339">
        <v>110735</v>
      </c>
      <c r="D339" t="str">
        <v>Aircraft</v>
      </c>
      <c r="E339" t="str">
        <v>Military</v>
      </c>
      <c r="F339" t="str">
        <v>Piasecki Army Mule grey helicopter</v>
      </c>
      <c r="G339" t="str">
        <v>Battery</v>
      </c>
      <c r="H339" t="str">
        <v>Remote control; propellers rotate, moves, the pilot cabin lights</v>
      </c>
      <c r="I339" t="str">
        <v xml:space="preserve">Tin </v>
      </c>
      <c r="J339" t="str">
        <v>29x9x16</v>
      </c>
      <c r="K339" t="str">
        <v>Alps</v>
      </c>
      <c r="L339" t="str">
        <v>Excellent</v>
      </c>
      <c r="M339">
        <v>1965</v>
      </c>
      <c r="N339">
        <v>1970</v>
      </c>
      <c r="S339" t="str">
        <v>100-120 (2024)</v>
      </c>
      <c r="T339" t="str">
        <v>14 (205) 31 (169)</v>
      </c>
      <c r="W339" t="str">
        <v>PD170482</v>
      </c>
      <c r="X339" t="str">
        <v>PD170486</v>
      </c>
      <c r="Y339" t="str">
        <v>PD170489</v>
      </c>
    </row>
    <row r="340">
      <c r="A340">
        <v>339</v>
      </c>
      <c r="B340" t="str">
        <v>Sky Taxi Pan Am</v>
      </c>
      <c r="C340">
        <v>3344</v>
      </c>
      <c r="D340" t="str">
        <v>Aircraft</v>
      </c>
      <c r="E340" t="str">
        <v>Travel &amp; Transport</v>
      </c>
      <c r="F340" t="str">
        <v>White helicopter Pan Am</v>
      </c>
      <c r="G340" t="str">
        <v>Battery</v>
      </c>
      <c r="H340" t="str">
        <v>Stop and Go, rotor noise ans rotaing propellers</v>
      </c>
      <c r="I340" t="str">
        <v>Tin &amp; plastic</v>
      </c>
      <c r="J340" t="str">
        <v>33x9x14.5</v>
      </c>
      <c r="K340" t="str">
        <v>HAJI</v>
      </c>
      <c r="L340" t="str">
        <v>Very Good</v>
      </c>
      <c r="M340">
        <v>1965</v>
      </c>
      <c r="N340">
        <v>1970</v>
      </c>
      <c r="O340" t="str">
        <v>Good</v>
      </c>
      <c r="S340" t="str">
        <v>100-130 (2024) w/ box</v>
      </c>
      <c r="T340" t="str">
        <v>14 (196)</v>
      </c>
      <c r="U340" t="str">
        <v>Boeing 107 Vertol</v>
      </c>
      <c r="V340" t="str">
        <v>one propeller blade missing</v>
      </c>
      <c r="W340" t="str">
        <v>PD170505</v>
      </c>
      <c r="X340" t="str">
        <v>PD170508</v>
      </c>
    </row>
    <row r="341">
      <c r="A341">
        <v>340</v>
      </c>
      <c r="B341" t="str">
        <v>Helicopter US Army 35</v>
      </c>
      <c r="D341" t="str">
        <v>Aircraft</v>
      </c>
      <c r="E341" t="str">
        <v>Military</v>
      </c>
      <c r="F341" t="str">
        <v>Brown helicopter w/ 2 propellers</v>
      </c>
      <c r="G341" t="str">
        <v>Battery</v>
      </c>
      <c r="H341" t="str">
        <v>Moves forward, propellers rotate, engines light</v>
      </c>
      <c r="I341" t="str">
        <v>Tin &amp; plastic</v>
      </c>
      <c r="J341" t="str">
        <v>33x7x17</v>
      </c>
      <c r="K341" t="str">
        <v>Yonezawa</v>
      </c>
      <c r="L341" t="str">
        <v>Very Good</v>
      </c>
      <c r="M341">
        <v>1965</v>
      </c>
      <c r="N341">
        <v>1970</v>
      </c>
      <c r="W341" t="str">
        <v>PD170491</v>
      </c>
      <c r="X341" t="str">
        <v>PD170495</v>
      </c>
    </row>
    <row r="342">
      <c r="A342">
        <v>341</v>
      </c>
      <c r="B342" t="str">
        <v>DUX - Condor</v>
      </c>
      <c r="C342">
        <v>201</v>
      </c>
      <c r="D342" t="str">
        <v>Aircraft</v>
      </c>
      <c r="E342" t="str">
        <v>Travel &amp; Transport</v>
      </c>
      <c r="F342" t="str">
        <v>Plastic white and red helicopter assembled</v>
      </c>
      <c r="G342" t="str">
        <v>Friction</v>
      </c>
      <c r="H342" t="str">
        <v>Pulling rapidly  button in handle, propellers rotate and fies</v>
      </c>
      <c r="I342" t="str">
        <v>Plastic</v>
      </c>
      <c r="J342" t="str">
        <v>26x35x8</v>
      </c>
      <c r="K342" t="str">
        <v>Dux</v>
      </c>
      <c r="L342" t="str">
        <v>Excellent</v>
      </c>
      <c r="M342">
        <v>1960</v>
      </c>
      <c r="N342">
        <v>1965</v>
      </c>
      <c r="O342" t="str">
        <v>Very Good w/ instructions</v>
      </c>
      <c r="S342" t="str">
        <v>60-300 (2024) w/ box</v>
      </c>
      <c r="U342" t="str">
        <v>DB 1036733; USA 2931132</v>
      </c>
      <c r="W342" t="str">
        <v>PD170511</v>
      </c>
    </row>
    <row r="343">
      <c r="A343">
        <v>342</v>
      </c>
      <c r="B343" t="str">
        <v>Rotodyne</v>
      </c>
      <c r="C343">
        <v>5350</v>
      </c>
      <c r="D343" t="str">
        <v>Aircraft</v>
      </c>
      <c r="E343" t="str">
        <v>Travel &amp; Transport</v>
      </c>
      <c r="F343" t="str">
        <v>Blue and white combination of airplane and helicopter</v>
      </c>
      <c r="G343" t="str">
        <v>Friction</v>
      </c>
      <c r="H343" t="str">
        <v xml:space="preserve">Cranking the remote control can take-off, fly and land </v>
      </c>
      <c r="I343" t="str">
        <v>Aluminium &amp; plastic</v>
      </c>
      <c r="J343" t="str">
        <v>21x24x8</v>
      </c>
      <c r="K343" t="str">
        <v>Arnold</v>
      </c>
      <c r="L343" t="str">
        <v>Very Good</v>
      </c>
      <c r="M343">
        <v>1956</v>
      </c>
      <c r="N343">
        <v>1960</v>
      </c>
      <c r="T343" t="str">
        <v>10 (199) 104 (116)</v>
      </c>
      <c r="U343" t="str">
        <v>this is a prototype; the tail wing of the toy was still being studied; Fairey Rotodyne  (British industry) was a revolutionary large compound gyroplane which held great promise for both worldwide inter-city medium air transportation, and military applications during the late 1950s; it featured jet powered main rotor tips which operated during vertical take-off and landing, hovering and transitioning to forward flight, before a pair of Napier Eland turboprops were engaged for forward flight. Despite successfully completing over 350 test flights, just a single prototype aircraft would be built</v>
      </c>
      <c r="W343" t="str">
        <v>PD170499</v>
      </c>
      <c r="X343" t="str">
        <v>PD170500</v>
      </c>
      <c r="Y343" t="str">
        <v>PD170503</v>
      </c>
    </row>
    <row r="344">
      <c r="A344">
        <v>343</v>
      </c>
      <c r="B344" t="str">
        <v>Airplane "Air France"</v>
      </c>
      <c r="C344">
        <v>1006</v>
      </c>
      <c r="D344" t="str">
        <v>Aircraft</v>
      </c>
      <c r="E344" t="str">
        <v>Travel &amp; Transport</v>
      </c>
      <c r="F344" t="str">
        <v>Air France Caravelle aeroplane</v>
      </c>
      <c r="G344" t="str">
        <v>Friction</v>
      </c>
      <c r="H344" t="str">
        <v>Moves forward</v>
      </c>
      <c r="I344" t="str">
        <v>Tin</v>
      </c>
      <c r="J344" t="str">
        <v>39x44x12</v>
      </c>
      <c r="K344" t="str">
        <v>GAMA</v>
      </c>
      <c r="L344" t="str">
        <v>Good</v>
      </c>
      <c r="M344">
        <v>1965</v>
      </c>
      <c r="N344">
        <v>1970</v>
      </c>
      <c r="T344" t="str">
        <v>45 (90) 46 (103)</v>
      </c>
      <c r="U344" t="str">
        <v>The Sud Aviation SE 210 Caravelle is a French jet airliner produced by Sud Aviation in the early 1950s; made its maiden flight on May 27, 1955, production ended in 1972</v>
      </c>
      <c r="W344" t="str">
        <v>PD170517</v>
      </c>
      <c r="X344" t="str">
        <v>PD170518</v>
      </c>
    </row>
    <row r="345">
      <c r="A345">
        <v>344</v>
      </c>
      <c r="B345" t="str">
        <v>Training Plane</v>
      </c>
      <c r="C345" t="str">
        <v>MS 011</v>
      </c>
      <c r="D345" t="str">
        <v>Aircraft</v>
      </c>
      <c r="E345" t="str">
        <v>Travel &amp; Transport</v>
      </c>
      <c r="F345" t="str">
        <v>small red loop-the-loop plane</v>
      </c>
      <c r="G345" t="str">
        <v>Clockwork</v>
      </c>
      <c r="H345" t="str">
        <v>moves forward, loops-the-loop by means of a raising fork</v>
      </c>
      <c r="I345" t="str">
        <v>Tin</v>
      </c>
      <c r="J345" t="str">
        <v>8x10.5x6</v>
      </c>
      <c r="L345" t="str">
        <v>Excellent</v>
      </c>
      <c r="M345">
        <v>1980</v>
      </c>
      <c r="N345">
        <v>2020</v>
      </c>
      <c r="S345" t="str">
        <v>30 (2024)</v>
      </c>
      <c r="T345" t="str">
        <v>89 (81)</v>
      </c>
      <c r="U345" t="str">
        <v>newer versions (not ours) have clockwork key coated with plastic</v>
      </c>
      <c r="W345" t="str">
        <v>PD170521</v>
      </c>
      <c r="X345" t="str">
        <v>PD170523</v>
      </c>
    </row>
    <row r="346">
      <c r="A346">
        <v>345</v>
      </c>
      <c r="B346" t="str">
        <v>Non- Fall Moon Rocket</v>
      </c>
      <c r="C346">
        <v>3304</v>
      </c>
      <c r="D346" t="str">
        <v>Space Vehicles</v>
      </c>
      <c r="E346" t="str">
        <v>Space / Sci-Fi</v>
      </c>
      <c r="F346" t="str">
        <v>Moon rocket airship w/ astronaut</v>
      </c>
      <c r="G346" t="str">
        <v>Battery</v>
      </c>
      <c r="H346" t="str">
        <v>non-fall action, flasing lights, astronaut circles</v>
      </c>
      <c r="I346" t="str">
        <v>Tin &amp; plastic</v>
      </c>
      <c r="J346" t="str">
        <v>24x11x18</v>
      </c>
      <c r="K346" t="str">
        <v>Modern Toys</v>
      </c>
      <c r="L346" t="str">
        <v>Good</v>
      </c>
      <c r="M346">
        <v>1964</v>
      </c>
      <c r="N346">
        <v>1972</v>
      </c>
      <c r="S346" t="str">
        <v>200 (2024) without astronaut</v>
      </c>
      <c r="T346" t="str">
        <v>35 (121) 78 (191) 132  (127)</v>
      </c>
      <c r="U346" t="str">
        <v>scarcity: 4-6/10</v>
      </c>
      <c r="V346" t="str">
        <v>the toy should have ana astronaut on antenna; it has a floating astronaut from the "Gemini Rocket" toy, which is a similar rocket with a different litography</v>
      </c>
      <c r="W346" t="str">
        <v>PD030206</v>
      </c>
      <c r="X346" t="str">
        <v>PD030207</v>
      </c>
      <c r="Y346" t="str">
        <v>PD030208</v>
      </c>
    </row>
    <row r="347">
      <c r="A347">
        <v>346</v>
      </c>
      <c r="B347" t="str">
        <v>Space Capsule with Floating Astronaut</v>
      </c>
      <c r="C347">
        <v>3841</v>
      </c>
      <c r="D347" t="str">
        <v>Space Vehicles</v>
      </c>
      <c r="E347" t="str">
        <v>Space / Sci-Fi</v>
      </c>
      <c r="F347" t="str">
        <v>Apollo Capsule w/ a paper astronaut that floats</v>
      </c>
      <c r="G347" t="str">
        <v>Battery</v>
      </c>
      <c r="H347" t="str">
        <v>non-fall action floating astronaut, flashing engine light, beep-beep sound</v>
      </c>
      <c r="I347" t="str">
        <v>Tin, Plastic &amp; paper</v>
      </c>
      <c r="J347" t="str">
        <v>25x10x18</v>
      </c>
      <c r="K347" t="str">
        <v>Modern Toys</v>
      </c>
      <c r="L347" t="str">
        <v>Good</v>
      </c>
      <c r="M347">
        <v>1970</v>
      </c>
      <c r="N347">
        <v>1974</v>
      </c>
      <c r="S347" t="str">
        <v>300-370 (2024) w/ box</v>
      </c>
      <c r="T347" t="str">
        <v>35 (166) 78 (206) 132 (130)</v>
      </c>
      <c r="U347" t="str">
        <v>scarcity 5/10; pat: 547075, 524728</v>
      </c>
      <c r="W347" t="str">
        <v>PD030199</v>
      </c>
      <c r="X347" t="str">
        <v>PD030204</v>
      </c>
    </row>
    <row r="348">
      <c r="A348">
        <v>347</v>
      </c>
      <c r="B348" t="str">
        <v>Moon Traveller Apollo-Z</v>
      </c>
      <c r="D348" t="str">
        <v>Space Vehicles</v>
      </c>
      <c r="E348" t="str">
        <v>Space / Sci-Fi</v>
      </c>
      <c r="F348" t="str">
        <v>Apollo Z ship</v>
      </c>
      <c r="G348" t="str">
        <v>Battery</v>
      </c>
      <c r="H348" t="str">
        <v>Mystery action, stop and go, elevates and commens capsule extends, engine blinking lights and sound</v>
      </c>
      <c r="I348" t="str">
        <v>Tin &amp; plastic</v>
      </c>
      <c r="J348" t="str">
        <v>30x13x15</v>
      </c>
      <c r="K348" t="str">
        <v>Nomura</v>
      </c>
      <c r="L348" t="str">
        <v>Reasonable</v>
      </c>
      <c r="M348">
        <v>1969</v>
      </c>
      <c r="N348">
        <v>1975</v>
      </c>
      <c r="S348" t="str">
        <v>200 (2024)</v>
      </c>
      <c r="T348" t="str">
        <v>35 (121) 132 (136)</v>
      </c>
      <c r="U348" t="str">
        <v>scarcity: 5/10</v>
      </c>
      <c r="V348" t="str">
        <v>yellow plastic radar with 4 dishes missing</v>
      </c>
      <c r="W348" t="str">
        <v>PD030196</v>
      </c>
      <c r="X348" t="str">
        <v>PD030198</v>
      </c>
    </row>
    <row r="349">
      <c r="A349">
        <v>348</v>
      </c>
      <c r="B349" t="str">
        <v>Space Patrol</v>
      </c>
      <c r="C349">
        <v>3791</v>
      </c>
      <c r="D349" t="str">
        <v>Space Vehicles</v>
      </c>
      <c r="E349" t="str">
        <v>Space / Sci-Fi</v>
      </c>
      <c r="F349" t="str">
        <v>Blue "space patrol" w/ astronaut shooting a gun</v>
      </c>
      <c r="G349" t="str">
        <v>Battery</v>
      </c>
      <c r="H349" t="str">
        <v>Mystery action, gun with light and sound</v>
      </c>
      <c r="I349" t="str">
        <v>Tin &amp; vinyl, plastic</v>
      </c>
      <c r="J349" t="str">
        <v>29x13x16</v>
      </c>
      <c r="K349" t="str">
        <v>Modern Toys</v>
      </c>
      <c r="L349" t="str">
        <v>Excellent</v>
      </c>
      <c r="M349">
        <v>1970</v>
      </c>
      <c r="N349">
        <v>1972</v>
      </c>
      <c r="O349" t="str">
        <v>Very Good</v>
      </c>
      <c r="T349" t="str">
        <v>78 (197)</v>
      </c>
      <c r="U349" t="str">
        <v>scarcity: 4/10; pat: 54554, 17542</v>
      </c>
      <c r="W349" t="str">
        <v>PD030194</v>
      </c>
      <c r="X349" t="str">
        <v>PD030195</v>
      </c>
    </row>
    <row r="350">
      <c r="A350">
        <v>349</v>
      </c>
      <c r="B350" t="str">
        <v>Universe Televiboat</v>
      </c>
      <c r="C350" t="str">
        <v>ME 777</v>
      </c>
      <c r="D350" t="str">
        <v>Space Vehicles</v>
      </c>
      <c r="E350" t="str">
        <v>Space / Sci-Fi</v>
      </c>
      <c r="F350" t="str">
        <v>Space ship w/ an astronaut holding a TV set</v>
      </c>
      <c r="G350" t="str">
        <v>Battery</v>
      </c>
      <c r="H350" t="str">
        <v>Mystery action, TV screen lights, flshing engine sounds</v>
      </c>
      <c r="I350" t="str">
        <v>Tin &amp; vinyl, plastic</v>
      </c>
      <c r="J350" t="str">
        <v>36x10x18</v>
      </c>
      <c r="L350" t="str">
        <v>Excellent</v>
      </c>
      <c r="M350">
        <v>1965</v>
      </c>
      <c r="N350">
        <v>1975</v>
      </c>
      <c r="O350" t="str">
        <v>Very Good</v>
      </c>
      <c r="S350" t="str">
        <v>200-250 (2024) w/ box</v>
      </c>
      <c r="U350" t="str">
        <v>scarcity 3/5; several box veriosn, ours seems the oldest</v>
      </c>
      <c r="V350" t="str">
        <v xml:space="preserve"> made in China</v>
      </c>
      <c r="W350" t="str">
        <v>PD030190</v>
      </c>
      <c r="X350" t="str">
        <v>PD030192</v>
      </c>
    </row>
    <row r="351">
      <c r="A351">
        <v>350</v>
      </c>
      <c r="B351" t="str">
        <v>Apollo Spacecraft</v>
      </c>
      <c r="C351">
        <v>3784</v>
      </c>
      <c r="D351" t="str">
        <v>Space Vehicles</v>
      </c>
      <c r="E351" t="str">
        <v>Space / Sci-Fi</v>
      </c>
      <c r="F351" t="str">
        <v>White Apollo capsule w/ floating astronaut</v>
      </c>
      <c r="G351" t="str">
        <v>Battery</v>
      </c>
      <c r="H351" t="str">
        <v>Mystery action, lights in front and inside compartment, astronaut circles</v>
      </c>
      <c r="I351" t="str">
        <v>Tin &amp; plastic</v>
      </c>
      <c r="J351" t="str">
        <v>27x17x25</v>
      </c>
      <c r="K351" t="str">
        <v>Modern Toys</v>
      </c>
      <c r="L351" t="str">
        <v>Very Good</v>
      </c>
      <c r="M351">
        <v>1970</v>
      </c>
      <c r="N351">
        <v>1973</v>
      </c>
      <c r="S351" t="str">
        <v xml:space="preserve">350 (2024) </v>
      </c>
      <c r="T351" t="str">
        <v>35 (20) 43 (119)78 (189) 132 (125)</v>
      </c>
      <c r="U351" t="str">
        <v>scarcity 4/10; desirability 3/6;  pat: 219228</v>
      </c>
      <c r="W351" t="str">
        <v>PD030214</v>
      </c>
      <c r="X351" t="str">
        <v>PD030221</v>
      </c>
      <c r="Y351" t="str">
        <v>PD030224</v>
      </c>
    </row>
    <row r="352">
      <c r="A352">
        <v>351</v>
      </c>
      <c r="B352" t="str">
        <v>Robotank-Z</v>
      </c>
      <c r="C352">
        <v>352</v>
      </c>
      <c r="D352" t="str">
        <v>Robots</v>
      </c>
      <c r="E352" t="str">
        <v>Space / Sci-Fi</v>
      </c>
      <c r="F352" t="str">
        <v>R1  grey robot</v>
      </c>
      <c r="G352" t="str">
        <v>Clockwork</v>
      </c>
      <c r="H352" t="str">
        <v>Moves forward, arms pull levers</v>
      </c>
      <c r="I352" t="str">
        <v>Tin</v>
      </c>
      <c r="J352" t="str">
        <v>6.5x5x10</v>
      </c>
      <c r="L352" t="str">
        <v>Excellent</v>
      </c>
      <c r="M352">
        <v>1995</v>
      </c>
      <c r="N352">
        <v>2020</v>
      </c>
      <c r="P352">
        <v>40</v>
      </c>
      <c r="Q352">
        <v>2015</v>
      </c>
      <c r="R352" t="str">
        <v>Rio de Janeiro</v>
      </c>
      <c r="S352" t="str">
        <v>25-30 (2024)</v>
      </c>
      <c r="T352" t="str">
        <v>132 (137)</v>
      </c>
      <c r="U352" t="str">
        <v>The toy has no marks, and appears either in a box with no. 352 or as a MS 371 toy made in China; both are a small-scale replica of the toy with the same name made by Nomura (TN) in 1966; scarcity 1/5</v>
      </c>
      <c r="V352" t="str">
        <v>made in China (?)</v>
      </c>
      <c r="W352" t="str">
        <v>PD030229</v>
      </c>
      <c r="X352" t="str">
        <v>PD030230</v>
      </c>
    </row>
    <row r="353">
      <c r="A353">
        <v>352</v>
      </c>
      <c r="B353" t="str">
        <v>Apollo-11 American Eagle Lunar Module</v>
      </c>
      <c r="C353">
        <v>7020</v>
      </c>
      <c r="D353" t="str">
        <v>Space Vehicles</v>
      </c>
      <c r="E353" t="str">
        <v>Space / Sci-Fi</v>
      </c>
      <c r="F353" t="str">
        <v>NASA lunar lander module</v>
      </c>
      <c r="G353" t="str">
        <v>Battery</v>
      </c>
      <c r="H353" t="str">
        <v>Mystery action, stop and go, opens and closes hatch showing astronaut, revolving antena, flshing lights and sound</v>
      </c>
      <c r="I353" t="str">
        <v>Tin &amp; plastic</v>
      </c>
      <c r="J353" t="str">
        <v>18x18x25</v>
      </c>
      <c r="K353" t="str">
        <v>Daishin</v>
      </c>
      <c r="L353" t="str">
        <v>Excellent</v>
      </c>
      <c r="M353">
        <v>1969</v>
      </c>
      <c r="N353">
        <v>1975</v>
      </c>
      <c r="O353" t="str">
        <v>Very Good</v>
      </c>
      <c r="S353" t="str">
        <v>500-600 (2024) w/ box</v>
      </c>
      <c r="T353" t="str">
        <v>35 (19) 43 (158) 132 (105)</v>
      </c>
      <c r="U353" t="str">
        <v>scarcity 3/10; desirability 3/6</v>
      </c>
      <c r="W353" t="str">
        <v>PD030225</v>
      </c>
      <c r="X353" t="str">
        <v>PD030226</v>
      </c>
    </row>
    <row r="354">
      <c r="A354">
        <v>353</v>
      </c>
      <c r="B354" t="str">
        <v>Mini-Robot Tank</v>
      </c>
      <c r="D354" t="str">
        <v>Robots</v>
      </c>
      <c r="E354" t="str">
        <v>Space / Sci-Fi</v>
      </c>
      <c r="F354" t="str">
        <v>Red and blue robot tank</v>
      </c>
      <c r="G354" t="str">
        <v>Battery</v>
      </c>
      <c r="H354" t="str">
        <v>Mystery action , pulls levers shooting light and sound</v>
      </c>
      <c r="I354" t="str">
        <v>Tin &amp; plastic</v>
      </c>
      <c r="J354" t="str">
        <v>10x7.5x13.5</v>
      </c>
      <c r="K354" t="str">
        <v>Nomura</v>
      </c>
      <c r="L354" t="str">
        <v>Very Good</v>
      </c>
      <c r="M354">
        <v>1965</v>
      </c>
      <c r="N354">
        <v>1970</v>
      </c>
      <c r="O354" t="str">
        <v>Only lid available</v>
      </c>
      <c r="S354" t="str">
        <v>300-500 (2024) w/ box</v>
      </c>
      <c r="T354" t="str">
        <v>43 (52)</v>
      </c>
      <c r="U354" t="str">
        <v>desirability 3/6; a variant  has vertical on-off (ours is horizontal)</v>
      </c>
      <c r="V354" t="str">
        <v>lid of battery compartment is missing</v>
      </c>
      <c r="W354" t="str">
        <v>PD030231</v>
      </c>
      <c r="X354" t="str">
        <v>PD030232</v>
      </c>
    </row>
    <row r="355">
      <c r="A355">
        <v>354</v>
      </c>
      <c r="B355" t="str">
        <v>New Space Capsule</v>
      </c>
      <c r="D355" t="str">
        <v>Space Vehicles</v>
      </c>
      <c r="E355" t="str">
        <v>Space / Sci-Fi</v>
      </c>
      <c r="F355" t="str">
        <v>Horizontal capsule opening doors and showing tin orange astronaut</v>
      </c>
      <c r="G355" t="str">
        <v>Battery</v>
      </c>
      <c r="H355" t="str">
        <v>Mystery action, stop and go, lighted front, opens hatch showing astronaut, sound</v>
      </c>
      <c r="I355" t="str">
        <v>Tin &amp; plastic</v>
      </c>
      <c r="J355" t="str">
        <v>23x14x13</v>
      </c>
      <c r="K355" t="str">
        <v>Horikawa</v>
      </c>
      <c r="L355" t="str">
        <v>Excellent</v>
      </c>
      <c r="M355">
        <v>1964</v>
      </c>
      <c r="N355">
        <v>1970</v>
      </c>
      <c r="O355" t="str">
        <v>Excellent</v>
      </c>
      <c r="S355" t="str">
        <v>&gt;300 (2024) w/ box</v>
      </c>
      <c r="T355" t="str">
        <v>35 (127) 43 (119) 132 (114)</v>
      </c>
      <c r="U355" t="str">
        <v>scarcity: 4/10; desirability 3/6</v>
      </c>
      <c r="W355" t="str">
        <v>PD030235</v>
      </c>
      <c r="X355" t="str">
        <v>PD030236</v>
      </c>
      <c r="Y355" t="str">
        <v>PD030239</v>
      </c>
    </row>
    <row r="356">
      <c r="A356">
        <v>355</v>
      </c>
      <c r="B356" t="str">
        <v>Super Space Capsule</v>
      </c>
      <c r="D356" t="str">
        <v>Space Vehicles</v>
      </c>
      <c r="E356" t="str">
        <v>Space / Sci-Fi</v>
      </c>
      <c r="F356" t="str">
        <v>Vertical capsule opening doors and showing a white astronaut</v>
      </c>
      <c r="G356" t="str">
        <v>Battery</v>
      </c>
      <c r="H356" t="str">
        <v>Circular motion, stop and go, lighted front, opens hatch showing astronaut</v>
      </c>
      <c r="I356" t="str">
        <v>Tin &amp; plastic</v>
      </c>
      <c r="J356" t="str">
        <v>14x14x24</v>
      </c>
      <c r="K356" t="str">
        <v>Horikawa</v>
      </c>
      <c r="L356" t="str">
        <v>Very Good</v>
      </c>
      <c r="M356">
        <v>1968</v>
      </c>
      <c r="N356">
        <v>1975</v>
      </c>
      <c r="O356" t="str">
        <v>Very Good</v>
      </c>
      <c r="P356">
        <v>15</v>
      </c>
      <c r="Q356">
        <v>1985</v>
      </c>
      <c r="R356" t="str">
        <v>R. Capelistas Braga</v>
      </c>
      <c r="S356" t="str">
        <v>250-350 (2024) w/ box</v>
      </c>
      <c r="T356" t="str">
        <v>35 (179) 132 (118)</v>
      </c>
      <c r="U356" t="str">
        <v>a variant box says "Super Apollo Space Capsule); scarcity 4/10</v>
      </c>
      <c r="V356" t="str">
        <v>it was bought out-of-order (broken plastic pinion of motor), repaired</v>
      </c>
      <c r="W356" t="str">
        <v>PD030240</v>
      </c>
      <c r="X356" t="str">
        <v>PD030242</v>
      </c>
      <c r="Y356" t="str">
        <v>PD030243</v>
      </c>
    </row>
    <row r="357">
      <c r="A357">
        <v>356</v>
      </c>
      <c r="B357" t="str">
        <v>Delta 8</v>
      </c>
      <c r="C357">
        <v>3560</v>
      </c>
      <c r="D357" t="str">
        <v>Space Vehicles</v>
      </c>
      <c r="E357" t="str">
        <v>Space / Sci-Fi</v>
      </c>
      <c r="F357" t="str">
        <v>Space vehicle w/ 4 large wheels and astronaut inside dome</v>
      </c>
      <c r="G357" t="str">
        <v>Battery</v>
      </c>
      <c r="H357" t="str">
        <v>Moves forward with searching light on; it is meant to move in rough terrain</v>
      </c>
      <c r="I357" t="str">
        <v>Plastic</v>
      </c>
      <c r="J357" t="str">
        <v>19x22x13</v>
      </c>
      <c r="K357" t="str">
        <v>GAMA</v>
      </c>
      <c r="L357" t="str">
        <v>Excellent</v>
      </c>
      <c r="M357">
        <v>1969</v>
      </c>
      <c r="N357">
        <v>1975</v>
      </c>
      <c r="O357" t="str">
        <v>Excellent</v>
      </c>
      <c r="S357" t="str">
        <v>270 (2024) w/ box</v>
      </c>
      <c r="T357" t="str">
        <v>45 (91)</v>
      </c>
      <c r="W357" t="str">
        <v>PD040253</v>
      </c>
      <c r="X357" t="str">
        <v>PD040255</v>
      </c>
    </row>
    <row r="358">
      <c r="A358">
        <v>357</v>
      </c>
      <c r="B358" t="str">
        <v>Monsieur tap-tap</v>
      </c>
      <c r="C358">
        <v>3580</v>
      </c>
      <c r="D358" t="str">
        <v>Space Vehicles</v>
      </c>
      <c r="E358" t="str">
        <v>Space / Sci-Fi</v>
      </c>
      <c r="F358" t="str">
        <v>Space vehicle w/ 4 horizontal "legs", a large frontal  grab hand  and astronaut inside dome</v>
      </c>
      <c r="G358" t="str">
        <v>Battery</v>
      </c>
      <c r="H358" t="str">
        <v>Moves forward with four legs moving in pairs horizontally and vertically, searching light, hand can open w/ remote control, or by pressing a button in the back</v>
      </c>
      <c r="I358" t="str">
        <v>Plastic</v>
      </c>
      <c r="J358" t="str">
        <v>26x14x14</v>
      </c>
      <c r="K358" t="str">
        <v>GAMA</v>
      </c>
      <c r="L358" t="str">
        <v>Very Good</v>
      </c>
      <c r="M358">
        <v>1969</v>
      </c>
      <c r="N358">
        <v>1975</v>
      </c>
      <c r="S358" t="str">
        <v>200-250 (2024) w/ box</v>
      </c>
      <c r="T358" t="str">
        <v>45 (91)</v>
      </c>
      <c r="W358" t="str">
        <v>PD040250</v>
      </c>
      <c r="X358" t="str">
        <v>PD040252</v>
      </c>
    </row>
    <row r="359">
      <c r="A359">
        <v>358</v>
      </c>
      <c r="B359" t="str">
        <v>Magic Color Dome Mercury Explorer</v>
      </c>
      <c r="D359" t="str">
        <v>Space Vehicles</v>
      </c>
      <c r="E359" t="str">
        <v>Space / Sci-Fi</v>
      </c>
      <c r="F359" t="str">
        <v>Red space vehicle, with a white dome and 3 helices on top</v>
      </c>
      <c r="G359" t="str">
        <v>Battery</v>
      </c>
      <c r="H359" t="str">
        <v>Mystery action, dome and blades turn, light inside dome changes from red to green</v>
      </c>
      <c r="I359" t="str">
        <v>Tin &amp; plastic</v>
      </c>
      <c r="J359" t="str">
        <v>20x11x12</v>
      </c>
      <c r="K359" t="str">
        <v>TPS</v>
      </c>
      <c r="L359" t="str">
        <v>Excellent</v>
      </c>
      <c r="M359">
        <v>1970</v>
      </c>
      <c r="N359">
        <v>1975</v>
      </c>
      <c r="O359" t="str">
        <v>Very Good</v>
      </c>
      <c r="T359" t="str">
        <v>35 (111); 51 (130)</v>
      </c>
      <c r="U359" t="str">
        <v>scarcity: 6/10 (3/5); there are 2 distinct boxes</v>
      </c>
      <c r="W359" t="str">
        <v>PD040247</v>
      </c>
      <c r="X359" t="str">
        <v>PD040248</v>
      </c>
    </row>
    <row r="360">
      <c r="A360">
        <v>359</v>
      </c>
      <c r="B360" t="str">
        <v>Fire Bird III</v>
      </c>
      <c r="D360" t="str">
        <v>Space Vehicles</v>
      </c>
      <c r="E360" t="str">
        <v>Space / Sci-Fi</v>
      </c>
      <c r="F360" t="str">
        <v>White and red car w/ two domes for driver and passenger</v>
      </c>
      <c r="G360" t="str">
        <v>Battery</v>
      </c>
      <c r="H360" t="str">
        <v>Mystery action, ligths in the back panel</v>
      </c>
      <c r="I360" t="str">
        <v>Tin &amp; plastic</v>
      </c>
      <c r="J360" t="str">
        <v>29x14x8</v>
      </c>
      <c r="K360" t="str">
        <v>Alps</v>
      </c>
      <c r="L360" t="str">
        <v>Very Good</v>
      </c>
      <c r="M360">
        <v>1962</v>
      </c>
      <c r="N360">
        <v>1965</v>
      </c>
      <c r="S360" t="str">
        <v>400 (2024)</v>
      </c>
      <c r="T360" t="str">
        <v>35 (53) 132 (94)</v>
      </c>
      <c r="U360" t="str">
        <v xml:space="preserve">scarcity: 5/10; there is a red variant with "Fire Bird III" printed on the side and also a grey car; box is rare  </v>
      </c>
      <c r="W360" t="str">
        <v>PD040244</v>
      </c>
      <c r="X360" t="str">
        <v>PD040246</v>
      </c>
    </row>
    <row r="361">
      <c r="A361">
        <v>360</v>
      </c>
      <c r="B361" t="str">
        <v>Remote Control Satellite</v>
      </c>
      <c r="C361" t="str">
        <v>5030/295</v>
      </c>
      <c r="D361" t="str">
        <v>Space Vehicles</v>
      </c>
      <c r="E361" t="str">
        <v>Space / Sci-Fi</v>
      </c>
      <c r="F361" t="str">
        <v>Remote control blue satellite</v>
      </c>
      <c r="G361" t="str">
        <v>Friction</v>
      </c>
      <c r="H361" t="str">
        <v>Cranking the remote control rotates the staellite, which has blades and flies</v>
      </c>
      <c r="I361" t="str">
        <v>Tin, aluminium &amp; plastic</v>
      </c>
      <c r="J361" t="str">
        <v>18x18x11</v>
      </c>
      <c r="K361" t="str">
        <v>Arnold</v>
      </c>
      <c r="L361" t="str">
        <v>Excellent</v>
      </c>
      <c r="M361">
        <v>1957</v>
      </c>
      <c r="N361">
        <v>1965</v>
      </c>
      <c r="O361" t="str">
        <v>Very Good w/ instructions</v>
      </c>
      <c r="S361" t="str">
        <v>100 (2024) w/ box</v>
      </c>
      <c r="T361" t="str">
        <v>10 (202) 104 (116)</v>
      </c>
      <c r="U361" t="str">
        <v>pat: 2801494 (USA), 788019 (England), 113594 (England), 225898 (Spain), and also Austria and Belgium; also made in France</v>
      </c>
      <c r="W361" t="str">
        <v>PD040280</v>
      </c>
      <c r="X361" t="str">
        <v>PD040283</v>
      </c>
    </row>
    <row r="362">
      <c r="A362">
        <v>361</v>
      </c>
      <c r="B362" t="str">
        <v>Flying Man</v>
      </c>
      <c r="D362" t="str">
        <v>Robots</v>
      </c>
      <c r="E362" t="str">
        <v>Space / Sci-Fi</v>
      </c>
      <c r="F362" t="str">
        <v>Robot w/ blue hat swinging in a red spaceship</v>
      </c>
      <c r="G362" t="str">
        <v>Clockwork</v>
      </c>
      <c r="H362" t="str">
        <v>Spaceship  and flag swing back and forward</v>
      </c>
      <c r="I362" t="str">
        <v>Tin</v>
      </c>
      <c r="J362" t="str">
        <v>16x9x29</v>
      </c>
      <c r="K362" t="str">
        <v>Yoneya</v>
      </c>
      <c r="L362" t="str">
        <v>Excellent</v>
      </c>
      <c r="M362">
        <v>1960</v>
      </c>
      <c r="N362">
        <v>1964</v>
      </c>
      <c r="O362" t="str">
        <v>Excellent</v>
      </c>
      <c r="S362" t="str">
        <v>200-350 (2024) w/ box</v>
      </c>
      <c r="T362" t="str">
        <v>3 (168)</v>
      </c>
      <c r="U362" t="str">
        <v>Box with logo: "exclusive for Italy"; airship says "Lucky", structure says "Driving Robot", flag says "Play Land"</v>
      </c>
      <c r="W362" t="str">
        <v>PD040257</v>
      </c>
      <c r="X362" t="str">
        <v>PD040258</v>
      </c>
      <c r="Y362" t="str">
        <v>PD040259</v>
      </c>
    </row>
    <row r="363">
      <c r="A363">
        <v>362</v>
      </c>
      <c r="B363" t="str">
        <v>Planet Tank</v>
      </c>
      <c r="C363">
        <v>3386</v>
      </c>
      <c r="D363" t="str">
        <v>Space Vehicles</v>
      </c>
      <c r="E363" t="str">
        <v>Space / Sci-Fi</v>
      </c>
      <c r="F363" t="str">
        <v>Blue Space Patrol Tank w/ green dome</v>
      </c>
      <c r="G363" t="str">
        <v>Battery</v>
      </c>
      <c r="H363" t="str">
        <v>Non-fall, antenna rotates, sound, lighted dome</v>
      </c>
      <c r="I363" t="str">
        <v>Tin &amp; plastic</v>
      </c>
      <c r="J363" t="str">
        <v>20x10x14</v>
      </c>
      <c r="K363" t="str">
        <v>Modern Toys</v>
      </c>
      <c r="L363" t="str">
        <v>Excellent</v>
      </c>
      <c r="M363">
        <v>1966</v>
      </c>
      <c r="N363">
        <v>1967</v>
      </c>
      <c r="S363" t="str">
        <v>250 (2024)</v>
      </c>
      <c r="T363" t="str">
        <v>43 (132) 78 (204)</v>
      </c>
      <c r="U363" t="str">
        <v>scarcity: 5/10 desirability 3/6</v>
      </c>
      <c r="W363" t="str">
        <v>PD040264</v>
      </c>
      <c r="X363" t="str">
        <v>PD040266</v>
      </c>
    </row>
    <row r="364">
      <c r="A364">
        <v>363</v>
      </c>
      <c r="B364" t="str">
        <v>Space Tank M-41</v>
      </c>
      <c r="C364">
        <v>3441</v>
      </c>
      <c r="D364" t="str">
        <v>Space Vehicles</v>
      </c>
      <c r="E364" t="str">
        <v>Space / Sci-Fi</v>
      </c>
      <c r="F364" t="str">
        <v>Blue space tank  w/ blue antenna and springs at rear</v>
      </c>
      <c r="G364" t="str">
        <v>Battery</v>
      </c>
      <c r="H364" t="str">
        <v>Mystery action, flashing tail lamps, rotating antenna</v>
      </c>
      <c r="I364" t="str">
        <v>Tin &amp; plastic</v>
      </c>
      <c r="J364" t="str">
        <v>21x10x20</v>
      </c>
      <c r="K364" t="str">
        <v>Modern Toys</v>
      </c>
      <c r="L364" t="str">
        <v>Excellent</v>
      </c>
      <c r="M364">
        <v>1966</v>
      </c>
      <c r="N364">
        <v>1970</v>
      </c>
      <c r="S364" t="str">
        <v>400 (2024)</v>
      </c>
      <c r="T364" t="str">
        <v>35 (174) 78 (204) 89 (90) 132 (131)</v>
      </c>
      <c r="U364" t="str">
        <v>scarcity: 5/10; desirability 3/6</v>
      </c>
      <c r="W364" t="str">
        <v>PD040274</v>
      </c>
      <c r="X364" t="str">
        <v>PD040276</v>
      </c>
    </row>
    <row r="365">
      <c r="A365">
        <v>364</v>
      </c>
      <c r="B365" t="str">
        <v>Space Vehicle</v>
      </c>
      <c r="C365">
        <v>9940</v>
      </c>
      <c r="D365" t="str">
        <v>Space Vehicles</v>
      </c>
      <c r="E365" t="str">
        <v>Space / Sci-Fi</v>
      </c>
      <c r="F365" t="str">
        <v>Blue space tank w/ transparent dome with colored wheel inside</v>
      </c>
      <c r="G365" t="str">
        <v>Battery</v>
      </c>
      <c r="H365" t="str">
        <v>Mystery action, light in the dome, rotating antenna</v>
      </c>
      <c r="I365" t="str">
        <v>Tin &amp; plastic</v>
      </c>
      <c r="J365" t="str">
        <v>20x12x14</v>
      </c>
      <c r="K365" t="str">
        <v>GAMA</v>
      </c>
      <c r="L365" t="str">
        <v>Excellent</v>
      </c>
      <c r="M365">
        <v>1965</v>
      </c>
      <c r="N365">
        <v>1970</v>
      </c>
      <c r="S365" t="str">
        <v>200 (2024) w/ box</v>
      </c>
      <c r="T365" t="str">
        <v>45 (92)</v>
      </c>
      <c r="W365" t="str">
        <v>PD040267</v>
      </c>
      <c r="X365" t="str">
        <v>PD040268</v>
      </c>
      <c r="Y365" t="str">
        <v>PD040269</v>
      </c>
    </row>
    <row r="366">
      <c r="A366">
        <v>365</v>
      </c>
      <c r="B366" t="str">
        <v>Space Vehicle</v>
      </c>
      <c r="C366">
        <v>9945</v>
      </c>
      <c r="D366" t="str">
        <v>Space Vehicles</v>
      </c>
      <c r="E366" t="str">
        <v>Space / Sci-Fi</v>
      </c>
      <c r="F366" t="str">
        <v xml:space="preserve">Grey space tank w/ two astronauts and white antenna </v>
      </c>
      <c r="G366" t="str">
        <v>Battery</v>
      </c>
      <c r="H366" t="str">
        <v>Moves in random pattern, rotating antenna</v>
      </c>
      <c r="I366" t="str">
        <v>Tin &amp; plastic</v>
      </c>
      <c r="J366" t="str">
        <v>20x12x14</v>
      </c>
      <c r="K366" t="str">
        <v>GAMA</v>
      </c>
      <c r="L366" t="str">
        <v>Excellent</v>
      </c>
      <c r="M366">
        <v>1965</v>
      </c>
      <c r="N366">
        <v>1970</v>
      </c>
      <c r="S366" t="str">
        <v>300 (2024) w/ box</v>
      </c>
      <c r="T366" t="str">
        <v>45 (92)</v>
      </c>
      <c r="W366" t="str">
        <v>PD040270</v>
      </c>
      <c r="X366" t="str">
        <v>PD040272</v>
      </c>
    </row>
    <row r="367">
      <c r="A367">
        <v>366</v>
      </c>
      <c r="B367" t="str">
        <v>Moon Creature</v>
      </c>
      <c r="D367" t="str">
        <v>Others</v>
      </c>
      <c r="E367" t="str">
        <v>Space / Sci-Fi</v>
      </c>
      <c r="F367" t="str">
        <v>White, blue and yellow alien with big brows</v>
      </c>
      <c r="G367" t="str">
        <v>Clockwork</v>
      </c>
      <c r="H367" t="str">
        <v>Moves forward, swings arms, opens and closes mouth with a click sound</v>
      </c>
      <c r="I367" t="str">
        <v>Tin</v>
      </c>
      <c r="J367" t="str">
        <v>7x9x13</v>
      </c>
      <c r="K367" t="str">
        <v>Marx</v>
      </c>
      <c r="L367" t="str">
        <v>Good</v>
      </c>
      <c r="M367">
        <v>1968</v>
      </c>
      <c r="N367">
        <v>1970</v>
      </c>
      <c r="S367" t="str">
        <v>200 (2024)</v>
      </c>
      <c r="T367" t="str">
        <v>67 (35)</v>
      </c>
      <c r="U367" t="str">
        <v>made in Japan; there is a rarer variant with yellow head and red belt</v>
      </c>
      <c r="W367" t="str">
        <v>PD040260</v>
      </c>
      <c r="X367" t="str">
        <v>PD040262</v>
      </c>
      <c r="Y367" t="str">
        <v>PD040263</v>
      </c>
    </row>
    <row r="368">
      <c r="A368">
        <v>367</v>
      </c>
      <c r="B368" t="str">
        <v>Strolling Space Station</v>
      </c>
      <c r="C368">
        <v>2078</v>
      </c>
      <c r="D368" t="str">
        <v>Space Vehicles</v>
      </c>
      <c r="E368" t="str">
        <v>Space / Sci-Fi</v>
      </c>
      <c r="F368" t="str">
        <v>Red space vehicle with dome, inside of which a radar and an astronaut</v>
      </c>
      <c r="G368" t="str">
        <v>Clockwork</v>
      </c>
      <c r="H368" t="str">
        <v>radar rotates, the axes of the wheels oscillate</v>
      </c>
      <c r="I368" t="str">
        <v>Tin &amp; plastic</v>
      </c>
      <c r="J368" t="str">
        <v>9x9x9</v>
      </c>
      <c r="K368" t="str">
        <v>Yoneya</v>
      </c>
      <c r="L368" t="str">
        <v>Good</v>
      </c>
      <c r="M368">
        <v>1965</v>
      </c>
      <c r="N368">
        <v>1970</v>
      </c>
      <c r="U368" t="str">
        <v>a copy was made in USSR in the 70s (?)</v>
      </c>
      <c r="W368" t="str">
        <v>PD040297</v>
      </c>
    </row>
    <row r="369">
      <c r="A369">
        <v>368</v>
      </c>
      <c r="B369" t="str">
        <v xml:space="preserve">Space Sparkling Pinwheel </v>
      </c>
      <c r="E369" t="str">
        <v>Space / Sci-Fi</v>
      </c>
      <c r="F369" t="str">
        <v>Sparkling Spin wheel with Space motif</v>
      </c>
      <c r="G369" t="str">
        <v>Friction</v>
      </c>
      <c r="H369" t="str">
        <v>Upon pushing,  rotates and sparks</v>
      </c>
      <c r="I369" t="str">
        <v>Tin</v>
      </c>
      <c r="J369" t="str">
        <v>11x5.5x3</v>
      </c>
      <c r="K369" t="str">
        <v>Arnold</v>
      </c>
      <c r="L369" t="str">
        <v>Excellent</v>
      </c>
      <c r="M369">
        <v>1965</v>
      </c>
      <c r="N369">
        <v>1969</v>
      </c>
      <c r="T369" t="str">
        <v>10 (62)</v>
      </c>
      <c r="W369" t="str">
        <v>PD040305</v>
      </c>
    </row>
    <row r="370">
      <c r="A370">
        <v>369</v>
      </c>
      <c r="B370" t="str">
        <v>Flying Saucer</v>
      </c>
      <c r="D370" t="str">
        <v>Space Vehicles</v>
      </c>
      <c r="E370" t="str">
        <v>Space / Sci-Fi</v>
      </c>
      <c r="F370" t="str">
        <v>Spin wheel with flying disc</v>
      </c>
      <c r="G370" t="str">
        <v>Friction</v>
      </c>
      <c r="H370" t="str">
        <v>Upon pushing, disc flies</v>
      </c>
      <c r="I370" t="str">
        <v>Tin</v>
      </c>
      <c r="J370" t="str">
        <v>14x10x5</v>
      </c>
      <c r="K370" t="str">
        <v>Nusslein, Michael</v>
      </c>
      <c r="L370" t="str">
        <v>Excellent</v>
      </c>
      <c r="M370">
        <v>1955</v>
      </c>
      <c r="N370">
        <v>1959</v>
      </c>
      <c r="O370" t="str">
        <v>Excellent</v>
      </c>
      <c r="T370" t="str">
        <v>46 (292)</v>
      </c>
      <c r="U370" t="str">
        <v>body is made in US Zone Germany; disc is made in Western Germany; a replca is being made by DBS, the box has different printing e.g. no.130 and "UFO"</v>
      </c>
      <c r="W370" t="str">
        <v>PD040305</v>
      </c>
    </row>
    <row r="371">
      <c r="A371">
        <v>370</v>
      </c>
      <c r="B371" t="str">
        <v>Space Whale Ship</v>
      </c>
      <c r="D371" t="str">
        <v>Space Vehicles</v>
      </c>
      <c r="E371" t="str">
        <v>Space / Sci-Fi</v>
      </c>
      <c r="F371" t="str">
        <v>Space fish Pionner</v>
      </c>
      <c r="G371" t="str">
        <v>Clockwork</v>
      </c>
      <c r="H371" t="str">
        <v>When antenna is raised it moves forward, opens mouth slowly and suddenly closes it; sparks</v>
      </c>
      <c r="I371" t="str">
        <v>Tin</v>
      </c>
      <c r="J371" t="str">
        <v>23x12x14</v>
      </c>
      <c r="K371" t="str">
        <v>Yoshiya</v>
      </c>
      <c r="L371" t="str">
        <v>Very Good</v>
      </c>
      <c r="M371">
        <v>1957</v>
      </c>
      <c r="N371">
        <v>1960</v>
      </c>
      <c r="R371" t="str">
        <v>Tokyo</v>
      </c>
      <c r="S371" t="str">
        <v>500-700 (2024)</v>
      </c>
      <c r="T371" t="str">
        <v>89 (91) 132 (87)</v>
      </c>
      <c r="W371" t="str">
        <v>PD040300</v>
      </c>
      <c r="X371" t="str">
        <v>PD040302</v>
      </c>
      <c r="Y371" t="str">
        <v>PD040303</v>
      </c>
    </row>
    <row r="372">
      <c r="A372">
        <v>371</v>
      </c>
      <c r="B372" t="str">
        <v>Flying Jeep</v>
      </c>
      <c r="C372" t="str">
        <v>W-101</v>
      </c>
      <c r="D372" t="str">
        <v>Space Vehicles</v>
      </c>
      <c r="E372" t="str">
        <v>Space / Sci-Fi</v>
      </c>
      <c r="F372" t="str">
        <v>Cylindrical shaped grey USAF vehicle</v>
      </c>
      <c r="G372" t="str">
        <v>Battery</v>
      </c>
      <c r="H372" t="str">
        <v>Moves randomly</v>
      </c>
      <c r="I372" t="str">
        <v>Tin</v>
      </c>
      <c r="J372" t="str">
        <v>8x8x10</v>
      </c>
      <c r="K372" t="str">
        <v>Susuki &amp; Eduards</v>
      </c>
      <c r="L372" t="str">
        <v>Very Good</v>
      </c>
      <c r="M372">
        <v>1959</v>
      </c>
      <c r="N372">
        <v>1965</v>
      </c>
      <c r="O372" t="str">
        <v>Excellent</v>
      </c>
      <c r="T372" t="str">
        <v>35 (78)</v>
      </c>
      <c r="U372" t="str">
        <v>Inspired on the Pawnee flying platform first flown in 1958; box has Komoda Shoten (KKS) trademark; scarcity: 9/10</v>
      </c>
      <c r="W372" t="str">
        <v>PD040294</v>
      </c>
      <c r="X372" t="str">
        <v>PD040295</v>
      </c>
      <c r="Y372" t="str">
        <v>PD040296</v>
      </c>
    </row>
    <row r="373">
      <c r="A373">
        <v>372</v>
      </c>
      <c r="B373" t="str">
        <v>Space Tank</v>
      </c>
      <c r="D373" t="str">
        <v>Space Vehicles</v>
      </c>
      <c r="E373" t="str">
        <v>Space / Sci-Fi</v>
      </c>
      <c r="F373" t="str">
        <v>Space Tank  w/ austronaut in dome and blue bottom</v>
      </c>
      <c r="G373" t="str">
        <v>Clockwork</v>
      </c>
      <c r="H373" t="str">
        <v>Moves forward, changes direction, sparks</v>
      </c>
      <c r="I373" t="str">
        <v>Tin &amp; plastic</v>
      </c>
      <c r="J373" t="str">
        <v>12x9x7</v>
      </c>
      <c r="K373" t="str">
        <v>Takatoku</v>
      </c>
      <c r="L373" t="str">
        <v>Very Good</v>
      </c>
      <c r="M373">
        <v>1955</v>
      </c>
      <c r="N373">
        <v>1960</v>
      </c>
      <c r="S373" t="str">
        <v>400 (2024) w/ box</v>
      </c>
      <c r="T373" t="str">
        <v>43 (132)</v>
      </c>
      <c r="U373" t="str">
        <v>desirability: 4/6</v>
      </c>
      <c r="W373" t="str">
        <v>PD040292</v>
      </c>
      <c r="X373" t="str">
        <v>PD040293</v>
      </c>
    </row>
    <row r="374">
      <c r="A374">
        <v>373</v>
      </c>
      <c r="B374" t="str">
        <v>Space Patrol Tank</v>
      </c>
      <c r="D374" t="str">
        <v>Space Vehicles</v>
      </c>
      <c r="E374" t="str">
        <v>Space / Sci-Fi</v>
      </c>
      <c r="F374" t="str">
        <v>Small space tank w/ astronaut in dome and radar screen on back</v>
      </c>
      <c r="G374" t="str">
        <v>Friction</v>
      </c>
      <c r="H374" t="str">
        <v>Moves forward, sparks under screen</v>
      </c>
      <c r="I374" t="str">
        <v>Tin &amp; plastic</v>
      </c>
      <c r="J374" t="str">
        <v>12.5x6x6</v>
      </c>
      <c r="L374" t="str">
        <v>Good</v>
      </c>
      <c r="M374">
        <v>1965</v>
      </c>
      <c r="N374">
        <v>1969</v>
      </c>
      <c r="T374" t="str">
        <v>43 (133)</v>
      </c>
      <c r="V374" t="str">
        <v>made in Japan</v>
      </c>
      <c r="W374" t="str">
        <v>PD040288</v>
      </c>
      <c r="X374" t="str">
        <v>PD040290</v>
      </c>
    </row>
    <row r="375">
      <c r="A375">
        <v>374</v>
      </c>
      <c r="B375" t="str">
        <v>Apollo 12</v>
      </c>
      <c r="D375" t="str">
        <v>Space Vehicles</v>
      </c>
      <c r="E375" t="str">
        <v>Space / Sci-Fi</v>
      </c>
      <c r="F375" t="str">
        <v>Apollo 12 capsule</v>
      </c>
      <c r="G375" t="str">
        <v>Friction</v>
      </c>
      <c r="H375" t="str">
        <v>Moves forward</v>
      </c>
      <c r="I375" t="str">
        <v>Tin</v>
      </c>
      <c r="J375" t="str">
        <v>9.5x7x7</v>
      </c>
      <c r="K375" t="str">
        <v>Takatoku</v>
      </c>
      <c r="L375" t="str">
        <v>Very Good</v>
      </c>
      <c r="M375">
        <v>1970</v>
      </c>
      <c r="N375">
        <v>1975</v>
      </c>
      <c r="T375" t="str">
        <v>43 (141)</v>
      </c>
      <c r="U375" t="str">
        <v>desirability: 2/6</v>
      </c>
      <c r="W375" t="str">
        <v>PD040284</v>
      </c>
      <c r="X375" t="str">
        <v>PD040287</v>
      </c>
    </row>
    <row r="376">
      <c r="A376">
        <v>375</v>
      </c>
      <c r="B376" t="str">
        <v>Lunar Loop Swinging and Orbiting Action</v>
      </c>
      <c r="D376" t="str">
        <v>Space Vehicles</v>
      </c>
      <c r="E376" t="str">
        <v>Space / Sci-Fi</v>
      </c>
      <c r="F376" t="str">
        <v>Loop w/ NASA spacecraft</v>
      </c>
      <c r="G376" t="str">
        <v>Battery</v>
      </c>
      <c r="H376" t="str">
        <v>Vehicle loops the loop, engine light and sound</v>
      </c>
      <c r="I376" t="str">
        <v>Plastic</v>
      </c>
      <c r="J376" t="str">
        <v>10x36x37</v>
      </c>
      <c r="K376" t="str">
        <v>Daiya</v>
      </c>
      <c r="L376" t="str">
        <v>Excellent</v>
      </c>
      <c r="M376">
        <v>1965</v>
      </c>
      <c r="N376">
        <v>1970</v>
      </c>
      <c r="O376" t="str">
        <v>Very Good</v>
      </c>
      <c r="S376" t="str">
        <v>150-250 (2024) w/ box</v>
      </c>
      <c r="T376" t="str">
        <v>35 (107)</v>
      </c>
      <c r="U376" t="str">
        <v>Scarcity : 6/10</v>
      </c>
      <c r="W376" t="str">
        <v>PD050361</v>
      </c>
      <c r="X376" t="str">
        <v>PD050363</v>
      </c>
      <c r="Y376" t="str">
        <v>PD050365</v>
      </c>
    </row>
    <row r="377">
      <c r="A377">
        <v>376</v>
      </c>
      <c r="B377" t="str">
        <v>Zooming Satellite</v>
      </c>
      <c r="C377">
        <v>825</v>
      </c>
      <c r="D377" t="str">
        <v>Space Vehicles</v>
      </c>
      <c r="E377" t="str">
        <v>Space / Sci-Fi</v>
      </c>
      <c r="F377" t="str">
        <v>Globe on tripod w/ satllite on string</v>
      </c>
      <c r="G377" t="str">
        <v>Clockwork</v>
      </c>
      <c r="H377" t="str">
        <v>Earth rotates, so satellite orbits</v>
      </c>
      <c r="I377" t="str">
        <v>Tin &amp; plastic</v>
      </c>
      <c r="J377" t="str">
        <v>30x30x29</v>
      </c>
      <c r="K377" t="str">
        <v>GAMA</v>
      </c>
      <c r="L377" t="str">
        <v>Very Good</v>
      </c>
      <c r="M377">
        <v>1954</v>
      </c>
      <c r="N377">
        <v>1958</v>
      </c>
      <c r="O377" t="str">
        <v>Good w/ instructions</v>
      </c>
      <c r="S377" t="str">
        <v>300 (2024) w/ box</v>
      </c>
      <c r="T377" t="str">
        <v>44 (31) 46 (106) 55 (32) 132 (35)</v>
      </c>
      <c r="U377" t="str">
        <v>The toy was also made by Joustra in 1958, with same no. and a specific box, named "Satellite Artificiel"; similar toy made by Joustra  " Le Stellite Artificiel" ref 825 55 (32)</v>
      </c>
      <c r="V377" t="str">
        <v>Satellite has 2 broken fins</v>
      </c>
      <c r="W377" t="str">
        <v>PD050360</v>
      </c>
    </row>
    <row r="378">
      <c r="A378">
        <v>377</v>
      </c>
      <c r="B378" t="str">
        <v>Apollo</v>
      </c>
      <c r="C378">
        <v>562</v>
      </c>
      <c r="D378" t="str">
        <v>Space Vehicles</v>
      </c>
      <c r="E378" t="str">
        <v>Space / Sci-Fi</v>
      </c>
      <c r="F378" t="str">
        <v>Small disc saucer w/ 3 antennas</v>
      </c>
      <c r="G378" t="str">
        <v>Friction</v>
      </c>
      <c r="H378" t="str">
        <v>Moves forward, central part rotates</v>
      </c>
      <c r="I378" t="str">
        <v>Tin</v>
      </c>
      <c r="J378" t="str">
        <v>9.5x9.5x7</v>
      </c>
      <c r="K378" t="str">
        <v>Blomer &amp; Schuler</v>
      </c>
      <c r="L378" t="str">
        <v>Excellent</v>
      </c>
      <c r="M378">
        <v>1960</v>
      </c>
      <c r="N378">
        <v>1975</v>
      </c>
      <c r="O378" t="str">
        <v>Excellent</v>
      </c>
      <c r="S378" t="str">
        <v>100-150 (2024) w/ box</v>
      </c>
      <c r="T378" t="str">
        <v>22 (207) 46 (48) 132 (121)</v>
      </c>
      <c r="W378" t="str">
        <v>PD050320</v>
      </c>
    </row>
    <row r="379">
      <c r="A379">
        <v>378</v>
      </c>
      <c r="B379" t="str">
        <v>Satellit Rotaryo Magneta</v>
      </c>
      <c r="C379">
        <v>805</v>
      </c>
      <c r="D379" t="str">
        <v>Space Vehicles</v>
      </c>
      <c r="E379" t="str">
        <v>Space / Sci-Fi</v>
      </c>
      <c r="F379" t="str">
        <v>Blue metallic structure w/ Earth in centre and circling red satellite</v>
      </c>
      <c r="G379" t="str">
        <v>Other</v>
      </c>
      <c r="H379" t="str">
        <v>By inclining the structure, the satellite will circle around the Earth</v>
      </c>
      <c r="I379" t="str">
        <v>Tin</v>
      </c>
      <c r="J379" t="str">
        <v>19x14x20</v>
      </c>
      <c r="K379" t="str">
        <v>Gescha</v>
      </c>
      <c r="L379" t="str">
        <v>Excellent</v>
      </c>
      <c r="M379">
        <v>1957</v>
      </c>
      <c r="N379">
        <v>1965</v>
      </c>
      <c r="O379" t="str">
        <v>Excellent w/ instructions</v>
      </c>
      <c r="S379" t="str">
        <v>250 (2024) w/ box</v>
      </c>
      <c r="T379" t="str">
        <v>47 (67) 66 (377) 132 (35)</v>
      </c>
      <c r="W379" t="str">
        <v>PD050321</v>
      </c>
      <c r="X379" t="str">
        <v>PD050326</v>
      </c>
    </row>
    <row r="380">
      <c r="A380">
        <v>379</v>
      </c>
      <c r="B380" t="str">
        <v>Apollo</v>
      </c>
      <c r="C380">
        <v>333</v>
      </c>
      <c r="D380" t="str">
        <v>Tracks /Platform base</v>
      </c>
      <c r="E380" t="str">
        <v>Space / Sci-Fi</v>
      </c>
      <c r="F380" t="str">
        <v>Dark blue track w/ Apollo travelling between Earth and Moon</v>
      </c>
      <c r="G380" t="str">
        <v>Clockwork</v>
      </c>
      <c r="H380" t="str">
        <v>Can travel between Earth and Moon, or orbit each planet</v>
      </c>
      <c r="I380" t="str">
        <v>Plastic</v>
      </c>
      <c r="J380" t="str">
        <v>59x28x11</v>
      </c>
      <c r="K380" t="str">
        <v>Technofix</v>
      </c>
      <c r="L380" t="str">
        <v>Excellent</v>
      </c>
      <c r="M380">
        <v>1971</v>
      </c>
      <c r="N380">
        <v>1975</v>
      </c>
      <c r="S380" t="str">
        <v>260 (2024)</v>
      </c>
      <c r="T380" t="str">
        <v>1 (98)</v>
      </c>
      <c r="W380" t="str">
        <v>PD050349</v>
      </c>
      <c r="X380" t="str">
        <v>PD050350</v>
      </c>
      <c r="Y380" t="str">
        <v>PD050353</v>
      </c>
    </row>
    <row r="381">
      <c r="A381">
        <v>380</v>
      </c>
      <c r="B381" t="str">
        <v>Rocket Express</v>
      </c>
      <c r="C381">
        <v>286</v>
      </c>
      <c r="D381" t="str">
        <v>Tracks /Platform base</v>
      </c>
      <c r="E381" t="str">
        <v>Space / Sci-Fi</v>
      </c>
      <c r="F381" t="str">
        <v>Vertical track w/ 2 spaceships  travelling betwen Earth and Moon</v>
      </c>
      <c r="G381" t="str">
        <v>Clockwork</v>
      </c>
      <c r="H381" t="str">
        <v>Two spaceships orbit between Earth and Moon</v>
      </c>
      <c r="I381" t="str">
        <v>Tin</v>
      </c>
      <c r="J381" t="str">
        <v>37x9x14</v>
      </c>
      <c r="K381" t="str">
        <v>Technofix</v>
      </c>
      <c r="L381" t="str">
        <v>Excellent</v>
      </c>
      <c r="M381">
        <v>1957</v>
      </c>
      <c r="N381">
        <v>1965</v>
      </c>
      <c r="T381" t="str">
        <v>1 (81) 43 (126) 46 (257) 89 (92)</v>
      </c>
      <c r="U381" t="str">
        <v>desirability: 4/6</v>
      </c>
      <c r="W381" t="str">
        <v>PD050338</v>
      </c>
      <c r="X381" t="str">
        <v>PD050340</v>
      </c>
    </row>
    <row r="382">
      <c r="A382">
        <v>381</v>
      </c>
      <c r="B382" t="str">
        <v>Meteor Express aka Terra Luna</v>
      </c>
      <c r="C382">
        <v>262</v>
      </c>
      <c r="D382" t="str">
        <v>Tracks /Platform base</v>
      </c>
      <c r="E382" t="str">
        <v>Space / Sci-Fi</v>
      </c>
      <c r="F382" t="str">
        <v>Vertical track w/ silver spaceship travelling betwen Earth and Moon</v>
      </c>
      <c r="G382" t="str">
        <v>Clockwork</v>
      </c>
      <c r="H382" t="str">
        <v>Silver spacecraft  travels between Earth and Moon</v>
      </c>
      <c r="I382" t="str">
        <v>Tin</v>
      </c>
      <c r="J382" t="str">
        <v>49x6x14</v>
      </c>
      <c r="K382" t="str">
        <v>Technofix</v>
      </c>
      <c r="L382" t="str">
        <v>Excellent</v>
      </c>
      <c r="M382">
        <v>1951</v>
      </c>
      <c r="N382">
        <v>1958</v>
      </c>
      <c r="O382" t="str">
        <v>Excellent</v>
      </c>
      <c r="P382">
        <v>750</v>
      </c>
      <c r="R382" t="str">
        <v>eBay</v>
      </c>
      <c r="S382" t="str">
        <v>600-1400 (2024) w/ box</v>
      </c>
      <c r="T382" t="str">
        <v>1 (73) 43 (127) 66 (131)</v>
      </c>
      <c r="U382" t="str">
        <v>desirability: 5/6; there is a version w/ 2 ships orbiting Earth</v>
      </c>
      <c r="W382" t="str">
        <v>PD050341</v>
      </c>
      <c r="X382" t="str">
        <v>PD050343</v>
      </c>
    </row>
    <row r="383">
      <c r="A383">
        <v>382</v>
      </c>
      <c r="B383" t="str">
        <v>Sputnik</v>
      </c>
      <c r="C383">
        <v>2000</v>
      </c>
      <c r="D383" t="str">
        <v>Space Vehicles</v>
      </c>
      <c r="E383" t="str">
        <v>Space / Sci-Fi</v>
      </c>
      <c r="F383" t="str">
        <v>Earth w/ orbiting sputnik and satellite</v>
      </c>
      <c r="G383" t="str">
        <v>Clockwork</v>
      </c>
      <c r="H383" t="str">
        <v>Earth rotates in one direction, space vehicles in the other</v>
      </c>
      <c r="I383" t="str">
        <v>Tin &amp; plastic</v>
      </c>
      <c r="J383" t="str">
        <v>24x12x16</v>
      </c>
      <c r="K383" t="str">
        <v>Seidel, Michael</v>
      </c>
      <c r="L383" t="str">
        <v>Good</v>
      </c>
      <c r="M383">
        <v>1957</v>
      </c>
      <c r="N383">
        <v>1965</v>
      </c>
      <c r="T383" t="str">
        <v>22 (209) 43 (153) 66 (409)</v>
      </c>
      <c r="U383" t="str">
        <v>desirability: 3/6</v>
      </c>
      <c r="V383" t="str">
        <v>Earth is a littler loose and has a few bends</v>
      </c>
      <c r="W383" t="str">
        <v>PD050315</v>
      </c>
      <c r="X383" t="str">
        <v>PD050318</v>
      </c>
    </row>
    <row r="384">
      <c r="A384">
        <v>383</v>
      </c>
      <c r="B384" t="str">
        <v>Sputnik</v>
      </c>
      <c r="D384" t="str">
        <v>Space Vehicles</v>
      </c>
      <c r="E384" t="str">
        <v>Space / Sci-Fi</v>
      </c>
      <c r="F384" t="str">
        <v>Small Earth and Sputnik on a white base</v>
      </c>
      <c r="G384" t="str">
        <v>Clockwork</v>
      </c>
      <c r="H384" t="str">
        <v>Earth and Sputnik rotate</v>
      </c>
      <c r="I384" t="str">
        <v>Tin &amp; plastic</v>
      </c>
      <c r="J384" t="str">
        <v>8x7x12</v>
      </c>
      <c r="K384" t="str">
        <v>Kohler</v>
      </c>
      <c r="L384" t="str">
        <v>Excellent</v>
      </c>
      <c r="M384">
        <v>1958</v>
      </c>
      <c r="N384">
        <v>1965</v>
      </c>
      <c r="O384" t="str">
        <v>Very Good</v>
      </c>
      <c r="T384" t="str">
        <v>22 (209)</v>
      </c>
      <c r="W384" t="str">
        <v>PD050310</v>
      </c>
      <c r="X384" t="str">
        <v>PD050312</v>
      </c>
    </row>
    <row r="385">
      <c r="A385">
        <v>384</v>
      </c>
      <c r="B385" t="str">
        <v>Space-Satellite</v>
      </c>
      <c r="C385" t="str">
        <v>PN 130</v>
      </c>
      <c r="D385" t="str">
        <v>Space Vehicles</v>
      </c>
      <c r="E385" t="str">
        <v>Space / Sci-Fi</v>
      </c>
      <c r="F385" t="str">
        <v>Half Earth w/ satellite and sputnik</v>
      </c>
      <c r="G385" t="str">
        <v>Friction</v>
      </c>
      <c r="H385" t="str">
        <v>The toy is fixed to the table by a suction cup and rotates</v>
      </c>
      <c r="I385" t="str">
        <v>Tin</v>
      </c>
      <c r="J385" t="str">
        <v>40x9x14</v>
      </c>
      <c r="K385" t="str">
        <v>PN</v>
      </c>
      <c r="L385" t="str">
        <v>Good</v>
      </c>
      <c r="M385">
        <v>1958</v>
      </c>
      <c r="N385">
        <v>1962</v>
      </c>
      <c r="O385" t="str">
        <v>Very Good</v>
      </c>
      <c r="U385" t="str">
        <v>this is a space variant of the toy from 1957 with 2 planes</v>
      </c>
      <c r="W385" t="str">
        <v>PD050355</v>
      </c>
    </row>
    <row r="386">
      <c r="A386">
        <v>385</v>
      </c>
      <c r="B386" t="str">
        <v>Luna Expedition</v>
      </c>
      <c r="C386">
        <v>331</v>
      </c>
      <c r="D386" t="str">
        <v>Tracks /Platform base</v>
      </c>
      <c r="E386" t="str">
        <v>Space / Sci-Fi</v>
      </c>
      <c r="F386" t="str">
        <v>Lunar lanscape w/ lunar vehicle and USA base</v>
      </c>
      <c r="G386" t="str">
        <v>Clockwork</v>
      </c>
      <c r="H386" t="str">
        <v>Vehicle moves along the surface following a path</v>
      </c>
      <c r="I386" t="str">
        <v>Plastic</v>
      </c>
      <c r="J386" t="str">
        <v>37x26.5x12</v>
      </c>
      <c r="K386" t="str">
        <v>Technofix</v>
      </c>
      <c r="L386" t="str">
        <v>Excellent</v>
      </c>
      <c r="M386">
        <v>1970</v>
      </c>
      <c r="N386">
        <v>1975</v>
      </c>
      <c r="O386" t="str">
        <v>Excellent w/ foam</v>
      </c>
      <c r="S386" t="str">
        <v>350-500 (2024) w/ box</v>
      </c>
      <c r="T386" t="str">
        <v>1 (97)</v>
      </c>
      <c r="U386" t="str">
        <v>toy and box have printed patents from several countries  (no numbers for Germany and USA)</v>
      </c>
      <c r="W386" t="str">
        <v>PD050345</v>
      </c>
      <c r="X386" t="str">
        <v>PD050346</v>
      </c>
    </row>
    <row r="387">
      <c r="A387">
        <v>386</v>
      </c>
      <c r="B387" t="str">
        <v>Voyage à la Lune</v>
      </c>
      <c r="C387">
        <v>1025</v>
      </c>
      <c r="D387" t="str">
        <v>Tracks /Platform base</v>
      </c>
      <c r="E387" t="str">
        <v>Space / Sci-Fi</v>
      </c>
      <c r="F387" t="str">
        <v>Carrousel of 3 spaceships around the moon</v>
      </c>
      <c r="G387" t="str">
        <v>Clockwork</v>
      </c>
      <c r="H387" t="str">
        <v>Vehicles rotate going up and down around the moon, which also rotates</v>
      </c>
      <c r="I387" t="str">
        <v>Tin</v>
      </c>
      <c r="J387" t="str">
        <v>27x21x17</v>
      </c>
      <c r="K387" t="str">
        <v>Joustra</v>
      </c>
      <c r="L387" t="str">
        <v>Very Good</v>
      </c>
      <c r="M387">
        <v>1952</v>
      </c>
      <c r="N387">
        <v>1956</v>
      </c>
      <c r="P387">
        <v>192</v>
      </c>
      <c r="Q387">
        <v>45292</v>
      </c>
      <c r="R387" t="str">
        <v>Catawiki</v>
      </c>
      <c r="S387" t="str">
        <v>400 (2025)</v>
      </c>
      <c r="T387" t="str">
        <v>43 (202) 55 (36)</v>
      </c>
      <c r="U387" t="str">
        <v>The catalogue shows a  classical moon as a face, but in the toy the moon is a sphere; desirability: 5/6</v>
      </c>
      <c r="W387" t="str">
        <v>PD050308</v>
      </c>
    </row>
    <row r="388">
      <c r="A388">
        <v>387</v>
      </c>
      <c r="B388" t="str">
        <v>UFO Goldrake</v>
      </c>
      <c r="D388" t="str">
        <v>Space Vehicles</v>
      </c>
      <c r="E388" t="str">
        <v>Space / Sci-Fi</v>
      </c>
      <c r="F388" t="str">
        <v>Green Goldorak flying saucer</v>
      </c>
      <c r="G388" t="str">
        <v>Battery</v>
      </c>
      <c r="H388" t="str">
        <v>Lights, moves in circles, sound</v>
      </c>
      <c r="I388" t="str">
        <v>Plastic</v>
      </c>
      <c r="J388" t="str">
        <v>27x27x11</v>
      </c>
      <c r="K388" t="str">
        <v>RE.EL</v>
      </c>
      <c r="L388" t="str">
        <v>Good</v>
      </c>
      <c r="M388">
        <v>1983</v>
      </c>
      <c r="N388">
        <v>1985</v>
      </c>
      <c r="S388" t="str">
        <v>100-150 (2024)</v>
      </c>
      <c r="U388" t="str">
        <v>There is a version w/ radio command (a space pistol);  copyright TOEI animation  RAI 1978; Goldrake or Goldorak, is a Japanese manga and animated television series created by Go Nagai. It aired on Fuji TV from October 5, 1975, to February 27, 1977. GOLDORAK is a gigantic, heavily armed, two-part alien war machine.</v>
      </c>
      <c r="V388" t="str">
        <v>two cracks in the dome; one wheel missing</v>
      </c>
      <c r="W388" t="str">
        <v>PD060426</v>
      </c>
    </row>
    <row r="389">
      <c r="A389">
        <v>388</v>
      </c>
      <c r="B389" t="str">
        <v>Orion</v>
      </c>
      <c r="C389">
        <v>5555</v>
      </c>
      <c r="D389" t="str">
        <v>Space Vehicles</v>
      </c>
      <c r="E389" t="str">
        <v>Space / Sci-Fi</v>
      </c>
      <c r="F389" t="str">
        <v>Orion VIII spaceship</v>
      </c>
      <c r="G389" t="str">
        <v>Friction</v>
      </c>
      <c r="H389" t="str">
        <v>Cranking the remote control makes the toy rotate and fly</v>
      </c>
      <c r="I389" t="str">
        <v>Plastic and thin tin</v>
      </c>
      <c r="J389" t="str">
        <v>26x26x9</v>
      </c>
      <c r="K389" t="str">
        <v>Arnold</v>
      </c>
      <c r="L389" t="str">
        <v>Very Good</v>
      </c>
      <c r="M389">
        <v>1967</v>
      </c>
      <c r="N389">
        <v>1968</v>
      </c>
      <c r="R389" t="str">
        <v>Lansberger</v>
      </c>
      <c r="T389" t="str">
        <v>10 (201)</v>
      </c>
      <c r="U389" t="str">
        <v>This is a prototype of the toy, the central wire was later replaced by a transparent plastic part; the spaceship Orion appeared on a German TV series  "Space Patrol" in the 1960s. In December 1966, Arnold negotiated a licence agreement with Bavaria Atelier Ltd for marketing the toy</v>
      </c>
      <c r="W389" t="str">
        <v>PD060428</v>
      </c>
      <c r="X389" t="str">
        <v>PD060429</v>
      </c>
    </row>
    <row r="390">
      <c r="A390">
        <v>389</v>
      </c>
      <c r="B390" t="str">
        <v xml:space="preserve">Fire Bird </v>
      </c>
      <c r="D390" t="str">
        <v>Space Vehicles</v>
      </c>
      <c r="E390" t="str">
        <v>Space / Sci-Fi</v>
      </c>
      <c r="F390" t="str">
        <v>Fire Bird B10-4 orange jet</v>
      </c>
      <c r="G390" t="str">
        <v>Friction</v>
      </c>
      <c r="H390" t="str">
        <v>Moves forward, sparks from guns</v>
      </c>
      <c r="I390" t="str">
        <v>Tin</v>
      </c>
      <c r="J390" t="str">
        <v>21.5x20x5</v>
      </c>
      <c r="K390" t="str">
        <v>HUKI</v>
      </c>
      <c r="L390" t="str">
        <v>Very Good</v>
      </c>
      <c r="M390">
        <v>1955</v>
      </c>
      <c r="N390">
        <v>1960</v>
      </c>
      <c r="U390" t="str">
        <v>a copy made in India exists</v>
      </c>
      <c r="W390" t="str">
        <v>PD060402</v>
      </c>
      <c r="X390" t="str">
        <v>PD060403</v>
      </c>
    </row>
    <row r="391">
      <c r="A391">
        <v>390</v>
      </c>
      <c r="B391" t="str">
        <v>Airplane</v>
      </c>
      <c r="C391">
        <v>270</v>
      </c>
      <c r="D391" t="str">
        <v>Space Vehicles</v>
      </c>
      <c r="E391" t="str">
        <v>Space / Sci-Fi</v>
      </c>
      <c r="F391" t="str">
        <v>Orange GE270  jet</v>
      </c>
      <c r="G391" t="str">
        <v>Friction</v>
      </c>
      <c r="H391" t="str">
        <v>Moves forward</v>
      </c>
      <c r="I391" t="str">
        <v>Tin</v>
      </c>
      <c r="J391" t="str">
        <v>29x24x7</v>
      </c>
      <c r="K391" t="str">
        <v>Technofix</v>
      </c>
      <c r="L391" t="str">
        <v>Very Good</v>
      </c>
      <c r="M391">
        <v>1953</v>
      </c>
      <c r="N391">
        <v>1958</v>
      </c>
      <c r="S391" t="str">
        <v>200 (2024)</v>
      </c>
      <c r="T391" t="str">
        <v>1 (75)</v>
      </c>
      <c r="U391" t="str">
        <v>there is a version w/ helices</v>
      </c>
      <c r="W391" t="str">
        <v>PD060398</v>
      </c>
      <c r="X391" t="str">
        <v>PD060400</v>
      </c>
      <c r="Y391" t="str">
        <v>PD060401</v>
      </c>
    </row>
    <row r="392">
      <c r="A392">
        <v>391</v>
      </c>
      <c r="B392" t="str">
        <v>Space Patrol with Floating Satellite X-17</v>
      </c>
      <c r="C392">
        <v>3117</v>
      </c>
      <c r="D392" t="str">
        <v>Space Vehicles</v>
      </c>
      <c r="E392" t="str">
        <v>Space / Sci-Fi</v>
      </c>
      <c r="F392" t="str">
        <v>Green Space Patrol X-17</v>
      </c>
      <c r="G392" t="str">
        <v>Battery</v>
      </c>
      <c r="H392" t="str">
        <v>Mystery action, flashing lights, ball levitates</v>
      </c>
      <c r="I392" t="str">
        <v>Tin &amp; plastic</v>
      </c>
      <c r="J392" t="str">
        <v>20x20x15</v>
      </c>
      <c r="K392" t="str">
        <v>Modern Toys</v>
      </c>
      <c r="L392" t="str">
        <v>Excellent</v>
      </c>
      <c r="M392">
        <v>1960</v>
      </c>
      <c r="N392">
        <v>1962</v>
      </c>
      <c r="O392" t="str">
        <v>Very Good</v>
      </c>
      <c r="S392" t="str">
        <v>&gt;300 (2024) w/ box</v>
      </c>
      <c r="T392" t="str">
        <v>35 (169) 43 (135) 78 (199) 132 (50)</v>
      </c>
      <c r="U392" t="str">
        <v>scarcity: 6/10 (3/5); desirability: 4/6</v>
      </c>
      <c r="W392" t="str">
        <v>PD060422</v>
      </c>
    </row>
    <row r="393">
      <c r="A393">
        <v>392</v>
      </c>
      <c r="B393" t="str">
        <v>Space Commander</v>
      </c>
      <c r="D393" t="str">
        <v>Space Vehicles</v>
      </c>
      <c r="E393" t="str">
        <v>Space / Sci-Fi</v>
      </c>
      <c r="F393" t="str">
        <v>Brown, blue and red space station w/ astronaut in dome</v>
      </c>
      <c r="G393" t="str">
        <v>Battery</v>
      </c>
      <c r="H393" t="str">
        <v>Mystery action, flashing lights</v>
      </c>
      <c r="I393" t="str">
        <v>Tin &amp; plastic</v>
      </c>
      <c r="J393" t="str">
        <v>23x23x13</v>
      </c>
      <c r="K393" t="str">
        <v>Nomura</v>
      </c>
      <c r="L393" t="str">
        <v>Good</v>
      </c>
      <c r="M393">
        <v>1967</v>
      </c>
      <c r="N393">
        <v>1969</v>
      </c>
      <c r="P393">
        <v>320</v>
      </c>
      <c r="Q393" t="str">
        <v>May2023</v>
      </c>
      <c r="R393" t="str">
        <v>Auctionet</v>
      </c>
      <c r="T393" t="str">
        <v>35 (167) 43 (184) 132 (138)</v>
      </c>
      <c r="U393" t="str">
        <v>in 1969 re-issued as "Planet -Y Space Station"; scarcity: 8/10</v>
      </c>
      <c r="V393" t="str">
        <v>does not move, lights work</v>
      </c>
      <c r="W393" t="str">
        <v>PD060419</v>
      </c>
    </row>
    <row r="394">
      <c r="A394">
        <v>393</v>
      </c>
      <c r="B394" t="str">
        <v>Flying Saucer with Space Pilot</v>
      </c>
      <c r="D394" t="str">
        <v>Space Vehicles</v>
      </c>
      <c r="E394" t="str">
        <v>Space / Sci-Fi</v>
      </c>
      <c r="F394" t="str">
        <v>Red flying saucer with conical spiral antenna</v>
      </c>
      <c r="G394" t="str">
        <v>Battery</v>
      </c>
      <c r="H394" t="str">
        <v>Mystery action, revolving antenna, astronaut moves arms, lights and sound</v>
      </c>
      <c r="I394" t="str">
        <v>Tin &amp; plastic</v>
      </c>
      <c r="J394" t="str">
        <v>21x19x13</v>
      </c>
      <c r="K394" t="str">
        <v>Yoshiya</v>
      </c>
      <c r="L394" t="str">
        <v>Very Good</v>
      </c>
      <c r="P394">
        <v>263</v>
      </c>
      <c r="Q394">
        <v>44531</v>
      </c>
      <c r="R394" t="str">
        <v>Catawiki</v>
      </c>
      <c r="S394" t="str">
        <v>150-250 (2024)</v>
      </c>
      <c r="T394" t="str">
        <v>35 (78 ) 43 (124)</v>
      </c>
      <c r="U394" t="str">
        <v>scarcity: 4/10; desirability: 4/6; several variants using the same basic toy</v>
      </c>
      <c r="W394" t="str">
        <v>PD060405</v>
      </c>
      <c r="X394" t="str">
        <v>PD060406</v>
      </c>
      <c r="Y394" t="str">
        <v>PD060409</v>
      </c>
    </row>
    <row r="395">
      <c r="A395">
        <v>394</v>
      </c>
      <c r="B395" t="str">
        <v>Two-Stage Rocket Launching Pad</v>
      </c>
      <c r="D395" t="str">
        <v>Space Vehicles</v>
      </c>
      <c r="E395" t="str">
        <v>Space / Sci-Fi</v>
      </c>
      <c r="F395" t="str">
        <v>Lauching  base w/ operator and tower w/ 2 rockets</v>
      </c>
      <c r="G395" t="str">
        <v>Battery</v>
      </c>
      <c r="H395" t="str">
        <v>When rocket is pushed into launcher, the radar screen blinks with increasingly faster beep-beep signal, operator moves levers, then rocket is fired</v>
      </c>
      <c r="I395" t="str">
        <v>Tin</v>
      </c>
      <c r="J395" t="str">
        <v>10x18x21</v>
      </c>
      <c r="K395" t="str">
        <v>Nomura</v>
      </c>
      <c r="L395" t="str">
        <v>Excellent</v>
      </c>
      <c r="M395">
        <v>1960</v>
      </c>
      <c r="N395">
        <v>1965</v>
      </c>
      <c r="O395" t="str">
        <v>Good</v>
      </c>
      <c r="S395" t="str">
        <v>500 (2020) w/ box</v>
      </c>
      <c r="T395" t="str">
        <v>35 (197) 43 (192)</v>
      </c>
      <c r="U395" t="str">
        <v>This toy was taken out of production very quickly  because the rockets could hit the children's eyes; this is the rarer light blue version with a "flatter" finish than the slightly raised litho of the purple version; in version 1 a crank handle is attached at the front and there is an additional button on the launch tube - the crank is used to start the launch sequence mechanically. Version 2 (ours) is started by simply pushing the rocket down; scarcity 6/10; desirability 4/6</v>
      </c>
      <c r="W395" t="str">
        <v>PD060414</v>
      </c>
      <c r="X395" t="str">
        <v>PD060415</v>
      </c>
      <c r="Y395" t="str">
        <v>PD060416</v>
      </c>
      <c r="Z395" t="str">
        <v>PD060417</v>
      </c>
    </row>
    <row r="396">
      <c r="A396">
        <v>395</v>
      </c>
      <c r="B396" t="str">
        <v>Ultraman Taro Circling Train</v>
      </c>
      <c r="D396" t="str">
        <v>Tracks /Platform base</v>
      </c>
      <c r="E396" t="str">
        <v>Space / Sci-Fi</v>
      </c>
      <c r="F396" t="str">
        <v xml:space="preserve">Small track w/ circling train and blue spaceship </v>
      </c>
      <c r="G396" t="str">
        <v>Clockwork</v>
      </c>
      <c r="H396" t="str">
        <v>Train and plane circle, bell rings</v>
      </c>
      <c r="I396" t="str">
        <v>Tin &amp; plastic</v>
      </c>
      <c r="J396" t="str">
        <v>26x16x17</v>
      </c>
      <c r="K396" t="str">
        <v>Bull Mark</v>
      </c>
      <c r="L396" t="str">
        <v>Excellent</v>
      </c>
      <c r="M396">
        <v>1975</v>
      </c>
      <c r="N396">
        <v>1980</v>
      </c>
      <c r="R396" t="str">
        <v>Tokyo</v>
      </c>
      <c r="T396" t="str">
        <v>83 (10)</v>
      </c>
      <c r="U396" t="str">
        <v>Box is in japanese "Ultraman Taro and the Super Swallow Sky Whale flies and the new line "Hikari" appears"; Ultraman Taro is the fifth season in the Ultra Series. Produced by Tsuburaya Productions (copyright in the toy), the series aired on Tokyo Broadcasting System from April 6, 1973, to April 5, 1974, with a total of 53 episodes. The Sky Whale is a large-scale flagship fighter; Hikari (Light) is the name of a high-speed train service running on the Tōkaidō and San'yō Shinkansen "bullet train" lines in Japan.</v>
      </c>
      <c r="W396" t="str">
        <v>PD060393</v>
      </c>
      <c r="X396" t="str">
        <v>PD060395</v>
      </c>
      <c r="Y396" t="str">
        <v>PD060397</v>
      </c>
    </row>
    <row r="397">
      <c r="A397">
        <v>396</v>
      </c>
      <c r="B397" t="str">
        <v>Space Shooting Range</v>
      </c>
      <c r="C397" t="str">
        <v>117/12</v>
      </c>
      <c r="D397" t="str">
        <v>Games</v>
      </c>
      <c r="E397" t="str">
        <v>Space / Sci-Fi</v>
      </c>
      <c r="F397" t="str">
        <v>Blue shooting game w/ spaceships</v>
      </c>
      <c r="G397" t="str">
        <v>Clockwork</v>
      </c>
      <c r="H397" t="str">
        <v>Gun shoots balls that may throw down moving spaceships</v>
      </c>
      <c r="I397" t="str">
        <v>Tin</v>
      </c>
      <c r="J397" t="str">
        <v>45.5x35x18</v>
      </c>
      <c r="K397" t="str">
        <v>Codeg</v>
      </c>
      <c r="L397" t="str">
        <v>Excellent</v>
      </c>
      <c r="M397">
        <v>1955</v>
      </c>
      <c r="N397">
        <v>1960</v>
      </c>
      <c r="R397" t="str">
        <v>Gonçalo Rueda</v>
      </c>
      <c r="S397" t="str">
        <v>800 (2025) w/ box</v>
      </c>
      <c r="T397" t="str">
        <v>43 (174)</v>
      </c>
      <c r="U397" t="str">
        <v xml:space="preserve">desirability: 5/6 </v>
      </c>
      <c r="W397" t="str">
        <v>PD060374</v>
      </c>
      <c r="X397" t="str">
        <v>PD060377</v>
      </c>
    </row>
    <row r="398">
      <c r="A398">
        <v>397</v>
      </c>
      <c r="B398" t="str">
        <v>Apollo Circling</v>
      </c>
      <c r="D398" t="str">
        <v>Tracks /Platform base</v>
      </c>
      <c r="E398" t="str">
        <v>Space / Sci-Fi</v>
      </c>
      <c r="F398" t="str">
        <v>Platform w/ Moon and Apollo and lander orbiting</v>
      </c>
      <c r="G398" t="str">
        <v>Clockwork</v>
      </c>
      <c r="H398" t="str">
        <v>Apollo and Lander orbit around the Monn, Apollo faster</v>
      </c>
      <c r="I398" t="str">
        <v>Tin &amp; plastic</v>
      </c>
      <c r="J398" t="str">
        <v>19x17x20</v>
      </c>
      <c r="K398" t="str">
        <v>Kokyu Shokai</v>
      </c>
      <c r="L398" t="str">
        <v>Excellent</v>
      </c>
      <c r="M398">
        <v>1969</v>
      </c>
      <c r="N398">
        <v>1975</v>
      </c>
      <c r="O398" t="str">
        <v>Good</v>
      </c>
      <c r="P398">
        <v>225</v>
      </c>
      <c r="Q398" t="str">
        <v>Feb/2025</v>
      </c>
      <c r="R398" t="str">
        <v>Gonçalo Rueda</v>
      </c>
      <c r="S398" t="str">
        <v>250 (2024) w/ box</v>
      </c>
      <c r="U398" t="str">
        <v>The Apollo 11 spacecraft was composed of the Command/Service Module (CSM) and the Lunar Module (LM), with the CSM serving as the primary spacecraft in orbit around the Moon at 3500 to 3700 km/h and the LM being the vehicle that landed on the lunar surface. The LM separated from the CSM with the descent stage firing its engines to lower the module progressively slower to the lunar surface. After the moonwalk, the ascent stage reached 2000 to 3000 km/h to escape the Moon’s gravity and return to the orbiting CSM.</v>
      </c>
      <c r="W398" t="str">
        <v>PD300540</v>
      </c>
      <c r="X398" t="str">
        <v>PD300542</v>
      </c>
    </row>
    <row r="399">
      <c r="A399">
        <v>398</v>
      </c>
      <c r="B399" t="str">
        <v>Coney Island Rocket Ride</v>
      </c>
      <c r="D399" t="str">
        <v>Space Vehicles</v>
      </c>
      <c r="E399" t="str">
        <v>Space / Sci-Fi</v>
      </c>
      <c r="F399" t="str">
        <v>Blue  vertical merry-go-round w/ 2 spaceships</v>
      </c>
      <c r="G399" t="str">
        <v>Battery</v>
      </c>
      <c r="H399" t="str">
        <v>Ships w/ lights go around, structure changes angle, bell rings</v>
      </c>
      <c r="I399" t="str">
        <v>Tin</v>
      </c>
      <c r="J399" t="str">
        <v>21x21x35</v>
      </c>
      <c r="K399" t="str">
        <v>Alps</v>
      </c>
      <c r="L399" t="str">
        <v>Excellent</v>
      </c>
      <c r="M399">
        <v>1960</v>
      </c>
      <c r="N399">
        <v>1965</v>
      </c>
      <c r="R399" t="str">
        <v>Gonçao Rueda</v>
      </c>
      <c r="T399" t="str">
        <v>35 (51) 43 (185)</v>
      </c>
      <c r="U399" t="str">
        <v>scarcity: 7/10; desirability: 4/6; there is a chinese copy MS 446</v>
      </c>
      <c r="W399" t="str">
        <v>PD060378</v>
      </c>
      <c r="X399" t="str">
        <v>PD060379</v>
      </c>
    </row>
    <row r="400">
      <c r="A400">
        <v>399</v>
      </c>
      <c r="B400" t="str">
        <v>Flying Saucer 8</v>
      </c>
      <c r="D400" t="str">
        <v>Space Vehicles</v>
      </c>
      <c r="E400" t="str">
        <v>Space / Sci-Fi</v>
      </c>
      <c r="F400" t="str">
        <v>Red and white flying saucer no. 8 w/ 2 astronauts inside dome</v>
      </c>
      <c r="G400" t="str">
        <v>Friction</v>
      </c>
      <c r="H400" t="str">
        <v>Moves fortward, sparks inside dome</v>
      </c>
      <c r="I400" t="str">
        <v>Tin &amp; plastic</v>
      </c>
      <c r="J400" t="str">
        <v>17x17x7</v>
      </c>
      <c r="K400" t="str">
        <v>HAJI</v>
      </c>
      <c r="L400" t="str">
        <v>Good</v>
      </c>
      <c r="M400">
        <v>1962</v>
      </c>
      <c r="N400">
        <v>1965</v>
      </c>
      <c r="T400" t="str">
        <v>132 (108)</v>
      </c>
      <c r="W400" t="str">
        <v>PD060386</v>
      </c>
      <c r="X400" t="str">
        <v>PD060388</v>
      </c>
    </row>
    <row r="401">
      <c r="A401">
        <v>400</v>
      </c>
      <c r="B401" t="str">
        <v>Terre-Mars</v>
      </c>
      <c r="D401" t="str">
        <v>Space Vehicles</v>
      </c>
      <c r="E401" t="str">
        <v>Space / Sci-Fi</v>
      </c>
      <c r="F401" t="str">
        <v>Blue and red  spaceship w/ yellow fins</v>
      </c>
      <c r="H401" t="str">
        <v>no mechanism</v>
      </c>
      <c r="I401" t="str">
        <v>Tin</v>
      </c>
      <c r="J401" t="str">
        <v>18x14.5x6</v>
      </c>
      <c r="K401" t="str">
        <v>SFA</v>
      </c>
      <c r="L401" t="str">
        <v>Very Good</v>
      </c>
      <c r="M401">
        <v>1955</v>
      </c>
      <c r="N401">
        <v>1959</v>
      </c>
      <c r="P401">
        <v>128</v>
      </c>
      <c r="Q401">
        <v>44713</v>
      </c>
      <c r="R401" t="str">
        <v>Catawiki</v>
      </c>
      <c r="T401" t="str">
        <v>43 (196) 132 (38)</v>
      </c>
      <c r="U401" t="str">
        <v>desirability: 4/6; variant w/ blue fins</v>
      </c>
      <c r="W401" t="str">
        <v>PD060380</v>
      </c>
      <c r="X401" t="str">
        <v>PD060381</v>
      </c>
    </row>
    <row r="402">
      <c r="A402">
        <v>401</v>
      </c>
      <c r="B402" t="str">
        <v>Orbitoy Satellite Space Spinner</v>
      </c>
      <c r="D402" t="str">
        <v>Space Vehicles</v>
      </c>
      <c r="E402" t="str">
        <v>Space / Sci-Fi</v>
      </c>
      <c r="F402" t="str">
        <v>Space themed large blue yo-yo</v>
      </c>
      <c r="G402" t="str">
        <v>Other</v>
      </c>
      <c r="H402" t="str">
        <v>Holding the yo-yo at an angle makes the satellite spin around</v>
      </c>
      <c r="I402" t="str">
        <v>Tin &amp; plastic</v>
      </c>
      <c r="J402" t="str">
        <v>16x13x11</v>
      </c>
      <c r="K402" t="str">
        <v>Green Monk Combex</v>
      </c>
      <c r="L402" t="str">
        <v>Excellent</v>
      </c>
      <c r="M402">
        <v>1969</v>
      </c>
      <c r="N402">
        <v>1975</v>
      </c>
      <c r="O402" t="str">
        <v>Excellent</v>
      </c>
      <c r="S402" t="str">
        <v>50-100 (2024) w/ box</v>
      </c>
      <c r="T402" t="str">
        <v>89 (113)</v>
      </c>
      <c r="U402" t="str">
        <v>Prov. Pat. 11468/69; there is a similar MS 761 chinese toy</v>
      </c>
      <c r="W402" t="str">
        <v>PD060385</v>
      </c>
    </row>
    <row r="403">
      <c r="A403">
        <v>402</v>
      </c>
      <c r="B403" t="str">
        <v>SpaceShip Whistle</v>
      </c>
      <c r="D403" t="str">
        <v>Space Vehicles</v>
      </c>
      <c r="E403" t="str">
        <v>Space / Sci-Fi</v>
      </c>
      <c r="F403" t="str">
        <v>Blue and orange spaceship whistle</v>
      </c>
      <c r="G403" t="str">
        <v>Other</v>
      </c>
      <c r="H403" t="str">
        <v>Antenna and cockpit spin when blown</v>
      </c>
      <c r="I403" t="str">
        <v>Plastic</v>
      </c>
      <c r="J403" t="str">
        <v>20x7x5</v>
      </c>
      <c r="K403" t="str">
        <v>Bruder</v>
      </c>
      <c r="L403" t="str">
        <v>Very Good</v>
      </c>
      <c r="M403">
        <v>1970</v>
      </c>
      <c r="N403">
        <v>1980</v>
      </c>
      <c r="S403" t="str">
        <v>30-50 (2024)</v>
      </c>
      <c r="W403" t="str">
        <v>PD060390</v>
      </c>
      <c r="X403" t="str">
        <v>PD060392</v>
      </c>
    </row>
    <row r="404">
      <c r="A404">
        <v>403</v>
      </c>
      <c r="B404" t="str">
        <v>UFO X-05</v>
      </c>
      <c r="C404">
        <v>4670</v>
      </c>
      <c r="D404" t="str">
        <v>Space Vehicles</v>
      </c>
      <c r="E404" t="str">
        <v>Space / Sci-Fi</v>
      </c>
      <c r="F404" t="str">
        <v>UFOX05  blue and red disc saucer</v>
      </c>
      <c r="G404" t="str">
        <v>Battery</v>
      </c>
      <c r="H404" t="str">
        <v>Mystery action, flashing lights, beep-beep sound, antenna rotates</v>
      </c>
      <c r="I404" t="str">
        <v>Tin &amp; plastic</v>
      </c>
      <c r="J404" t="str">
        <v>18x18x13</v>
      </c>
      <c r="K404" t="str">
        <v>Modern Toys</v>
      </c>
      <c r="L404" t="str">
        <v>Excellent</v>
      </c>
      <c r="M404">
        <v>1978</v>
      </c>
      <c r="N404">
        <v>1985</v>
      </c>
      <c r="O404" t="str">
        <v>Very Good</v>
      </c>
      <c r="S404" t="str">
        <v>180-250 (2024) w/ box</v>
      </c>
      <c r="T404" t="str">
        <v>35 (197) 78 (202) 132 (133)</v>
      </c>
      <c r="U404" t="str">
        <v>scarcity: 1-3/10</v>
      </c>
      <c r="W404" t="str">
        <v>PD300543</v>
      </c>
      <c r="X404" t="str">
        <v>PD300544</v>
      </c>
    </row>
    <row r="405">
      <c r="A405">
        <v>404</v>
      </c>
      <c r="B405" t="str">
        <v>X-7 Space Explorer Ship</v>
      </c>
      <c r="C405">
        <v>1994</v>
      </c>
      <c r="D405" t="str">
        <v>Space Vehicles</v>
      </c>
      <c r="E405" t="str">
        <v>Space / Sci-Fi</v>
      </c>
      <c r="F405" t="str">
        <v xml:space="preserve">Blue X-7 Flying Saucer </v>
      </c>
      <c r="G405" t="str">
        <v>Battery</v>
      </c>
      <c r="H405" t="str">
        <v>Mystery action, flashing lights, beep-beep sound</v>
      </c>
      <c r="I405" t="str">
        <v>Tin &amp; plastic</v>
      </c>
      <c r="J405" t="str">
        <v>20x20x12</v>
      </c>
      <c r="K405" t="str">
        <v>Modern Toys</v>
      </c>
      <c r="L405" t="str">
        <v>Good</v>
      </c>
      <c r="M405">
        <v>1960</v>
      </c>
      <c r="N405">
        <v>1970</v>
      </c>
      <c r="S405" t="str">
        <v>200-300 (2024)</v>
      </c>
      <c r="T405" t="str">
        <v>78 (200)</v>
      </c>
      <c r="U405" t="str">
        <v>scarcity: 4/10; pat: 51762, 146220</v>
      </c>
      <c r="W405" t="str">
        <v>PD300549</v>
      </c>
      <c r="X405" t="str">
        <v>PD300550</v>
      </c>
    </row>
    <row r="406">
      <c r="A406">
        <v>405</v>
      </c>
      <c r="B406" t="str">
        <v xml:space="preserve"> Space Explorer Ship X-7</v>
      </c>
      <c r="C406">
        <v>4316</v>
      </c>
      <c r="D406" t="str">
        <v>Space Vehicles</v>
      </c>
      <c r="E406" t="str">
        <v>Space / Sci-Fi</v>
      </c>
      <c r="F406" t="str">
        <v>Green X-7 Space Ship</v>
      </c>
      <c r="G406" t="str">
        <v>Battery</v>
      </c>
      <c r="H406" t="str">
        <v>Mystery action, flashing lights, beep-beep sound</v>
      </c>
      <c r="I406" t="str">
        <v>Tin &amp; plastic</v>
      </c>
      <c r="J406" t="str">
        <v>21x21x13</v>
      </c>
      <c r="K406" t="str">
        <v>Modern Toys</v>
      </c>
      <c r="L406" t="str">
        <v>Very Good</v>
      </c>
      <c r="M406">
        <v>1975</v>
      </c>
      <c r="N406">
        <v>1985</v>
      </c>
      <c r="S406" t="str">
        <v>150 (2024) w/ box</v>
      </c>
      <c r="T406" t="str">
        <v>78 (201)</v>
      </c>
      <c r="U406" t="str">
        <v>scarcity: 3/10</v>
      </c>
      <c r="W406" t="str">
        <v>PD300546</v>
      </c>
      <c r="X406" t="str">
        <v>PD300547</v>
      </c>
    </row>
    <row r="407">
      <c r="A407">
        <v>406</v>
      </c>
      <c r="B407" t="str">
        <v>NASA Space Explorer</v>
      </c>
      <c r="D407" t="str">
        <v>Space Vehicles</v>
      </c>
      <c r="E407" t="str">
        <v>Space / Sci-Fi</v>
      </c>
      <c r="F407" t="str">
        <v>Red, pink &amp; yellow disc saucer</v>
      </c>
      <c r="G407" t="str">
        <v>Battery</v>
      </c>
      <c r="H407" t="str">
        <v>Mystery action, lights</v>
      </c>
      <c r="I407" t="str">
        <v>Plastic</v>
      </c>
      <c r="J407" t="str">
        <v>15x15x9</v>
      </c>
      <c r="L407" t="str">
        <v>Excellent</v>
      </c>
      <c r="M407">
        <v>1975</v>
      </c>
      <c r="N407">
        <v>1980</v>
      </c>
      <c r="O407" t="str">
        <v>Excellent w/ instruction</v>
      </c>
      <c r="S407" t="str">
        <v>50-130 (2024) w/ box</v>
      </c>
      <c r="U407" t="str">
        <v>toy is marked with a T inside a circle, made in Hong Kong, no. 365; box for the German market, art. No. 2002 , with GB in a red circle surrounded by Brohm SpielWaren; this is a German toy manufacturer founded in the late 1950s in Vielbrunn, Odenwald, by Georg Brohm.</v>
      </c>
      <c r="V407" t="str">
        <v>made in Hong Kong</v>
      </c>
      <c r="W407" t="str">
        <v>PD300554</v>
      </c>
    </row>
    <row r="408">
      <c r="A408">
        <v>407</v>
      </c>
      <c r="B408" t="str">
        <v>Space Ship X-II</v>
      </c>
      <c r="C408" t="str">
        <v>MS 635</v>
      </c>
      <c r="D408" t="str">
        <v>Space Vehicles</v>
      </c>
      <c r="E408" t="str">
        <v>Space / Sci-Fi</v>
      </c>
      <c r="F408" t="str">
        <v>Satellite X-II</v>
      </c>
      <c r="G408" t="str">
        <v>Clockwork</v>
      </c>
      <c r="H408" t="str">
        <v>Mystery action, astronaut circles ship</v>
      </c>
      <c r="I408" t="str">
        <v>Tin &amp; plastic</v>
      </c>
      <c r="J408" t="str">
        <v>15x13x12</v>
      </c>
      <c r="K408" t="str">
        <v>HA HA Toy</v>
      </c>
      <c r="L408" t="str">
        <v>Excellent</v>
      </c>
      <c r="M408">
        <v>2000</v>
      </c>
      <c r="N408">
        <v>2020</v>
      </c>
      <c r="O408" t="str">
        <v>Excellent</v>
      </c>
      <c r="S408" t="str">
        <v>40-50 (2024) w/ box</v>
      </c>
      <c r="U408" t="str">
        <v>scarcity: 4/5</v>
      </c>
      <c r="W408" t="str">
        <v>PD300556</v>
      </c>
      <c r="X408" t="str">
        <v>PD300559</v>
      </c>
    </row>
    <row r="409">
      <c r="A409">
        <v>408</v>
      </c>
      <c r="B409" t="str">
        <v>Universe Reconaissance Boat</v>
      </c>
      <c r="C409" t="str">
        <v>ME 769</v>
      </c>
      <c r="D409" t="str">
        <v>Space Vehicles</v>
      </c>
      <c r="E409" t="str">
        <v>Space / Sci-Fi</v>
      </c>
      <c r="F409" t="str">
        <v>Space ship w/ astronaut looking at periscope</v>
      </c>
      <c r="G409" t="str">
        <v>Battery</v>
      </c>
      <c r="H409" t="str">
        <v>Mystery action, astronaut moves around periscope w/ light, engine lights</v>
      </c>
      <c r="I409" t="str">
        <v>Plastic</v>
      </c>
      <c r="J409" t="str">
        <v>30x19x14</v>
      </c>
      <c r="L409" t="str">
        <v>Excellent</v>
      </c>
      <c r="M409">
        <v>1980</v>
      </c>
      <c r="N409">
        <v>1990</v>
      </c>
      <c r="O409" t="str">
        <v>Excellent</v>
      </c>
      <c r="S409" t="str">
        <v>80-170 (2024)  w/ box</v>
      </c>
      <c r="U409" t="str">
        <v>scarcity: 4/5</v>
      </c>
      <c r="V409" t="str">
        <v>made in China</v>
      </c>
      <c r="W409" t="str">
        <v>PD300578</v>
      </c>
      <c r="X409" t="str">
        <v>PD300579</v>
      </c>
    </row>
    <row r="410">
      <c r="A410">
        <v>409</v>
      </c>
      <c r="B410" t="str">
        <v>Space Police Flying Saucer</v>
      </c>
      <c r="D410" t="str">
        <v>Space Vehicles</v>
      </c>
      <c r="E410" t="str">
        <v>Space / Sci-Fi</v>
      </c>
      <c r="F410" t="str">
        <v>White &amp; blue Police space ship</v>
      </c>
      <c r="G410" t="str">
        <v>Battery</v>
      </c>
      <c r="H410" t="str">
        <v>Mystery action, engine lights, other lights</v>
      </c>
      <c r="I410" t="str">
        <v>Plastic</v>
      </c>
      <c r="J410" t="str">
        <v>19x19x21</v>
      </c>
      <c r="K410" t="str">
        <v>Kuang Mei Toys</v>
      </c>
      <c r="L410" t="str">
        <v>Excellent</v>
      </c>
      <c r="M410">
        <v>1985</v>
      </c>
      <c r="N410">
        <v>1990</v>
      </c>
      <c r="O410" t="str">
        <v>Excellent</v>
      </c>
      <c r="S410" t="str">
        <v>80-100 (2024) w/ box</v>
      </c>
      <c r="U410" t="str">
        <v>R.O.C. Pat. 7499; box has two versions (differences in font used for toy name)</v>
      </c>
      <c r="W410" t="str">
        <v>PD300591</v>
      </c>
    </row>
    <row r="411">
      <c r="A411">
        <v>410</v>
      </c>
      <c r="B411" t="str">
        <v>Interstellar Patrol FX-09</v>
      </c>
      <c r="D411" t="str">
        <v>Space Vehicles</v>
      </c>
      <c r="E411" t="str">
        <v>Space / Sci-Fi</v>
      </c>
      <c r="F411" t="str">
        <v>White  Interstellar Patrol</v>
      </c>
      <c r="G411" t="str">
        <v>Battery</v>
      </c>
      <c r="H411" t="str">
        <v>When the vehicle moves, rear engines flash; when it stops, nose lights flash, cockpit opens, astronaut moves forwrd</v>
      </c>
      <c r="I411" t="str">
        <v>Plastic</v>
      </c>
      <c r="J411" t="str">
        <v>39x24x10</v>
      </c>
      <c r="K411" t="str">
        <v>Hong Da</v>
      </c>
      <c r="L411" t="str">
        <v>Very Good</v>
      </c>
      <c r="M411">
        <v>1980</v>
      </c>
      <c r="N411">
        <v>1985</v>
      </c>
      <c r="O411" t="str">
        <v>Very Good</v>
      </c>
      <c r="P411">
        <v>0</v>
      </c>
      <c r="R411" t="str">
        <v>Loja do Augusto, Sesimbra, offered by Dad</v>
      </c>
      <c r="S411" t="str">
        <v>270-300 (2024) w/ box</v>
      </c>
      <c r="U411" t="str">
        <v>"Buck Rogers in the 25th Century" is an American science fiction adventure television series produced by Universal Studios. The series ran for two seasons between September 1979 and April 1981 on NBC. This 'Star Fighter is a medium starfighter used by the Earth Defense Directorate to protect Earth and all starships in service in with the Earth government.</v>
      </c>
      <c r="V411" t="str">
        <v>two small wings missing</v>
      </c>
      <c r="W411" t="str">
        <v>PD300586</v>
      </c>
      <c r="X411" t="str">
        <v>PD300587</v>
      </c>
    </row>
    <row r="412">
      <c r="A412">
        <v>411</v>
      </c>
      <c r="B412" t="str">
        <v>Space Rocket</v>
      </c>
      <c r="C412" t="str">
        <v>F007</v>
      </c>
      <c r="D412" t="str">
        <v>Space Vehicles</v>
      </c>
      <c r="E412" t="str">
        <v>Space / Sci-Fi</v>
      </c>
      <c r="F412" t="str">
        <v>Red, blue &amp; yellow rocket w/ transparent red nose</v>
      </c>
      <c r="G412" t="str">
        <v>Friction</v>
      </c>
      <c r="H412" t="str">
        <v xml:space="preserve">Moves w/ sparkling </v>
      </c>
      <c r="I412" t="str">
        <v>Tin &amp; plastic</v>
      </c>
      <c r="J412" t="str">
        <v>25x8.5x8</v>
      </c>
      <c r="K412" t="str">
        <v>Tin Treasures</v>
      </c>
      <c r="L412" t="str">
        <v>Excellent</v>
      </c>
      <c r="M412">
        <v>2010</v>
      </c>
      <c r="N412">
        <v>2020</v>
      </c>
      <c r="O412" t="str">
        <v>Excellent</v>
      </c>
      <c r="U412" t="str">
        <v>a variant w/ different litography and blue transparent nose is the "Oriental Air Rocket"</v>
      </c>
      <c r="W412" t="str">
        <v>PD300570</v>
      </c>
    </row>
    <row r="413">
      <c r="A413">
        <v>412</v>
      </c>
      <c r="B413" t="str">
        <v>Space Rangers 88 with Lazer Gun</v>
      </c>
      <c r="D413" t="str">
        <v>Space Vehicles</v>
      </c>
      <c r="E413" t="str">
        <v>Space / Sci-Fi</v>
      </c>
      <c r="F413" t="str">
        <v>White plastic vehicle, opens transparent orange doors to reveal guns</v>
      </c>
      <c r="G413" t="str">
        <v>Battery</v>
      </c>
      <c r="H413" t="str">
        <v>Mystery action; when it stops opens rear doors, lasers raise and lights flash, then they recoil and doors close</v>
      </c>
      <c r="I413" t="str">
        <v xml:space="preserve">Plastic &amp; tin </v>
      </c>
      <c r="J413" t="str">
        <v>21x13x12</v>
      </c>
      <c r="K413" t="str">
        <v>Yonezawa</v>
      </c>
      <c r="L413" t="str">
        <v>Good</v>
      </c>
      <c r="M413">
        <v>1988</v>
      </c>
      <c r="N413">
        <v>1990</v>
      </c>
      <c r="T413" t="str">
        <v>43 (161)</v>
      </c>
      <c r="U413" t="str">
        <v>A similar toy but w/ different litography "Comandos Del Espacio 76" was made by EGE (Spain) in the 70's,, desirability: 4/6</v>
      </c>
      <c r="V413" t="str">
        <v>the rubber tracks broke in many pieces</v>
      </c>
      <c r="W413" t="str">
        <v>PD300561</v>
      </c>
      <c r="X413" t="str">
        <v>PD300564</v>
      </c>
    </row>
    <row r="414">
      <c r="A414">
        <v>413</v>
      </c>
      <c r="B414" t="str">
        <v>Holdauto</v>
      </c>
      <c r="D414" t="str">
        <v>Space Vehicles</v>
      </c>
      <c r="E414" t="str">
        <v>Space / Sci-Fi</v>
      </c>
      <c r="F414" t="str">
        <v>Blue space car that levitates a ball</v>
      </c>
      <c r="G414" t="str">
        <v>Battery</v>
      </c>
      <c r="H414" t="str">
        <v>Mystery action, a ball levitates,  antenna rotates, light</v>
      </c>
      <c r="I414" t="str">
        <v>Tin &amp; plastic</v>
      </c>
      <c r="J414" t="str">
        <v>33x12x12</v>
      </c>
      <c r="K414" t="str">
        <v>Lemezaru Gyar</v>
      </c>
      <c r="L414" t="str">
        <v>Good</v>
      </c>
      <c r="M414">
        <v>1980</v>
      </c>
      <c r="N414">
        <v>1990</v>
      </c>
      <c r="R414" t="str">
        <v>Budapest</v>
      </c>
      <c r="S414" t="str">
        <v>60-100 (2024)</v>
      </c>
      <c r="T414" t="str">
        <v>89 (94)</v>
      </c>
      <c r="V414" t="str">
        <v>small ring to hold the ball and V-shaped antenna are missing</v>
      </c>
      <c r="W414" t="str">
        <v>PD300585</v>
      </c>
      <c r="X414" t="str">
        <v>PD300593</v>
      </c>
    </row>
    <row r="415">
      <c r="A415">
        <v>414</v>
      </c>
      <c r="B415" t="str">
        <v>Magic Color Moon Express</v>
      </c>
      <c r="D415" t="str">
        <v>Space Vehicles</v>
      </c>
      <c r="E415" t="str">
        <v>Space / Sci-Fi</v>
      </c>
      <c r="F415" t="str">
        <v>Space train Moon Express</v>
      </c>
      <c r="G415" t="str">
        <v>Battery</v>
      </c>
      <c r="H415" t="str">
        <v>Mystery action, sound, alternating red and green lights appearing at the front, turbines in front and rear rotate</v>
      </c>
      <c r="I415" t="str">
        <v>Tin &amp; plastic</v>
      </c>
      <c r="J415" t="str">
        <v>35x10x11</v>
      </c>
      <c r="L415" t="str">
        <v>Very Good</v>
      </c>
      <c r="M415">
        <v>1970</v>
      </c>
      <c r="N415">
        <v>1975</v>
      </c>
      <c r="O415" t="str">
        <v>Very Good</v>
      </c>
      <c r="T415" t="str">
        <v>35 (120) 51 (141) 132 (145)</v>
      </c>
      <c r="U415" t="str">
        <v>this is a copy made in Taiwan of the toy made by TPS; there are also copies made in Hong Kong; scarcity (TPS): 3/10</v>
      </c>
      <c r="V415" t="str">
        <v>made in Taiwan</v>
      </c>
      <c r="W415" t="str">
        <v>PD090438</v>
      </c>
      <c r="X415" t="str">
        <v>PD090440</v>
      </c>
    </row>
    <row r="416">
      <c r="A416">
        <v>415</v>
      </c>
      <c r="B416" t="str">
        <v>Future Dream Car</v>
      </c>
      <c r="D416" t="str">
        <v>Cars</v>
      </c>
      <c r="E416" t="str">
        <v>Space / Sci-Fi</v>
      </c>
      <c r="F416" t="str">
        <v>Red futuristic car w/ transparent cockpit and driver</v>
      </c>
      <c r="G416" t="str">
        <v>Friction</v>
      </c>
      <c r="H416" t="str">
        <v>Moves forward</v>
      </c>
      <c r="I416" t="str">
        <v xml:space="preserve">Plastic &amp; tin </v>
      </c>
      <c r="J416" t="str">
        <v>23x11x7</v>
      </c>
      <c r="K416" t="str">
        <v>Wimmer, Heinrich</v>
      </c>
      <c r="L416" t="str">
        <v>Very Good</v>
      </c>
      <c r="M416">
        <v>1955</v>
      </c>
      <c r="N416">
        <v>1959</v>
      </c>
      <c r="S416" t="str">
        <v>&gt;100</v>
      </c>
      <c r="T416" t="str">
        <v>132 (53)</v>
      </c>
      <c r="U416" t="str">
        <v>There is a blue variant; a very similar car was made by Mattel (1953)</v>
      </c>
      <c r="V416" t="str">
        <v>made in US Zone Germany</v>
      </c>
      <c r="W416" t="str">
        <v>PD090451</v>
      </c>
      <c r="X416" t="str">
        <v>PD090452</v>
      </c>
      <c r="Y416" t="str">
        <v>PD090453</v>
      </c>
    </row>
    <row r="417">
      <c r="A417">
        <v>416</v>
      </c>
      <c r="B417" t="str">
        <v>Nave Colombia</v>
      </c>
      <c r="C417">
        <v>102</v>
      </c>
      <c r="D417" t="str">
        <v>Space Vehicles</v>
      </c>
      <c r="E417" t="str">
        <v>Space / Sci-Fi</v>
      </c>
      <c r="F417" t="str">
        <v>Large Colombia shuttle w/ astronaut floating</v>
      </c>
      <c r="G417" t="str">
        <v>Battery</v>
      </c>
      <c r="H417" t="str">
        <v>Mystery action, sound, flashing lights, opens door, astronaut appears and retracts, closes door</v>
      </c>
      <c r="I417" t="str">
        <v>Tin &amp; plastic</v>
      </c>
      <c r="J417" t="str">
        <v>36x26x24</v>
      </c>
      <c r="K417" t="str">
        <v>EGE</v>
      </c>
      <c r="L417" t="str">
        <v>Excellent</v>
      </c>
      <c r="M417">
        <v>1981</v>
      </c>
      <c r="N417">
        <v>1985</v>
      </c>
      <c r="O417" t="str">
        <v>Very Good</v>
      </c>
      <c r="P417">
        <v>196</v>
      </c>
      <c r="Q417" t="str">
        <v>Sept2023</v>
      </c>
      <c r="R417">
        <v>196</v>
      </c>
      <c r="S417" t="str">
        <v>250 (2024) w/ box</v>
      </c>
      <c r="T417" t="str">
        <v>132 (165)</v>
      </c>
      <c r="U417" t="str">
        <v>On April 12, 1981, John Young and Robert Crippen launched the space shuttle program by piloting Columbia to space and returning successfully two days later.</v>
      </c>
      <c r="W417" t="str">
        <v>PD090441</v>
      </c>
      <c r="X417" t="str">
        <v>PD090446</v>
      </c>
      <c r="Y417" t="str">
        <v>PD090448</v>
      </c>
    </row>
    <row r="418">
      <c r="A418">
        <v>417</v>
      </c>
      <c r="B418" t="str">
        <v>Electro-Astronautic Satellite Interceptor</v>
      </c>
      <c r="C418">
        <v>3000</v>
      </c>
      <c r="D418" t="str">
        <v>Others</v>
      </c>
      <c r="E418" t="str">
        <v>Space / Sci-Fi</v>
      </c>
      <c r="F418" t="str">
        <v>Toy composed of a missile launcher and a ball blower</v>
      </c>
      <c r="G418" t="str">
        <v>Battery</v>
      </c>
      <c r="H418" t="str">
        <v>"Satellite" levitates, missile launcher can be adjusted in angle and horizontally, missile is launched pneumatically</v>
      </c>
      <c r="I418" t="str">
        <v>Plastic</v>
      </c>
      <c r="J418" t="str">
        <v>37x16x29</v>
      </c>
      <c r="K418" t="str">
        <v>GAMA</v>
      </c>
      <c r="L418" t="str">
        <v>Excellent</v>
      </c>
      <c r="M418">
        <v>1965</v>
      </c>
      <c r="N418">
        <v>1969</v>
      </c>
      <c r="O418" t="str">
        <v>Excellent w/ instructions</v>
      </c>
      <c r="W418" t="str">
        <v>PD090449</v>
      </c>
    </row>
    <row r="419">
      <c r="A419">
        <v>418</v>
      </c>
      <c r="B419" t="str">
        <v>Wall-E robot</v>
      </c>
      <c r="D419" t="str">
        <v>Robots</v>
      </c>
      <c r="E419" t="str">
        <v>Space / Sci-Fi</v>
      </c>
      <c r="F419" t="str">
        <v>Wall-E robot</v>
      </c>
      <c r="G419" t="str">
        <v>Battery</v>
      </c>
      <c r="H419" t="str">
        <v>try-me button: lights eyes, moves arms and head, sounds from the movie; when on, it becomes interactive, i.e., it responds to words like IVA and Wally</v>
      </c>
      <c r="I419" t="str">
        <v>Plastic</v>
      </c>
      <c r="J419" t="str">
        <v>14x17x18</v>
      </c>
      <c r="L419" t="str">
        <v>Very Good</v>
      </c>
      <c r="M419">
        <v>2008</v>
      </c>
      <c r="N419">
        <v>2010</v>
      </c>
      <c r="S419" t="str">
        <v>60-100 (2024)</v>
      </c>
      <c r="U419" t="str">
        <v>WALL-E is a 2008 American animated romantic science fiction film produced by Pixar Animation Studios for Walt Disney Pictures; toy is marked" I'm a thinking Toy", copyright Disney/Pixar Thinkway Toys</v>
      </c>
      <c r="W419" t="str">
        <v>PD090454</v>
      </c>
      <c r="X419" t="str">
        <v>PD090455</v>
      </c>
    </row>
    <row r="420">
      <c r="A420">
        <v>419</v>
      </c>
      <c r="B420" t="str">
        <v>Dingbot</v>
      </c>
      <c r="C420" t="str">
        <v>S400</v>
      </c>
      <c r="D420" t="str">
        <v>Robots</v>
      </c>
      <c r="E420" t="str">
        <v>Space / Sci-Fi</v>
      </c>
      <c r="F420" t="str">
        <v>Small blue robot</v>
      </c>
      <c r="G420" t="str">
        <v>Battery</v>
      </c>
      <c r="H420" t="str">
        <v>Mystery action, beeps and whirls, lights eyes</v>
      </c>
      <c r="I420" t="str">
        <v>Plastic</v>
      </c>
      <c r="J420" t="str">
        <v>9x10x10.5</v>
      </c>
      <c r="K420" t="str">
        <v>Tomiyama</v>
      </c>
      <c r="L420" t="str">
        <v>Excellent</v>
      </c>
      <c r="M420">
        <v>1984</v>
      </c>
      <c r="N420">
        <v>2000</v>
      </c>
      <c r="O420" t="str">
        <v>Excellent w/ instructions</v>
      </c>
      <c r="P420">
        <v>12</v>
      </c>
      <c r="S420" t="str">
        <v>160 (2024) w/ box</v>
      </c>
      <c r="U420" t="str">
        <v>This is the rarer blue version; there is also a white variant</v>
      </c>
      <c r="V420" t="str">
        <v>made in China</v>
      </c>
      <c r="W420" t="str">
        <v>PD300596</v>
      </c>
    </row>
    <row r="421">
      <c r="A421">
        <v>420</v>
      </c>
      <c r="B421" t="str">
        <v>Mini Sonicon Rocket</v>
      </c>
      <c r="C421" t="str">
        <v>004-5771</v>
      </c>
      <c r="D421" t="str">
        <v>Space Vehicles</v>
      </c>
      <c r="E421" t="str">
        <v>Space / Sci-Fi</v>
      </c>
      <c r="F421" t="str">
        <v>Mini Sonicon</v>
      </c>
      <c r="G421" t="str">
        <v>Clockwork</v>
      </c>
      <c r="H421" t="str">
        <v>Pull-back action</v>
      </c>
      <c r="I421" t="str">
        <v>Tin &amp; plastic</v>
      </c>
      <c r="J421" t="str">
        <v>13x6x5</v>
      </c>
      <c r="K421" t="str">
        <v>Modern Toys</v>
      </c>
      <c r="L421" t="str">
        <v>Excellent</v>
      </c>
      <c r="M421">
        <v>1997</v>
      </c>
      <c r="N421">
        <v>2005</v>
      </c>
      <c r="O421" t="str">
        <v>Excellent w/ catalogue</v>
      </c>
      <c r="S421" t="str">
        <v>80-100 (2024) w/ box</v>
      </c>
      <c r="T421" t="str">
        <v>78 (193)</v>
      </c>
      <c r="U421" t="str">
        <v>Miniature of the "Sonicom Rocket" from 1957; collection of miniatures  linked to the Tin Toy Museum</v>
      </c>
      <c r="W421" t="str">
        <v>PD300572</v>
      </c>
      <c r="X421" t="str">
        <v>PD300573</v>
      </c>
    </row>
    <row r="422">
      <c r="A422">
        <v>421</v>
      </c>
      <c r="B422" t="str">
        <v>Piston Robot</v>
      </c>
      <c r="D422" t="str">
        <v>Robots</v>
      </c>
      <c r="E422" t="str">
        <v>Space / Sci-Fi</v>
      </c>
      <c r="F422" t="str">
        <v>Mostly plastic robot w/ transparent body showing pistons</v>
      </c>
      <c r="G422" t="str">
        <v>Battery</v>
      </c>
      <c r="H422" t="str">
        <v>Walks forward, pistons move</v>
      </c>
      <c r="I422" t="str">
        <v>Tin &amp; plastic</v>
      </c>
      <c r="J422" t="str">
        <v>9x15x26</v>
      </c>
      <c r="K422" t="str">
        <v>Horikawa</v>
      </c>
      <c r="L422" t="str">
        <v>Excellent</v>
      </c>
      <c r="M422">
        <v>1972</v>
      </c>
      <c r="N422">
        <v>1979</v>
      </c>
      <c r="O422" t="str">
        <v>Very good to excellent</v>
      </c>
      <c r="P422">
        <v>137</v>
      </c>
      <c r="Q422" t="str">
        <v>May2025</v>
      </c>
      <c r="R422" t="str">
        <v>MINT Toy Museum, Singapore</v>
      </c>
      <c r="S422" t="str">
        <v>240-350 (2025) w/ box</v>
      </c>
      <c r="T422" t="str">
        <v>35 (136) 108 (64) 132 (166)</v>
      </c>
      <c r="U422" t="str">
        <v>scarcity: 5/10</v>
      </c>
      <c r="W422" t="str">
        <v>P2070001</v>
      </c>
      <c r="X422" t="str">
        <v>P2070002</v>
      </c>
    </row>
    <row r="423">
      <c r="A423">
        <v>422</v>
      </c>
      <c r="B423" t="str">
        <v>Robot-7</v>
      </c>
      <c r="C423" t="str">
        <v>HS-2012</v>
      </c>
      <c r="D423" t="str">
        <v>Robots</v>
      </c>
      <c r="E423" t="str">
        <v>Space / Sci-Fi</v>
      </c>
      <c r="F423" t="str">
        <v>Small silver robot-7</v>
      </c>
      <c r="G423" t="str">
        <v>Clockwork</v>
      </c>
      <c r="H423" t="str">
        <v>Moves forward</v>
      </c>
      <c r="I423" t="str">
        <v>Tin</v>
      </c>
      <c r="J423" t="str">
        <v>5x7x10</v>
      </c>
      <c r="L423" t="str">
        <v>Excellent</v>
      </c>
      <c r="M423">
        <v>1995</v>
      </c>
      <c r="N423">
        <v>2020</v>
      </c>
      <c r="O423" t="str">
        <v>Excellent</v>
      </c>
      <c r="R423" t="str">
        <v>Pollock's London</v>
      </c>
      <c r="S423" t="str">
        <v>20-30 (2024) w/ box</v>
      </c>
      <c r="T423" t="str">
        <v>70 (147) 132 (135)</v>
      </c>
      <c r="U423" t="str">
        <v>replica of the Robot-7 made by Noguchi in the late 60s</v>
      </c>
      <c r="V423" t="str">
        <v>made in Taiwan</v>
      </c>
      <c r="W423" t="str">
        <v>PD300577</v>
      </c>
    </row>
    <row r="424">
      <c r="A424">
        <v>423</v>
      </c>
      <c r="B424" t="str">
        <v>Space Shuttle Columbia</v>
      </c>
      <c r="C424">
        <v>4852</v>
      </c>
      <c r="D424" t="str">
        <v>Space Vehicles</v>
      </c>
      <c r="E424" t="str">
        <v>Space / Sci-Fi</v>
      </c>
      <c r="F424" t="str">
        <v>Space shuttle Enterprise</v>
      </c>
      <c r="G424" t="str">
        <v>Battery</v>
      </c>
      <c r="H424" t="str">
        <v>Non-fall, dual lights, on top, space sound</v>
      </c>
      <c r="I424" t="str">
        <v>tin &amp; plastic</v>
      </c>
      <c r="J424" t="str">
        <v>25x22x13</v>
      </c>
      <c r="K424" t="str">
        <v>Modern Toys</v>
      </c>
      <c r="L424" t="str">
        <v>Excellent</v>
      </c>
      <c r="M424">
        <v>1981</v>
      </c>
      <c r="N424">
        <v>1985</v>
      </c>
      <c r="O424" t="str">
        <v>Excellent</v>
      </c>
      <c r="P424">
        <v>100</v>
      </c>
      <c r="Q424" t="str">
        <v>May2025</v>
      </c>
      <c r="R424" t="str">
        <v>MINT Toy Museum, Singapore</v>
      </c>
      <c r="T424" t="str">
        <v>35 (172) 78 (203) 132 (168)</v>
      </c>
      <c r="U424" t="str">
        <v>scarcity: 3/10</v>
      </c>
      <c r="W424" t="str">
        <v>PD070003</v>
      </c>
    </row>
    <row r="425">
      <c r="A425">
        <v>424</v>
      </c>
      <c r="B425" t="str">
        <v>X-27 Explorer</v>
      </c>
      <c r="C425" t="str">
        <v>MS 398</v>
      </c>
      <c r="D425" t="str">
        <v>Robots</v>
      </c>
      <c r="E425" t="str">
        <v>Space / Sci-Fi</v>
      </c>
      <c r="F425" t="str">
        <v>Blue "robot" w/ human face</v>
      </c>
      <c r="G425" t="str">
        <v>Clockwork</v>
      </c>
      <c r="H425" t="str">
        <v>Walks</v>
      </c>
      <c r="I425" t="str">
        <v>Tin</v>
      </c>
      <c r="J425" t="str">
        <v>6x13x26</v>
      </c>
      <c r="S425" t="str">
        <v>60-70 (2024) w/ box</v>
      </c>
      <c r="T425" t="str">
        <v>3 (153) 43 (109) 132 (82)</v>
      </c>
      <c r="U425" t="str">
        <v>replica of the toy made by Yonezawa in the late 1950s</v>
      </c>
      <c r="V425" t="str">
        <v>made in China</v>
      </c>
      <c r="W425" t="str">
        <v>PD300605</v>
      </c>
    </row>
    <row r="426">
      <c r="A426">
        <v>425</v>
      </c>
      <c r="B426" t="str">
        <v>TV. Robot</v>
      </c>
      <c r="D426" t="str">
        <v>Robots</v>
      </c>
      <c r="E426" t="str">
        <v>Space / Sci-Fi</v>
      </c>
      <c r="F426" t="str">
        <v>Black plastic robot w/ TV</v>
      </c>
      <c r="G426" t="str">
        <v>Battery</v>
      </c>
      <c r="H426" t="str">
        <v>Lights eyes, TV scene, legs walk</v>
      </c>
      <c r="I426" t="str">
        <v>Plastic</v>
      </c>
      <c r="J426" t="str">
        <v>11x16x28</v>
      </c>
      <c r="K426" t="str">
        <v>HC Toys</v>
      </c>
      <c r="L426" t="str">
        <v>Good</v>
      </c>
      <c r="M426">
        <v>1975</v>
      </c>
      <c r="N426">
        <v>1980</v>
      </c>
      <c r="S426" t="str">
        <v>150 (2024) w/ box</v>
      </c>
      <c r="U426" t="str">
        <v>distributed by Leader Toy Corporation (in the USA?); stickers are original</v>
      </c>
      <c r="W426" t="str">
        <v>PD300599</v>
      </c>
      <c r="X426" t="str">
        <v>PD300600</v>
      </c>
    </row>
    <row r="427">
      <c r="A427">
        <v>426</v>
      </c>
      <c r="B427" t="str">
        <v>Le Derby</v>
      </c>
      <c r="C427">
        <v>2220</v>
      </c>
      <c r="D427" t="str">
        <v>Games</v>
      </c>
      <c r="E427" t="str">
        <v>Games</v>
      </c>
      <c r="F427" t="str">
        <v>Horse race in a blue box</v>
      </c>
      <c r="G427" t="str">
        <v>Friction</v>
      </c>
      <c r="H427" t="str">
        <v>Pulling a lever makes the horses move in a circle</v>
      </c>
      <c r="I427" t="str">
        <v>Tin, metal &amp; cardboard</v>
      </c>
      <c r="J427" t="str">
        <v>21x21x9</v>
      </c>
      <c r="K427" t="str">
        <v>Jouets de Paris</v>
      </c>
      <c r="L427" t="str">
        <v>Very Good</v>
      </c>
      <c r="O427" t="str">
        <v>Good</v>
      </c>
      <c r="P427">
        <v>128</v>
      </c>
      <c r="Q427" t="str">
        <v>May2025</v>
      </c>
      <c r="R427" t="str">
        <v>Catawiki</v>
      </c>
      <c r="S427" t="str">
        <v>100-200 (2024)</v>
      </c>
      <c r="U427" t="str">
        <v>there are several variants of this toy: 1) the game board inside the box can have different colours and curved lines, and the game can have a central cup while the horses pass under four arches. The "Jeu de Course" main rules were simple and focused on chance and betting.: Initial Bets: Before the race began, players placed their chips or money in a central container, often a metal bowl integrated into the board. Each player chose a horse to bet on. Activation of the Mechanism: The race was started by one of the players using the spring-loaded lever. This caused the metal horses to rotate on concentric circular tracks. Determining the Winner: The winner was not necessarily the horse that completed the most laps, but rather the one that stopped closest to the finish line (often marked by a post with a French flag).</v>
      </c>
      <c r="V427" t="str">
        <v>a french flag is missing</v>
      </c>
      <c r="W427" t="str">
        <v>P2080027</v>
      </c>
    </row>
    <row r="428">
      <c r="A428">
        <v>427</v>
      </c>
      <c r="B428" t="str">
        <v>SAMBO The Minstrel Man</v>
      </c>
      <c r="C428">
        <v>23722</v>
      </c>
      <c r="D428" t="str">
        <v>Animals</v>
      </c>
      <c r="E428" t="str">
        <v>Sports &amp; Leisure</v>
      </c>
      <c r="F428" t="str">
        <v>Celuloid monkey seated on a tree trunk playing guitar</v>
      </c>
      <c r="G428" t="str">
        <v>Clockwork</v>
      </c>
      <c r="H428" t="str">
        <v>Moves right arm and waves head laterally, while we hear a music box</v>
      </c>
      <c r="I428" t="str">
        <v>Celuloid, tin &amp; wood</v>
      </c>
      <c r="J428" t="str">
        <v>8x8x20</v>
      </c>
      <c r="K428" t="str">
        <v>Alps</v>
      </c>
      <c r="L428" t="str">
        <v>Excellent</v>
      </c>
      <c r="M428">
        <v>1945</v>
      </c>
      <c r="N428">
        <v>1954</v>
      </c>
      <c r="O428" t="str">
        <v>Excellent</v>
      </c>
      <c r="P428">
        <v>311</v>
      </c>
      <c r="Q428" t="str">
        <v>June2025</v>
      </c>
      <c r="R428" t="str">
        <v>Catawiki</v>
      </c>
      <c r="S428" t="str">
        <v>250-350 (2025) w/ box</v>
      </c>
      <c r="T428" t="str">
        <v>3 (365) 126 (47)</v>
      </c>
      <c r="U428" t="str">
        <v>face and hands can be cream or pink; we have the rarer pink version</v>
      </c>
      <c r="V428" t="str">
        <v>made in Occupied Japan</v>
      </c>
      <c r="W428" t="str">
        <v>P2070005</v>
      </c>
      <c r="X428" t="str">
        <v>P2070007</v>
      </c>
    </row>
    <row r="429">
      <c r="A429">
        <v>428</v>
      </c>
      <c r="B429" t="str">
        <v>Robot X-II Universe</v>
      </c>
      <c r="C429" t="str">
        <v>NY-7036</v>
      </c>
      <c r="D429" t="str">
        <v>Robots</v>
      </c>
      <c r="E429" t="str">
        <v>Space / Sci-Fi</v>
      </c>
      <c r="F429" t="str">
        <v>Plastic Robot X-II</v>
      </c>
      <c r="G429" t="str">
        <v>Battery</v>
      </c>
      <c r="H429" t="str">
        <v>Mystery action, moves arms and waves head, lights &amp; sound</v>
      </c>
      <c r="I429" t="str">
        <v>Plastic</v>
      </c>
      <c r="J429" t="str">
        <v>14x16x21</v>
      </c>
      <c r="L429" t="str">
        <v>Excellent</v>
      </c>
      <c r="M429">
        <v>2000</v>
      </c>
      <c r="N429">
        <v>2010</v>
      </c>
      <c r="O429" t="str">
        <v>Excellent</v>
      </c>
      <c r="U429" t="str">
        <v>manufacturer has logo "N w/ Clockwork key inside a circle"</v>
      </c>
      <c r="V429" t="str">
        <v>made in Taiwan</v>
      </c>
      <c r="W429" t="str">
        <v>PD300597</v>
      </c>
      <c r="X429" t="str">
        <v>PD300598</v>
      </c>
    </row>
    <row r="430">
      <c r="A430">
        <v>429</v>
      </c>
      <c r="B430" t="str">
        <v>High Jinks at the Circus Clown w/ his Performing Chimp</v>
      </c>
      <c r="C430">
        <v>50114</v>
      </c>
      <c r="D430" t="str">
        <v>People</v>
      </c>
      <c r="E430" t="str">
        <v>Circus &amp; Clowns</v>
      </c>
      <c r="F430" t="str">
        <v>Clown seated on a trunk holding a vertical extension on top of which a monkey plays cymbals</v>
      </c>
      <c r="G430" t="str">
        <v>Battery</v>
      </c>
      <c r="H430" t="str">
        <v xml:space="preserve">Oscillates right leg, so that when the extension at its maximum, the monkey plays cymbals (a rope is extended); moves arms, stretching or recoiling the extension; lights nose and blows whistle; the head is manually moveable </v>
      </c>
      <c r="I430" t="str">
        <v>Tin, cloth &amp; plush</v>
      </c>
      <c r="J430" t="str">
        <v>23x17x60</v>
      </c>
      <c r="K430" t="str">
        <v>Alps</v>
      </c>
      <c r="L430" t="str">
        <v>Very Good</v>
      </c>
      <c r="M430">
        <v>1955</v>
      </c>
      <c r="N430">
        <v>1959</v>
      </c>
      <c r="O430" t="str">
        <v>Good (small hole in front)</v>
      </c>
      <c r="P430">
        <v>372</v>
      </c>
      <c r="Q430" t="str">
        <v>June2025</v>
      </c>
      <c r="R430" t="str">
        <v>Catawiki</v>
      </c>
      <c r="S430" t="str">
        <v>200-250 (2024)?</v>
      </c>
      <c r="T430" t="str">
        <v>17 (68) 73 (42)</v>
      </c>
      <c r="U430" t="str">
        <v>Box has 3 trademarks: Alps, Rock Valley Toys &amp; Cragstan (no.50114); desirability 4/6</v>
      </c>
      <c r="V430" t="str">
        <v>Arms do not move (extension is not working) - a broken pin is in the box; this is very common!; the wires/rope were repaired)</v>
      </c>
      <c r="W430" t="str">
        <v>P2080015</v>
      </c>
      <c r="X430" t="str">
        <v>P2080018</v>
      </c>
    </row>
    <row r="431">
      <c r="A431">
        <v>430</v>
      </c>
      <c r="B431" t="str">
        <v>Sky-Rocket aka Mondrakete</v>
      </c>
      <c r="D431" t="str">
        <v>Space Vehicles</v>
      </c>
      <c r="E431" t="str">
        <v>Space / Sci-Fi</v>
      </c>
      <c r="F431" t="str">
        <v>Red spaceship w/ astronaut under "umbrella"</v>
      </c>
      <c r="G431" t="str">
        <v>Friction</v>
      </c>
      <c r="H431" t="str">
        <v>Pulling string, space ship moves on a suspended perforated sheet track</v>
      </c>
      <c r="I431" t="str">
        <v>Tin &amp; papier mache</v>
      </c>
      <c r="J431" t="str">
        <v>19x10x8</v>
      </c>
      <c r="K431" t="str">
        <v>Gunthermann</v>
      </c>
      <c r="L431" t="str">
        <v>Excellent</v>
      </c>
      <c r="M431">
        <v>1955</v>
      </c>
      <c r="N431">
        <v>1959</v>
      </c>
      <c r="R431" t="str">
        <v>Gonçalo Rueda</v>
      </c>
      <c r="S431" t="str">
        <v>700-900 (2025) w/ box</v>
      </c>
      <c r="T431" t="str">
        <v>43 (199) 46 (137)</v>
      </c>
      <c r="U431" t="str">
        <v>desirability: 6/6</v>
      </c>
      <c r="V431" t="str">
        <v>made in US Zone Germany</v>
      </c>
      <c r="W431" t="str">
        <v>PD310611</v>
      </c>
      <c r="X431" t="str">
        <v>PD310614</v>
      </c>
      <c r="Y431" t="str">
        <v>PD310622</v>
      </c>
    </row>
    <row r="432">
      <c r="A432">
        <v>431</v>
      </c>
      <c r="B432" t="str">
        <v>Anxious Bride Nanni</v>
      </c>
      <c r="C432">
        <v>470</v>
      </c>
      <c r="D432" t="str">
        <v>Carriages &amp; Cycles</v>
      </c>
      <c r="E432" t="str">
        <v>Travel &amp; Transport</v>
      </c>
      <c r="F432" t="str">
        <v>3 wheel cycle pulling a carriage with a lady</v>
      </c>
      <c r="G432" t="str">
        <v>Clockwork</v>
      </c>
      <c r="H432" t="str">
        <v>The cycle moves randomly while the lady waves her arms and stands</v>
      </c>
      <c r="I432" t="str">
        <v>Mostly tin</v>
      </c>
      <c r="J432" t="str">
        <v>22x8x10.5</v>
      </c>
      <c r="K432" t="str">
        <v>Lehmann</v>
      </c>
      <c r="L432" t="str">
        <v>Very Good</v>
      </c>
      <c r="M432">
        <v>1901</v>
      </c>
      <c r="N432">
        <v>1935</v>
      </c>
      <c r="P432">
        <v>1400</v>
      </c>
      <c r="Q432" t="str">
        <v>June2025</v>
      </c>
      <c r="R432" t="str">
        <v>Gonçalo Rueda</v>
      </c>
      <c r="S432" t="str">
        <v>1900-2500 (2025)</v>
      </c>
      <c r="T432" t="str">
        <v>59 (56), 101 (55), 108 (21) 121 (108)</v>
      </c>
      <c r="U432" t="str">
        <v>The original instructions state that the rider steers the wheel to and fro in order to startle his timid bride in the car and to keep her from getting out despite her lively waving and standing up. Nanni was the nickname of one of Lehmann 's sisters. We have the early model  (until 1913) in which the bride's hat has a brim. The paper handkerchief is original.The Tricycle was sold separately as EPL471 Mars (this is printed on the toy). Pat. DRP 125130 (1903) covers the movement of the bride. The box shows Pat. USA 12 May 1903, 22 Jan 1907 and the names of the toy in various languages, including russian. There is an unmarked french version of the toy with the original name "La Fiancée Inquiète"</v>
      </c>
      <c r="W432" t="str">
        <v>P2070009</v>
      </c>
      <c r="X432" t="str">
        <v>P2070011</v>
      </c>
    </row>
    <row r="433">
      <c r="A433">
        <v>432</v>
      </c>
      <c r="B433" t="str">
        <v>Mother Goose</v>
      </c>
      <c r="D433" t="str">
        <v>People</v>
      </c>
      <c r="E433" t="str">
        <v>Sports &amp; Leisure</v>
      </c>
      <c r="F433" t="str">
        <v>Goose w/ old lady and cat</v>
      </c>
      <c r="G433" t="str">
        <v>Clockwork</v>
      </c>
      <c r="H433" t="str">
        <v xml:space="preserve">Goose bobs down and up making it travel </v>
      </c>
      <c r="I433" t="str">
        <v>Tin</v>
      </c>
      <c r="J433" t="str">
        <v>23x9x18</v>
      </c>
      <c r="K433" t="str">
        <v>Marx</v>
      </c>
      <c r="L433" t="str">
        <v>Very Good</v>
      </c>
      <c r="M433">
        <v>1925</v>
      </c>
      <c r="N433">
        <v>1930</v>
      </c>
      <c r="S433" t="str">
        <v>600 (2024)</v>
      </c>
      <c r="T433" t="str">
        <v>50 (49)</v>
      </c>
      <c r="U433" t="str">
        <v>The original Mother Goose might have been an 8th century French noblewoman named Bertrada II of Laon. In 740 AD, she married Pepin the Short who became King of the Franks. Their son, Charles, was Charlemagne. Bertrada, was a loving woman and became known as a patroness of children. She believed that all children, no matter of their circumstances, should be educated. The children’s stories that she was known to tell were meant to teach them morals and other solid life lessons. Bertrada came to be called “Berte aux Grand Pieds,” Bertha Greatfoot or Queen Goosefoot. In the late 1600s, the book “Tales From the Past With Morals” published by Charles Purrault had 10 children’s stories and was illustrated with a drawing of an old woman with children gathered around her wide skirts. In 1760 a popular trio of books were published by John Newbery and one was “Mother Goose’s Melody”. The first American publication by the same name was in 1787 and was called “Mother Goose’s Melody or Sonnets for the Cradle”. Some of the most familiar tales appear in this book, including Jack and Jill.</v>
      </c>
      <c r="W433" t="str">
        <v>PD090458</v>
      </c>
      <c r="X433" t="str">
        <v>PD090459</v>
      </c>
    </row>
    <row r="434">
      <c r="A434">
        <v>433</v>
      </c>
      <c r="B434" t="str">
        <v>Le Joueur d'Orgue</v>
      </c>
      <c r="C434">
        <v>33</v>
      </c>
      <c r="D434" t="str">
        <v>People</v>
      </c>
      <c r="E434" t="str">
        <v>Musical /Optical</v>
      </c>
      <c r="F434" t="str">
        <v>Begger Organ grinder</v>
      </c>
      <c r="G434" t="str">
        <v>Clockwork</v>
      </c>
      <c r="H434" t="str">
        <v>Right hand turns the organ lever, left hand waves hat, head waves laterally</v>
      </c>
      <c r="I434" t="str">
        <v>Tin, cloth &amp; composition</v>
      </c>
      <c r="J434" t="str">
        <v>12x9x24</v>
      </c>
      <c r="K434" t="str">
        <v>S.I.J.I.M.</v>
      </c>
      <c r="L434" t="str">
        <v>Excellent</v>
      </c>
      <c r="M434">
        <v>1911</v>
      </c>
      <c r="N434">
        <v>1912</v>
      </c>
      <c r="P434">
        <v>1550</v>
      </c>
      <c r="Q434" t="str">
        <v>Oct2025</v>
      </c>
      <c r="R434" t="str">
        <v>Gonçalo Rueda</v>
      </c>
      <c r="S434" t="str">
        <v>1500 in poor condition (2025)</v>
      </c>
      <c r="T434" t="str">
        <v>71 (127) 108 (21)</v>
      </c>
      <c r="U434" t="str">
        <v>Medaille D'Or concours Lépine 1010  contest of inventions, created in 1901). Best selling and known toy of the manusfacturer, but often referred to as a F. Martin. Musée du Jouert de Poissy has one.</v>
      </c>
      <c r="V434" t="str">
        <v>All the other similar toys found seem to be in poorer condition</v>
      </c>
      <c r="W434" t="str">
        <v>P2030109</v>
      </c>
      <c r="X434" t="str">
        <v>P2030110</v>
      </c>
      <c r="Y434" t="str">
        <v>P2030111</v>
      </c>
    </row>
    <row r="435">
      <c r="A435">
        <v>434</v>
      </c>
      <c r="B435" t="str">
        <v>Flying Bird</v>
      </c>
      <c r="C435">
        <v>8</v>
      </c>
      <c r="D435" t="str">
        <v>Animals</v>
      </c>
      <c r="E435" t="str">
        <v>Animals</v>
      </c>
      <c r="F435" t="str">
        <v>Bird flying around nest</v>
      </c>
      <c r="G435" t="str">
        <v>Clockwork</v>
      </c>
      <c r="H435" t="str">
        <v>Bird flaps wings and flies in circles</v>
      </c>
      <c r="I435" t="str">
        <v>Tin &amp; plastic</v>
      </c>
      <c r="J435" t="str">
        <v>38x13x14</v>
      </c>
      <c r="K435" t="str">
        <v>Ruhl, Robert</v>
      </c>
      <c r="L435" t="str">
        <v>Excellent</v>
      </c>
      <c r="M435">
        <v>1957</v>
      </c>
      <c r="N435">
        <v>1960</v>
      </c>
      <c r="O435" t="str">
        <v>Excellent; has 31606 stamped on it</v>
      </c>
      <c r="S435" t="str">
        <v>250-300 (2020)</v>
      </c>
      <c r="T435" t="str">
        <v>46 (284) 66 (364)</v>
      </c>
      <c r="U435" t="str">
        <v>the better known version is a stork (no. 7), where the base is a brick chimney, with a nest on top; this version is more beautiful, since the base is a tree trunk with birds and also has a nest on top.</v>
      </c>
      <c r="W435" t="str">
        <v>PE010001</v>
      </c>
    </row>
    <row r="436">
      <c r="A436">
        <v>435</v>
      </c>
      <c r="B436" t="str">
        <v>Magic rail</v>
      </c>
      <c r="D436" t="str">
        <v>Tracks /Platform base</v>
      </c>
      <c r="E436" t="str">
        <v>Fairground</v>
      </c>
      <c r="F436" t="str">
        <v>The center of a vertical helicoidal track with two cars is fixed to a vertical base, with a flag pole and flag</v>
      </c>
      <c r="G436" t="str">
        <v>Clockwork</v>
      </c>
      <c r="H436" t="str">
        <v>Track rotates, while flag pole oscillates laterally; due to the design of the track, which is helical but with a pitch in the horizontal direction, two cars move along but remain more or less in the same position, while changing their altitudes one relative to the other.</v>
      </c>
      <c r="I436" t="str">
        <v>Tin</v>
      </c>
      <c r="J436" t="str">
        <v>18,5x13x37</v>
      </c>
      <c r="K436" t="str">
        <v>Kuramochi</v>
      </c>
      <c r="L436" t="str">
        <v>Very Good</v>
      </c>
      <c r="M436">
        <v>1925</v>
      </c>
      <c r="N436">
        <v>1930</v>
      </c>
      <c r="P436">
        <v>800</v>
      </c>
      <c r="Q436" t="str">
        <v>Feb2026</v>
      </c>
      <c r="R436" t="str">
        <v>Gonçalo Rueda</v>
      </c>
      <c r="U436" t="str">
        <v>There is a variant (from the 1930s?) with the same helicoidal track and cars (but without flag pole?), h=29cm, where the base is a pyramidal tower with a roof, with the same yellow and red decoration of the track; the trademark is at the center of the base, with "Made in Japan"; the trademark of our toy seems older, as the logo is crossed by two opposing flags. Curiosity: the  base reads the name of the toy, plus "made in Tokio" and "Patent. Appl. No."</v>
      </c>
      <c r="W436" t="str">
        <v>PAA90263</v>
      </c>
      <c r="X436" t="str">
        <v>PAA90264</v>
      </c>
    </row>
    <row r="437">
      <c r="A437">
        <v>436</v>
      </c>
      <c r="B437" t="str">
        <v>The Powerful Katrinka</v>
      </c>
      <c r="D437" t="str">
        <v>People</v>
      </c>
      <c r="E437" t="str">
        <v>Character</v>
      </c>
      <c r="F437" t="str">
        <v>Lady  pushing a cart with a standing boy</v>
      </c>
      <c r="G437" t="str">
        <v>Clockwork</v>
      </c>
      <c r="H437" t="str">
        <v>The lady pushes the cart, stops, raises the cart</v>
      </c>
      <c r="I437" t="str">
        <v>Tin</v>
      </c>
      <c r="J437" t="str">
        <v>19x8x14</v>
      </c>
      <c r="K437" t="str">
        <v>NIFTY Toys</v>
      </c>
      <c r="L437" t="str">
        <v>Very Good</v>
      </c>
      <c r="M437">
        <v>1923</v>
      </c>
      <c r="N437">
        <v>1930</v>
      </c>
      <c r="P437">
        <v>900</v>
      </c>
      <c r="Q437" t="str">
        <v>Feb2026</v>
      </c>
      <c r="R437" t="str">
        <v>Gonçalo Rueda</v>
      </c>
      <c r="S437" t="str">
        <v>&gt;1300 (2026)</v>
      </c>
      <c r="T437" t="str">
        <v>65 (323) 108 (121)</v>
      </c>
      <c r="U437" t="str">
        <v>The toy has two versions, with and without the cart (lady holds kid with one hand). The lady is a character from the Fontaine Fox ((1884-1964) Toonerville Trolley strip  (1908-1955) which ran in 250 to 300 newspapers across North America. Katrinka was created in 1908 (?) as a physically powerful woman, performing feats of incredible strength. Katrinka was inspired by two cooks employed by Fontaine Fox. The boy Jimmy was one of the many children in the comic strip, a member of the McGuire family &amp; brother to Mickey McGuire. At one time he was the president of the Scorpion’s Club. Fox suggested toys to be produced &amp; then designed the toys &amp; mechanisms himself. Each of the Fontaine Fox licensed &amp; authorized toys produced by H. Fischer (like this one) has a mechanism suggested by Fox &amp; based on the story line as it unfolded in the comic strip. The body of Katrinka has several marks: "THE POWERFUL KATRINKA", "copyright 1923 by Fountaine Fox Pat, Applied for Nº293049", "Made in Germany" and "G.M.34282"</v>
      </c>
      <c r="W437" t="str">
        <v>P2030081</v>
      </c>
      <c r="X437" t="str">
        <v>P2030082</v>
      </c>
    </row>
    <row r="438">
      <c r="A438">
        <v>437</v>
      </c>
      <c r="B438" t="str">
        <v>Oh La La</v>
      </c>
      <c r="C438" t="str">
        <v>55/6</v>
      </c>
      <c r="D438" t="str">
        <v>Cars</v>
      </c>
      <c r="E438" t="str">
        <v>Circus &amp; Clowns</v>
      </c>
      <c r="F438" t="str">
        <v>Cream car driven by a clown</v>
      </c>
      <c r="G438" t="str">
        <v>Clockwork</v>
      </c>
      <c r="H438" t="str">
        <v>Reverses movement and head of clown rotates when it hits an obstacle</v>
      </c>
      <c r="I438" t="str">
        <v>Tin</v>
      </c>
      <c r="J438" t="str">
        <v>16x8x7</v>
      </c>
      <c r="K438" t="str">
        <v>Gescha</v>
      </c>
      <c r="L438" t="str">
        <v>Excellent</v>
      </c>
      <c r="M438">
        <v>1952</v>
      </c>
      <c r="N438">
        <v>1960</v>
      </c>
      <c r="O438" t="str">
        <v>Very Good</v>
      </c>
      <c r="P438">
        <v>400</v>
      </c>
      <c r="Q438" t="str">
        <v>Feb2026</v>
      </c>
      <c r="R438" t="str">
        <v>Gonçalo Rueda</v>
      </c>
      <c r="S438" t="str">
        <v>550 (2026) w/ box; 300 (2026)</v>
      </c>
      <c r="T438" t="str">
        <v>22 (260) 47 (37) 65 (373)</v>
      </c>
      <c r="U438" t="str">
        <v xml:space="preserve">Car no. 2 "Pat. Angem. 55-6". There is a version with a red car.  Ths is a Auto Union Race-car </v>
      </c>
      <c r="V438" t="str">
        <v>Made in U.S. Zone Germany</v>
      </c>
      <c r="W438" t="str">
        <v>PAA50143</v>
      </c>
      <c r="X438" t="str">
        <v>PAA50144</v>
      </c>
      <c r="Y438" t="str">
        <v>PAA50144A</v>
      </c>
    </row>
    <row r="439">
      <c r="A439">
        <v>438</v>
      </c>
      <c r="B439" t="str">
        <v>Gertie the Galloping Goose</v>
      </c>
      <c r="D439" t="str">
        <v>Animals</v>
      </c>
      <c r="E439" t="str">
        <v>Animals</v>
      </c>
      <c r="F439" t="str">
        <v>Large white Goose with yellow feet</v>
      </c>
      <c r="G439" t="str">
        <v>Clockwork</v>
      </c>
      <c r="H439" t="str">
        <v>Jumps on its feet and oscillates head</v>
      </c>
      <c r="I439" t="str">
        <v>Tin</v>
      </c>
      <c r="J439" t="str">
        <v>23x9x18x12</v>
      </c>
      <c r="K439" t="str">
        <v>Marx</v>
      </c>
      <c r="L439" t="str">
        <v>Very Good</v>
      </c>
      <c r="M439">
        <v>1935</v>
      </c>
      <c r="N439">
        <v>1940</v>
      </c>
      <c r="S439" t="str">
        <v>100-150 (2025)</v>
      </c>
      <c r="T439" t="str">
        <v>50 (48) 107 (188)</v>
      </c>
      <c r="U439" t="str">
        <v>The toy is usually attributed to Unique Art, USA. However, our toy is marked made in England. Also, in the American toy the clockwork's key is fixed and positioned at the lower body, while in our toy the key must be applied on top. UAS’s president, Sammy Bergman, was a good friend of Louis Marx, and the two men’s companies at times cooperated, with Marx providing tooling to UA and sometimes acting as a distributor for Unique’s products. Marx established its first UK factory in Dudley, near Birmingham, with production starting in 1932 and ceasing in 1940 due to the war. There are several children's book titled "Gertie the Goose"</v>
      </c>
      <c r="W439" t="str">
        <v>PE010002</v>
      </c>
      <c r="X439" t="str">
        <v>PE010003</v>
      </c>
      <c r="Y439" t="str">
        <v>PE010004</v>
      </c>
    </row>
    <row r="440">
      <c r="A440">
        <v>439</v>
      </c>
      <c r="B440" t="str">
        <v>Bully</v>
      </c>
      <c r="D440" t="str">
        <v>Animals</v>
      </c>
      <c r="E440" t="str">
        <v>Animals</v>
      </c>
      <c r="F440" t="str">
        <v>Large light-brown bulldog</v>
      </c>
      <c r="G440" t="str">
        <v>Clockwork</v>
      </c>
      <c r="H440" t="str">
        <v>Walks on four legs</v>
      </c>
      <c r="I440" t="str">
        <v>Tin</v>
      </c>
      <c r="J440" t="str">
        <v>19x8.5x16</v>
      </c>
      <c r="K440" t="str">
        <v>Blomer &amp; Schuler</v>
      </c>
      <c r="L440" t="str">
        <v>Good</v>
      </c>
      <c r="M440">
        <v>1951</v>
      </c>
      <c r="N440">
        <v>1963</v>
      </c>
      <c r="S440" t="str">
        <v>200 (2025)</v>
      </c>
      <c r="T440" t="str">
        <v>46 (56) 65 (75) 100 (21) 134 (52)</v>
      </c>
      <c r="U440" t="str">
        <v>There is a version with batttery (remote control) marked made in Western Germany; there is also a version with a remote manual crank (a kind of tweezer), marked US Zone; our version is usually marked US zone, but our toy is marked "made in Germany". Probably is from the initial 1950s.  MARUSAN (SAN) reproduced the version with battery, with cloth ears</v>
      </c>
      <c r="V440" t="str">
        <v>The ears are new</v>
      </c>
      <c r="W440" t="str">
        <v>PE010007</v>
      </c>
      <c r="X440" t="str">
        <v>PE010008</v>
      </c>
      <c r="Y440" t="str">
        <v>PE010009</v>
      </c>
    </row>
    <row r="441">
      <c r="A441">
        <v>440</v>
      </c>
      <c r="B441" t="str">
        <v>Mooing Cow</v>
      </c>
      <c r="D441" t="str">
        <v>Animals</v>
      </c>
      <c r="E441" t="str">
        <v>Animals</v>
      </c>
      <c r="F441" t="str">
        <v>Large 2D Cow</v>
      </c>
      <c r="G441" t="str">
        <v>Other</v>
      </c>
      <c r="H441" t="str">
        <v>Pressing the tail, it moos, moves eye and mouth</v>
      </c>
      <c r="I441" t="str">
        <v>Tin</v>
      </c>
      <c r="J441" t="str">
        <v>26x8x20</v>
      </c>
      <c r="L441" t="str">
        <v>Excellent</v>
      </c>
      <c r="M441">
        <v>1925</v>
      </c>
      <c r="N441">
        <v>1940</v>
      </c>
      <c r="P441">
        <v>240</v>
      </c>
      <c r="Q441">
        <v>45444</v>
      </c>
      <c r="R441" t="str">
        <v>eBay</v>
      </c>
      <c r="S441" t="str">
        <v>250-400</v>
      </c>
      <c r="T441" t="str">
        <v>71 (99)</v>
      </c>
      <c r="U441" t="str">
        <v>The base reads "Press my tail and I MOO-OO"</v>
      </c>
      <c r="V441" t="str">
        <v>Made in the USA</v>
      </c>
      <c r="W441" t="str">
        <v>PE010010</v>
      </c>
    </row>
    <row r="442">
      <c r="A442">
        <v>441</v>
      </c>
      <c r="B442" t="str">
        <v>Bombo the Monk</v>
      </c>
      <c r="D442" t="str">
        <v>Animals</v>
      </c>
      <c r="E442" t="str">
        <v>Animals</v>
      </c>
      <c r="F442" t="str">
        <v>Monkey hanging in a palm tree</v>
      </c>
      <c r="G442" t="str">
        <v>Clockwork</v>
      </c>
      <c r="H442" t="str">
        <v>The monkey somersaults; it can be positioned in branches, in tree trunk, on the floor, or alone</v>
      </c>
      <c r="I442" t="str">
        <v>Tin</v>
      </c>
      <c r="J442" t="str">
        <v>15x9.5x25</v>
      </c>
      <c r="K442" t="str">
        <v>Unique Art</v>
      </c>
      <c r="L442" t="str">
        <v>Very Good</v>
      </c>
      <c r="M442">
        <v>1940</v>
      </c>
      <c r="N442">
        <v>1950</v>
      </c>
      <c r="O442" t="str">
        <v>Excellent</v>
      </c>
      <c r="P442">
        <v>305</v>
      </c>
      <c r="Q442">
        <v>45139</v>
      </c>
      <c r="R442" t="str">
        <v>Catawiki</v>
      </c>
      <c r="S442" t="str">
        <v>250-400 (2026) w/ box</v>
      </c>
      <c r="V442" t="str">
        <v>Right year - bit missing</v>
      </c>
      <c r="W442" t="str">
        <v>PE010005</v>
      </c>
      <c r="X442" t="str">
        <v>PE010006</v>
      </c>
    </row>
    <row r="443">
      <c r="A443">
        <v>442</v>
      </c>
      <c r="B443" t="str">
        <v>Tak, tak, tak</v>
      </c>
      <c r="C443" t="str">
        <v>36/1</v>
      </c>
      <c r="D443" t="str">
        <v>Animals</v>
      </c>
      <c r="E443" t="str">
        <v>Animals</v>
      </c>
      <c r="F443" t="str">
        <v>Woodpecker w/ suction rubber</v>
      </c>
      <c r="G443" t="str">
        <v>Clockwork</v>
      </c>
      <c r="H443" t="str">
        <v>Once fixed to a surface, it hammers on the wall</v>
      </c>
      <c r="I443" t="str">
        <v>Tin &amp; rubber</v>
      </c>
      <c r="J443" t="str">
        <v>6.5x3x9</v>
      </c>
      <c r="K443" t="str">
        <v>Gescha</v>
      </c>
      <c r="L443" t="str">
        <v>Excellent</v>
      </c>
      <c r="M443">
        <v>1950</v>
      </c>
      <c r="N443">
        <v>1955</v>
      </c>
      <c r="O443" t="str">
        <v>Excellent</v>
      </c>
      <c r="T443" t="str">
        <v>46 (114) 47 (36)</v>
      </c>
      <c r="V443" t="str">
        <v>Made in U.S. Zone Germany</v>
      </c>
      <c r="W443" t="str">
        <v>PE010011</v>
      </c>
    </row>
    <row r="444">
      <c r="A444">
        <v>443</v>
      </c>
      <c r="B444" t="str">
        <v>Pecking bird</v>
      </c>
      <c r="D444" t="str">
        <v>Animals</v>
      </c>
      <c r="E444" t="str">
        <v>Animals</v>
      </c>
      <c r="F444" t="str">
        <v>Small pecking  bird w/ blackn cloth tail</v>
      </c>
      <c r="G444" t="str">
        <v>Clockwork</v>
      </c>
      <c r="H444" t="str">
        <v>It pecks  quickly</v>
      </c>
      <c r="I444" t="str">
        <v>Tin &amp; cloth</v>
      </c>
      <c r="J444" t="str">
        <v>7x3x4.5</v>
      </c>
      <c r="L444" t="str">
        <v>Very Good</v>
      </c>
      <c r="M444">
        <v>1940</v>
      </c>
      <c r="N444">
        <v>1950</v>
      </c>
      <c r="S444" t="str">
        <v>50 (2025)</v>
      </c>
      <c r="V444" t="str">
        <v>Made  in Japan</v>
      </c>
      <c r="W444" t="str">
        <v>PE010012</v>
      </c>
    </row>
    <row r="445">
      <c r="A445">
        <v>444</v>
      </c>
      <c r="B445" t="str">
        <v>Wobbly Duck</v>
      </c>
      <c r="D445" t="str">
        <v>Animals</v>
      </c>
      <c r="E445" t="str">
        <v>Animals</v>
      </c>
      <c r="F445" t="str">
        <v>Small wobbling duck</v>
      </c>
      <c r="G445" t="str">
        <v>Clockwork</v>
      </c>
      <c r="H445" t="str">
        <v>It wobbles laterally</v>
      </c>
      <c r="I445" t="str">
        <v>Tin</v>
      </c>
      <c r="J445" t="str">
        <v>9x4x6.5</v>
      </c>
      <c r="K445" t="str">
        <v>Kohler</v>
      </c>
      <c r="L445" t="str">
        <v>Very Good</v>
      </c>
      <c r="M445">
        <v>1952</v>
      </c>
      <c r="N445">
        <v>1965</v>
      </c>
      <c r="S445" t="str">
        <v>180 (2025)</v>
      </c>
      <c r="T445" t="str">
        <v>22 (290)</v>
      </c>
      <c r="V445" t="str">
        <v>Made in U.S. Zone Germany</v>
      </c>
      <c r="W445" t="str">
        <v>PE010012</v>
      </c>
    </row>
    <row r="446">
      <c r="A446">
        <v>445</v>
      </c>
      <c r="B446" t="str">
        <v>Pecking bird</v>
      </c>
      <c r="D446" t="str">
        <v>Animals</v>
      </c>
      <c r="E446" t="str">
        <v>Animals</v>
      </c>
      <c r="F446" t="str">
        <v>Small packing bird w/ brown cloth tail</v>
      </c>
      <c r="G446" t="str">
        <v>Clockwork</v>
      </c>
      <c r="H446" t="str">
        <v>It pecks quickly</v>
      </c>
      <c r="I446" t="str">
        <v>Tin &amp; cloth</v>
      </c>
      <c r="J446" t="str">
        <v>8.5x3x4.5</v>
      </c>
      <c r="K446" t="str">
        <v>Prestyn Toys</v>
      </c>
      <c r="L446" t="str">
        <v>Very Good</v>
      </c>
      <c r="M446">
        <v>1950</v>
      </c>
      <c r="N446">
        <v>1955</v>
      </c>
      <c r="W446" t="str">
        <v>PE010012</v>
      </c>
    </row>
    <row r="447">
      <c r="A447">
        <v>446</v>
      </c>
      <c r="B447" t="str">
        <v>Owl and mouse</v>
      </c>
      <c r="D447" t="str">
        <v>Animals</v>
      </c>
      <c r="E447" t="str">
        <v>Animals</v>
      </c>
      <c r="F447" t="str">
        <v>Plastic owl stepping on a mouse's tail</v>
      </c>
      <c r="G447" t="str">
        <v>Clockwork</v>
      </c>
      <c r="H447" t="str">
        <v>It pecks/hopps quickly</v>
      </c>
      <c r="I447" t="str">
        <v>Mostly plastic</v>
      </c>
      <c r="J447" t="str">
        <v>9x6x6.5</v>
      </c>
      <c r="K447" t="str">
        <v>Kohler</v>
      </c>
      <c r="L447" t="str">
        <v>Very Good</v>
      </c>
      <c r="M447">
        <v>1960</v>
      </c>
      <c r="N447">
        <v>1965</v>
      </c>
      <c r="U447" t="str">
        <v>Body reads "Turn Beak to Wind" and tail "Wind-up by turning the beak" (in German) - however the beak is fixed (maybe it was glued?); there is a version with a cat and mouse</v>
      </c>
      <c r="W447" t="str">
        <v>PE010013</v>
      </c>
    </row>
    <row r="448">
      <c r="A448">
        <v>447</v>
      </c>
      <c r="B448" t="str">
        <v>NANI</v>
      </c>
      <c r="C448">
        <v>947</v>
      </c>
      <c r="D448" t="str">
        <v>Animals</v>
      </c>
      <c r="E448" t="str">
        <v>Animals</v>
      </c>
      <c r="F448" t="str">
        <v>One white and one black cat</v>
      </c>
      <c r="G448" t="str">
        <v>Friction</v>
      </c>
      <c r="H448" t="str">
        <v>Moves forward</v>
      </c>
      <c r="I448" t="str">
        <v>Mostly plastic</v>
      </c>
      <c r="J448" t="str">
        <v>6x4x8</v>
      </c>
      <c r="K448" t="str">
        <v>Lehmann</v>
      </c>
      <c r="L448" t="str">
        <v>Very Good</v>
      </c>
      <c r="M448">
        <v>1967</v>
      </c>
      <c r="N448">
        <v>1989</v>
      </c>
      <c r="S448" t="str">
        <v>25 (2025)</v>
      </c>
      <c r="T448" t="str">
        <v>22 (298) 59 (211)</v>
      </c>
      <c r="U448" t="str">
        <v>The faces of the two cats, the position of the power wheels, and the toys markings are different</v>
      </c>
      <c r="V448" t="str">
        <v>The black cat misses a green collar</v>
      </c>
      <c r="W448" t="str">
        <v>PE010014</v>
      </c>
      <c r="X448" t="str">
        <v>PE010015</v>
      </c>
    </row>
    <row r="449">
      <c r="A449">
        <v>448</v>
      </c>
      <c r="B449" t="str">
        <v>Cat and Mouse</v>
      </c>
      <c r="D449" t="str">
        <v>Animals</v>
      </c>
      <c r="E449" t="str">
        <v>Animals</v>
      </c>
      <c r="F449" t="str">
        <v>White and black cat w/ blue eyes chasing a mouse</v>
      </c>
      <c r="G449" t="str">
        <v>Clockwork</v>
      </c>
      <c r="H449" t="str">
        <v>Moves forward  zig-zagging</v>
      </c>
      <c r="I449" t="str">
        <v>Tin</v>
      </c>
      <c r="J449" t="str">
        <v>14.5x3.5x5.5</v>
      </c>
      <c r="K449" t="str">
        <v>Blomer &amp; Schuler</v>
      </c>
      <c r="L449" t="str">
        <v>Reasonable</v>
      </c>
      <c r="M449">
        <v>1946</v>
      </c>
      <c r="N449">
        <v>1958</v>
      </c>
      <c r="S449" t="str">
        <v>310 (2026)</v>
      </c>
      <c r="T449" t="str">
        <v>22 (297)</v>
      </c>
      <c r="V449" t="str">
        <v>some rust on the back; Made in U.S. Zone Germany</v>
      </c>
      <c r="W449" t="str">
        <v>PE010016</v>
      </c>
      <c r="X449" t="str">
        <v>PE010017</v>
      </c>
    </row>
    <row r="450">
      <c r="A450">
        <v>449</v>
      </c>
      <c r="B450" t="str">
        <v>Cat + Mouse game</v>
      </c>
      <c r="D450" t="str">
        <v>Animals</v>
      </c>
      <c r="E450" t="str">
        <v>Animals</v>
      </c>
      <c r="F450" t="str">
        <v>White plastic mouse w/ red collar holding a mouse</v>
      </c>
      <c r="G450" t="str">
        <v>Clockwork</v>
      </c>
      <c r="H450" t="str">
        <v>Moves foward while waving head; should move on a scenario which a had a slot to guide the movement (the cat has a pin on its base)</v>
      </c>
      <c r="I450" t="str">
        <v>Plastic</v>
      </c>
      <c r="J450" t="str">
        <v>11.5x4.5x8</v>
      </c>
      <c r="K450" t="str">
        <v>Kohler</v>
      </c>
      <c r="L450" t="str">
        <v>Very Good</v>
      </c>
      <c r="M450">
        <v>1960</v>
      </c>
      <c r="N450">
        <v>1965</v>
      </c>
      <c r="S450" t="str">
        <v>150 (2026) complete w/ box</v>
      </c>
      <c r="V450" t="str">
        <v>base (scenario) is missing</v>
      </c>
      <c r="W450" t="str">
        <v>PE010018</v>
      </c>
      <c r="X450" t="str">
        <v>PE010019</v>
      </c>
    </row>
    <row r="451">
      <c r="A451">
        <v>450</v>
      </c>
      <c r="B451" t="str">
        <v>Racing Waldi</v>
      </c>
      <c r="D451" t="str">
        <v>Animals</v>
      </c>
      <c r="E451" t="str">
        <v>Animals</v>
      </c>
      <c r="F451" t="str">
        <v>Dog  w/ moving red tongue</v>
      </c>
      <c r="G451" t="str">
        <v>Friction</v>
      </c>
      <c r="H451" t="str">
        <v>moves forward, tongue goes moves forward goes out and in</v>
      </c>
      <c r="I451" t="str">
        <v>Tin</v>
      </c>
      <c r="J451" t="str">
        <v>13.5x3x4.5</v>
      </c>
      <c r="K451" t="str">
        <v>Kohler</v>
      </c>
      <c r="L451" t="str">
        <v>Very Good</v>
      </c>
      <c r="M451">
        <v>1952</v>
      </c>
      <c r="N451">
        <v>1965</v>
      </c>
      <c r="S451" t="str">
        <v>160 (2025)</v>
      </c>
      <c r="T451" t="str">
        <v>22 (295) 72 (122)</v>
      </c>
      <c r="U451" t="str">
        <v>one of the rarest Kohler toys (along w/ the Easter Bunny)</v>
      </c>
      <c r="V451" t="str">
        <v>tail breaks easily</v>
      </c>
      <c r="W451" t="str">
        <v>PE010020</v>
      </c>
      <c r="X451" t="str">
        <v>PE010021</v>
      </c>
    </row>
    <row r="452">
      <c r="A452">
        <v>451</v>
      </c>
      <c r="B452" t="str">
        <v>PAAK-PAAK</v>
      </c>
      <c r="C452">
        <v>903</v>
      </c>
      <c r="D452" t="str">
        <v>Animals</v>
      </c>
      <c r="E452" t="str">
        <v>Animals</v>
      </c>
      <c r="F452" t="str">
        <v>Yellow duck w/ litographed red collar</v>
      </c>
      <c r="G452" t="str">
        <v>Friction</v>
      </c>
      <c r="H452" t="str">
        <v>Moves forward</v>
      </c>
      <c r="I452" t="str">
        <v>Tin</v>
      </c>
      <c r="J452" t="str">
        <v>7x4x6</v>
      </c>
      <c r="K452" t="str">
        <v>Lehmann</v>
      </c>
      <c r="L452" t="str">
        <v>Very Good</v>
      </c>
      <c r="M452">
        <v>1955</v>
      </c>
      <c r="N452">
        <v>1989</v>
      </c>
      <c r="S452" t="str">
        <v>25-30 (2026)</v>
      </c>
      <c r="T452" t="str">
        <v>22 (298) 59 (207)</v>
      </c>
      <c r="W452" t="str">
        <v>PE010022</v>
      </c>
    </row>
    <row r="453">
      <c r="A453">
        <v>452</v>
      </c>
      <c r="B453" t="str">
        <v>Bonzo</v>
      </c>
      <c r="C453" t="str">
        <v>MS 650</v>
      </c>
      <c r="D453" t="str">
        <v>Animals</v>
      </c>
      <c r="E453" t="str">
        <v>Sports &amp; Leisure</v>
      </c>
      <c r="F453" t="str">
        <v>Cat w/ stripped T-shirt and blue shorts riding a tricycle</v>
      </c>
      <c r="G453" t="str">
        <v>Clockwork</v>
      </c>
      <c r="H453" t="str">
        <v>Pushes the lever of the tricycle, body raises and lowers and moves forward</v>
      </c>
      <c r="I453" t="str">
        <v>Tin</v>
      </c>
      <c r="J453" t="str">
        <v>15x10x14</v>
      </c>
      <c r="K453" t="str">
        <v>MS-VEB</v>
      </c>
      <c r="L453" t="str">
        <v>Very Good</v>
      </c>
      <c r="M453">
        <v>1956</v>
      </c>
      <c r="N453">
        <v>1960</v>
      </c>
      <c r="S453" t="str">
        <v>200-300 (2026)</v>
      </c>
      <c r="T453" t="str">
        <v>46 (196)</v>
      </c>
      <c r="W453" t="str">
        <v>PE010023</v>
      </c>
      <c r="X453" t="str">
        <v>PE010024</v>
      </c>
    </row>
    <row r="454">
      <c r="A454">
        <v>453</v>
      </c>
      <c r="B454" t="str">
        <v>Jolly Wiggling Snake</v>
      </c>
      <c r="D454" t="str">
        <v>Animals</v>
      </c>
      <c r="E454" t="str">
        <v>Animals</v>
      </c>
      <c r="F454" t="str">
        <v>Coiled snake</v>
      </c>
      <c r="G454" t="str">
        <v>Clockwork</v>
      </c>
      <c r="H454" t="str">
        <v>Head turns left and right, tail moves back and forward as snake travels in a circle; tongur oscillates</v>
      </c>
      <c r="I454" t="str">
        <v>Tin</v>
      </c>
      <c r="J454" t="str">
        <v>17x10x14</v>
      </c>
      <c r="K454" t="str">
        <v>TPS</v>
      </c>
      <c r="L454" t="str">
        <v>Excellent</v>
      </c>
      <c r="M454">
        <v>1960</v>
      </c>
      <c r="N454">
        <v>1965</v>
      </c>
      <c r="O454" t="str">
        <v>Excellent</v>
      </c>
      <c r="R454" t="str">
        <v xml:space="preserve">J Maia bought it in Kyoto's Toy museum </v>
      </c>
      <c r="T454" t="str">
        <v>51 (117)</v>
      </c>
      <c r="U454" t="str">
        <v>Scarcity: 4/5</v>
      </c>
      <c r="W454" t="str">
        <v>PE010025</v>
      </c>
      <c r="X454" t="str">
        <v>PE010026</v>
      </c>
    </row>
    <row r="455">
      <c r="A455">
        <v>454</v>
      </c>
      <c r="B455" t="str">
        <v>Kitty and Butterfly</v>
      </c>
      <c r="D455" t="str">
        <v>Animals</v>
      </c>
      <c r="E455" t="str">
        <v>Animals</v>
      </c>
      <c r="F455" t="str">
        <v>Plastic black cat w/ butterfly</v>
      </c>
      <c r="G455" t="str">
        <v>Clockwork</v>
      </c>
      <c r="H455" t="str">
        <v>As it walks, the head moves left and right, and butterfly "flies" quickly</v>
      </c>
      <c r="I455" t="str">
        <v>Plastic</v>
      </c>
      <c r="J455" t="str">
        <v>16x7x11.5</v>
      </c>
      <c r="K455" t="str">
        <v>Triang</v>
      </c>
      <c r="L455" t="str">
        <v>Excellent</v>
      </c>
      <c r="M455">
        <v>1955</v>
      </c>
      <c r="N455">
        <v>1965</v>
      </c>
      <c r="O455" t="str">
        <v>Good</v>
      </c>
      <c r="U455" t="str">
        <v>one of a series of plastic toys launched post-war. The toys were numbered 3xxx (111 (118))</v>
      </c>
      <c r="W455" t="str">
        <v>PE010027</v>
      </c>
      <c r="X455" t="str">
        <v>PE010028</v>
      </c>
    </row>
    <row r="456">
      <c r="A456">
        <v>455</v>
      </c>
      <c r="B456" t="str">
        <v>Rolling cat with ball</v>
      </c>
      <c r="D456" t="str">
        <v>Animals</v>
      </c>
      <c r="E456" t="str">
        <v>Animals</v>
      </c>
      <c r="F456" t="str">
        <v>White plastic cat w/ tin face and yellow ball</v>
      </c>
      <c r="G456" t="str">
        <v>Clockwork</v>
      </c>
      <c r="H456" t="str">
        <v>Moves forward, stops, rolls over</v>
      </c>
      <c r="I456" t="str">
        <v xml:space="preserve">Plastic &amp; tin </v>
      </c>
      <c r="J456" t="str">
        <v>11x6.5x6.5</v>
      </c>
      <c r="K456" t="str">
        <v>Kohler</v>
      </c>
      <c r="L456" t="str">
        <v>Excellent</v>
      </c>
      <c r="M456">
        <v>1960</v>
      </c>
      <c r="N456">
        <v>1965</v>
      </c>
      <c r="U456" t="str">
        <v>Box says only "Mechanical Movement"</v>
      </c>
      <c r="W456" t="str">
        <v>PE010029</v>
      </c>
      <c r="X456" t="str">
        <v>PE010030</v>
      </c>
      <c r="Y456" t="str">
        <v>PE010031</v>
      </c>
    </row>
    <row r="457">
      <c r="A457">
        <v>456</v>
      </c>
      <c r="B457" t="str">
        <v>Playful Cat</v>
      </c>
      <c r="D457" t="str">
        <v>Animals</v>
      </c>
      <c r="E457" t="str">
        <v>Animals</v>
      </c>
      <c r="F457" t="str">
        <v>Yellow stripped cat w/ yellow plastic head and red and yellow ball</v>
      </c>
      <c r="G457" t="str">
        <v>Clockwork</v>
      </c>
      <c r="H457" t="str">
        <v>Moves in a circle, stops, rolls over</v>
      </c>
      <c r="I457" t="str">
        <v xml:space="preserve">Plastic &amp; tin </v>
      </c>
      <c r="J457" t="str">
        <v>12.5x6x7</v>
      </c>
      <c r="K457" t="str">
        <v>Alps</v>
      </c>
      <c r="L457" t="str">
        <v>Very Good</v>
      </c>
      <c r="M457">
        <v>1949</v>
      </c>
      <c r="N457">
        <v>1955</v>
      </c>
      <c r="O457" t="str">
        <v>Reasonable (some flaps missing)</v>
      </c>
      <c r="S457" t="str">
        <v>60 (2025) w/ box</v>
      </c>
      <c r="T457" t="str">
        <v>126 (29)</v>
      </c>
      <c r="U457" t="str">
        <v>Later versions have a coloured box, or a ball with stripes</v>
      </c>
      <c r="V457" t="str">
        <v>Made in Occupied Japan</v>
      </c>
      <c r="W457" t="str">
        <v>PE010032</v>
      </c>
      <c r="X457" t="str">
        <v>PE010033</v>
      </c>
      <c r="Y457" t="str">
        <v>PE010031</v>
      </c>
    </row>
    <row r="458">
      <c r="A458">
        <v>457</v>
      </c>
      <c r="B458" t="str">
        <v>Cat with Ball</v>
      </c>
      <c r="C458">
        <v>542</v>
      </c>
      <c r="D458" t="str">
        <v>Animals</v>
      </c>
      <c r="E458" t="str">
        <v>Animals</v>
      </c>
      <c r="F458" t="str">
        <v>Plush cat w/ red ball</v>
      </c>
      <c r="G458" t="str">
        <v>Clockwork</v>
      </c>
      <c r="H458" t="str">
        <v>Ball rotates, hence cat circles</v>
      </c>
      <c r="I458" t="str">
        <v>Plush, tin &amp; wood</v>
      </c>
      <c r="J458" t="str">
        <v>13.5x5x6</v>
      </c>
      <c r="K458" t="str">
        <v>Carl</v>
      </c>
      <c r="L458" t="str">
        <v>Excellent</v>
      </c>
      <c r="M458">
        <v>1959</v>
      </c>
      <c r="N458">
        <v>1965</v>
      </c>
      <c r="O458" t="str">
        <v>Very good</v>
      </c>
      <c r="T458" t="str">
        <v>2 (48,68)</v>
      </c>
      <c r="W458" t="str">
        <v>PE010034</v>
      </c>
      <c r="X458" t="str">
        <v>PE010035</v>
      </c>
      <c r="Y458" t="str">
        <v>PE010036</v>
      </c>
    </row>
    <row r="459">
      <c r="A459">
        <v>458</v>
      </c>
      <c r="B459" t="str">
        <v>Duck and Bulldog</v>
      </c>
      <c r="D459" t="str">
        <v>Animals</v>
      </c>
      <c r="E459" t="str">
        <v>Animals</v>
      </c>
      <c r="F459" t="str">
        <v>Bulldog chasing a duck</v>
      </c>
      <c r="G459" t="str">
        <v>Friction</v>
      </c>
      <c r="H459" t="str">
        <v>Moves forward, duck oscillates, quack sound</v>
      </c>
      <c r="I459" t="str">
        <v>Tin</v>
      </c>
      <c r="J459" t="str">
        <v>21x4x6</v>
      </c>
      <c r="K459" t="str">
        <v>Usagiya</v>
      </c>
      <c r="L459" t="str">
        <v>Excellent</v>
      </c>
      <c r="M459">
        <v>1960</v>
      </c>
      <c r="N459">
        <v>1965</v>
      </c>
      <c r="O459" t="str">
        <v>Excellent</v>
      </c>
      <c r="P459">
        <v>134</v>
      </c>
      <c r="Q459" t="str">
        <v>Apr2013</v>
      </c>
      <c r="R459" t="str">
        <v>Landsberger</v>
      </c>
      <c r="T459" t="str">
        <v>116 (no.27)</v>
      </c>
      <c r="U459" t="str">
        <v>The box reads the name of the toy and "with quack"</v>
      </c>
      <c r="W459" t="str">
        <v>PE010037</v>
      </c>
      <c r="X459" t="str">
        <v>PE010038</v>
      </c>
      <c r="Y459" t="str">
        <v>PE010039</v>
      </c>
    </row>
    <row r="460">
      <c r="A460">
        <v>459</v>
      </c>
      <c r="B460" t="str">
        <v>Perrito Cazador Wimpy</v>
      </c>
      <c r="C460">
        <v>101</v>
      </c>
      <c r="D460" t="str">
        <v>Animals</v>
      </c>
      <c r="E460" t="str">
        <v>Animals</v>
      </c>
      <c r="F460" t="str">
        <v>Plastic terrier dog chasing duck</v>
      </c>
      <c r="G460" t="str">
        <v>Clockwork</v>
      </c>
      <c r="H460" t="str">
        <v>Dog chases goose, which moves in curves and waves wings, dog tail oscillates</v>
      </c>
      <c r="I460" t="str">
        <v>Plastic</v>
      </c>
      <c r="J460" t="str">
        <v>19x12x7</v>
      </c>
      <c r="K460" t="str">
        <v>EGE</v>
      </c>
      <c r="L460" t="str">
        <v>Excellent</v>
      </c>
      <c r="M460">
        <v>1965</v>
      </c>
      <c r="N460">
        <v>1969</v>
      </c>
      <c r="S460" t="str">
        <v>100-130 (2025) w/box</v>
      </c>
      <c r="T460" t="str">
        <v>22 (294)</v>
      </c>
      <c r="U460" t="str">
        <v xml:space="preserve">Originally made by Ruhl between 1953 and 1958, named "Fiffy", with variants of the dog without the goose (w/ ball, etc); </v>
      </c>
      <c r="W460" t="str">
        <v>PE010040</v>
      </c>
      <c r="X460" t="str">
        <v>PE010041</v>
      </c>
    </row>
    <row r="461">
      <c r="A461">
        <v>460</v>
      </c>
      <c r="B461" t="str">
        <v>Bear with ice cream</v>
      </c>
      <c r="D461" t="str">
        <v>Animals</v>
      </c>
      <c r="E461" t="str">
        <v>Animals</v>
      </c>
      <c r="F461" t="str">
        <v>Large brown plush bear w/ ice cream</v>
      </c>
      <c r="G461" t="str">
        <v>Clockwork</v>
      </c>
      <c r="H461" t="str">
        <v>Moves upper paws and head</v>
      </c>
      <c r="I461" t="str">
        <v>Mostly plush</v>
      </c>
      <c r="J461" t="str">
        <v>14x9x24</v>
      </c>
      <c r="L461" t="str">
        <v>Very Good</v>
      </c>
      <c r="M461">
        <v>1955</v>
      </c>
      <c r="N461">
        <v>1965</v>
      </c>
      <c r="R461" t="str">
        <v>Praga</v>
      </c>
      <c r="S461" t="str">
        <v>100 (2026)</v>
      </c>
      <c r="U461" t="str">
        <v>There is a variant holding a milk bottle</v>
      </c>
      <c r="V461" t="str">
        <v>Made in USSR</v>
      </c>
      <c r="W461" t="str">
        <v>PE010042</v>
      </c>
      <c r="X461" t="str">
        <v>PE010043</v>
      </c>
    </row>
    <row r="462">
      <c r="A462">
        <v>461</v>
      </c>
      <c r="B462" t="str">
        <v>Jockel the Croaking Raven</v>
      </c>
      <c r="D462" t="str">
        <v>Animals</v>
      </c>
      <c r="E462" t="str">
        <v>Animals</v>
      </c>
      <c r="F462" t="str">
        <v>Crow w/ coloured wings</v>
      </c>
      <c r="G462" t="str">
        <v>Clockwork</v>
      </c>
      <c r="H462" t="str">
        <v>Moves/rotates head, flaps wings, clatters beak, hops and makes a croak sound</v>
      </c>
      <c r="I462" t="str">
        <v>Mostly tin</v>
      </c>
      <c r="J462" t="str">
        <v>17x9x8</v>
      </c>
      <c r="K462" t="str">
        <v>Kohler</v>
      </c>
      <c r="L462" t="str">
        <v>Excellent</v>
      </c>
      <c r="M462">
        <v>1960</v>
      </c>
      <c r="N462">
        <v>1965</v>
      </c>
      <c r="O462" t="str">
        <v>Excellent</v>
      </c>
      <c r="S462" t="str">
        <v>250 (2026) w/ box</v>
      </c>
      <c r="T462" t="str">
        <v>22 (287) 101 (211)</v>
      </c>
      <c r="W462" t="str">
        <v>PE010044</v>
      </c>
      <c r="X462" t="str">
        <v>PE010045</v>
      </c>
    </row>
    <row r="463">
      <c r="A463">
        <v>462</v>
      </c>
      <c r="B463" t="str">
        <v>Quack-Quack-Quack</v>
      </c>
      <c r="C463">
        <v>364</v>
      </c>
      <c r="D463" t="str">
        <v>Animals</v>
      </c>
      <c r="E463" t="str">
        <v>Animals</v>
      </c>
      <c r="F463" t="str">
        <v>Large duck w/ red chest</v>
      </c>
      <c r="G463" t="str">
        <v>Clockwork</v>
      </c>
      <c r="H463" t="str">
        <v>moves forward then circles</v>
      </c>
      <c r="I463" t="str">
        <v>Tin</v>
      </c>
      <c r="J463" t="str">
        <v>17x8x13</v>
      </c>
      <c r="K463" t="str">
        <v>Gescha</v>
      </c>
      <c r="L463" t="str">
        <v>Very Good</v>
      </c>
      <c r="M463">
        <v>1950</v>
      </c>
      <c r="N463">
        <v>1955</v>
      </c>
      <c r="S463" t="str">
        <v>130-150 (2026) w/ box</v>
      </c>
      <c r="T463" t="str">
        <v>46 (115) 47 (60)</v>
      </c>
      <c r="U463" t="str">
        <v>two versions, w/ different colours; our version has different wheels from the one made in 1955 (364);an older version (36/4) had wheels in front and was pulled by a cord; the box of our version reads "Nr.36-4" and "Patentangem.</v>
      </c>
      <c r="V463" t="str">
        <v>The bill does not open; Made in U.S. Zone Germany</v>
      </c>
      <c r="W463" t="str">
        <v>PE010046</v>
      </c>
      <c r="X463" t="str">
        <v>PE010047</v>
      </c>
      <c r="Y463" t="str">
        <v>PE010048</v>
      </c>
    </row>
    <row r="464">
      <c r="A464">
        <v>463</v>
      </c>
      <c r="B464" t="str">
        <v>Turkey with voice</v>
      </c>
      <c r="D464" t="str">
        <v>Animals</v>
      </c>
      <c r="E464" t="str">
        <v>Animals</v>
      </c>
      <c r="F464" t="str">
        <v>Turkey</v>
      </c>
      <c r="G464" t="str">
        <v>Clockwork</v>
      </c>
      <c r="H464" t="str">
        <v>moves around, flaps wings, croaking sound</v>
      </c>
      <c r="I464" t="str">
        <v>Tin</v>
      </c>
      <c r="J464" t="str">
        <v>10x9.5x11</v>
      </c>
      <c r="K464" t="str">
        <v>Kohler</v>
      </c>
      <c r="L464" t="str">
        <v>Excellent</v>
      </c>
      <c r="M464">
        <v>1955</v>
      </c>
      <c r="N464">
        <v>1965</v>
      </c>
      <c r="S464" t="str">
        <v>170-230 (2026)</v>
      </c>
      <c r="T464" t="str">
        <v>22 (290)</v>
      </c>
      <c r="U464" t="str">
        <v>22 (290)</v>
      </c>
      <c r="W464" t="str">
        <v>PE010049</v>
      </c>
      <c r="X464" t="str">
        <v>PE010050</v>
      </c>
    </row>
    <row r="465">
      <c r="A465">
        <v>464</v>
      </c>
      <c r="B465" t="str">
        <v>Proud Peacock</v>
      </c>
      <c r="D465" t="str">
        <v>Animals</v>
      </c>
      <c r="E465" t="str">
        <v>Animals</v>
      </c>
      <c r="F465" t="str">
        <v>Peacock w/ moving tail</v>
      </c>
      <c r="G465" t="str">
        <v>Clockwork</v>
      </c>
      <c r="H465" t="str">
        <v>While walking on the two legs, it raises and opens tail, closes and lowers it.</v>
      </c>
      <c r="I465" t="str">
        <v>Mostly tin</v>
      </c>
      <c r="J465" t="str">
        <v>18x13x14</v>
      </c>
      <c r="K465" t="str">
        <v>Alps</v>
      </c>
      <c r="L465" t="str">
        <v>Very Good</v>
      </c>
      <c r="M465">
        <v>1955</v>
      </c>
      <c r="N465">
        <v>1959</v>
      </c>
      <c r="S465" t="str">
        <v>140-200 (2025)</v>
      </c>
      <c r="T465" t="str">
        <v>89 (31)</v>
      </c>
      <c r="U465" t="str">
        <v>The toy has 2 trademarks: Alps and ETCO (TOMY, until 1959); there is a version w/ tin feet, while ours rubber; there is another version "made in Occupied Japan", with a different litography (126 (31)); this toy was also made by B&amp;S (Germany) in the 1950s</v>
      </c>
      <c r="V465" t="str">
        <v>several missing fingers in feet</v>
      </c>
      <c r="W465" t="str">
        <v>PE010051</v>
      </c>
      <c r="X465" t="str">
        <v>PE010052</v>
      </c>
      <c r="Y465" t="str">
        <v>PE010053</v>
      </c>
      <c r="Z465" t="str">
        <v>PE010054</v>
      </c>
    </row>
    <row r="466">
      <c r="A466">
        <v>465</v>
      </c>
      <c r="B466" t="str">
        <v>GIGI the Chatter</v>
      </c>
      <c r="C466">
        <v>47</v>
      </c>
      <c r="D466" t="str">
        <v>Animals</v>
      </c>
      <c r="E466" t="str">
        <v>Animals</v>
      </c>
      <c r="F466" t="str">
        <v>Sitted duck w/ small wings</v>
      </c>
      <c r="G466" t="str">
        <v>Clockwork</v>
      </c>
      <c r="H466" t="str">
        <v>Moves foward oscillating laterally its body, flaps wings, opens and closes beak and makes a quacking sound</v>
      </c>
      <c r="I466" t="str">
        <v>Tin</v>
      </c>
      <c r="J466" t="str">
        <v>11x6x11</v>
      </c>
      <c r="K466" t="str">
        <v>Kohler</v>
      </c>
      <c r="L466" t="str">
        <v>Reasonable</v>
      </c>
      <c r="M466">
        <v>1955</v>
      </c>
      <c r="N466">
        <v>1965</v>
      </c>
      <c r="T466" t="str">
        <v>22 (292) 66 (215)</v>
      </c>
      <c r="W466" t="str">
        <v>PE010055</v>
      </c>
      <c r="X466" t="str">
        <v>PE010056</v>
      </c>
    </row>
    <row r="467">
      <c r="A467">
        <v>466</v>
      </c>
      <c r="B467" t="str">
        <v>Jubilant Songbird</v>
      </c>
      <c r="C467">
        <v>80</v>
      </c>
      <c r="D467" t="str">
        <v>Animals</v>
      </c>
      <c r="E467" t="str">
        <v>Animals</v>
      </c>
      <c r="F467" t="str">
        <v>Bird w/ moveable head wings and tail</v>
      </c>
      <c r="G467" t="str">
        <v>Clockwork</v>
      </c>
      <c r="H467" t="str">
        <v>Moves head, wings and tail, opens and closes beak, while it blows a tune</v>
      </c>
      <c r="I467" t="str">
        <v>Mostly tin</v>
      </c>
      <c r="J467" t="str">
        <v>16x7x12</v>
      </c>
      <c r="K467" t="str">
        <v>Kohler</v>
      </c>
      <c r="L467" t="str">
        <v>Excellent</v>
      </c>
      <c r="M467">
        <v>1955</v>
      </c>
      <c r="N467">
        <v>1965</v>
      </c>
      <c r="S467" t="str">
        <v>200-300 (2026)</v>
      </c>
      <c r="T467" t="str">
        <v>22 (288) 46 (186) 66 (214) 101 (211)</v>
      </c>
      <c r="U467" t="str">
        <v xml:space="preserve">There is a rare version w/ red feet; some versions have the patent no. For England and USA; </v>
      </c>
      <c r="V467" t="str">
        <v>We have another toy that was opened to show mechanism</v>
      </c>
      <c r="W467" t="str">
        <v>PE010057</v>
      </c>
      <c r="X467" t="str">
        <v>PE010058</v>
      </c>
      <c r="Y467" t="str">
        <v>PE010059</v>
      </c>
    </row>
    <row r="468">
      <c r="A468">
        <v>467</v>
      </c>
      <c r="B468" t="str">
        <v>Crocodile</v>
      </c>
      <c r="D468" t="str">
        <v>Animals</v>
      </c>
      <c r="E468" t="str">
        <v>Animals</v>
      </c>
      <c r="F468" t="str">
        <v>Green and yellow striped crocodile</v>
      </c>
      <c r="G468" t="str">
        <v>Clockwork</v>
      </c>
      <c r="H468" t="str">
        <v>moves forward while waving legs and tail</v>
      </c>
      <c r="I468" t="str">
        <v>Tin</v>
      </c>
      <c r="J468" t="str">
        <v>23x8x4</v>
      </c>
      <c r="L468" t="str">
        <v>Very Good</v>
      </c>
      <c r="M468">
        <v>1925</v>
      </c>
      <c r="N468">
        <v>1930</v>
      </c>
      <c r="O468" t="str">
        <v>Very good</v>
      </c>
      <c r="U468" t="str">
        <v>The box reproduces the darwing made by Rodolfo Amando Phillippi Krumwilda (1808-1904) in 1877 of a Nile  Crocodile; hand painted</v>
      </c>
      <c r="V468" t="str">
        <v>made in Germany?</v>
      </c>
      <c r="W468" t="str">
        <v>PE010060</v>
      </c>
      <c r="X468" t="str">
        <v>PE010061</v>
      </c>
      <c r="Y468" t="str">
        <v>PE010062</v>
      </c>
    </row>
    <row r="469">
      <c r="A469">
        <v>468</v>
      </c>
      <c r="B469" t="str">
        <v>Crocodile with nigger boy</v>
      </c>
      <c r="C469" t="str">
        <v>208M</v>
      </c>
      <c r="D469" t="str">
        <v>People</v>
      </c>
      <c r="E469" t="str">
        <v>Miscellaneous</v>
      </c>
      <c r="F469" t="str">
        <v>large crocodile ridden by a nigger</v>
      </c>
      <c r="G469" t="str">
        <v>Clockwork</v>
      </c>
      <c r="H469" t="str">
        <v>Crocodile moves forward while opening and closing mouth, causing boy ride up and down</v>
      </c>
      <c r="I469" t="str">
        <v>Tin</v>
      </c>
      <c r="J469" t="str">
        <v>38x7x11</v>
      </c>
      <c r="K469" t="str">
        <v>Einfalt</v>
      </c>
      <c r="L469" t="str">
        <v>Excellent</v>
      </c>
      <c r="M469">
        <v>1935</v>
      </c>
      <c r="N469">
        <v>1945</v>
      </c>
      <c r="S469" t="str">
        <v>150-250 (2025)</v>
      </c>
      <c r="T469" t="str">
        <v>1 (33) 66 (132) 100 (22)</v>
      </c>
      <c r="U469" t="str">
        <v>launched in 1935; there is a similar toy by J. Chein (USA), no. 140, "Native Boy on Alligator", produced in the 1930s and again in  1958-1960. The clockwork keys of the german and american toys are different (german  is a twisted square cross-section wire, american is the conventional roundes rectangular plaque); thereis also a more recent "Tarzan's Crocodile" made by Schylling</v>
      </c>
      <c r="W469" t="str">
        <v>PE010063</v>
      </c>
      <c r="X469" t="str">
        <v>PE010064</v>
      </c>
      <c r="Y469" t="str">
        <v>PE010065</v>
      </c>
    </row>
    <row r="470">
      <c r="A470">
        <v>469</v>
      </c>
      <c r="B470" t="str">
        <v>The Amazing Mr. Al E. Gator</v>
      </c>
      <c r="D470" t="str">
        <v>Animals</v>
      </c>
      <c r="E470" t="str">
        <v>Animals</v>
      </c>
      <c r="F470" t="str">
        <v>Large green crocodile w/ 2 halves connected by a spring</v>
      </c>
      <c r="G470" t="str">
        <v>Battery</v>
      </c>
      <c r="H470" t="str">
        <v>Commanded by a remote cable , moves forward wiggling, opens and closes mouth, eyes light</v>
      </c>
      <c r="I470" t="str">
        <v>Tin</v>
      </c>
      <c r="J470" t="str">
        <v>32x15x5</v>
      </c>
      <c r="K470" t="str">
        <v>Hishimo</v>
      </c>
      <c r="L470" t="str">
        <v>Good</v>
      </c>
      <c r="M470">
        <v>1958</v>
      </c>
      <c r="N470">
        <v>1965</v>
      </c>
      <c r="S470" t="str">
        <v>250 (2026)</v>
      </c>
      <c r="T470" t="str">
        <v>35 (115)</v>
      </c>
      <c r="U470" t="str">
        <v>Sticker on the base reads "Copyright 1958 by "Imports, Inc." Los Angeles, Calif."; distributed by Marx? (AI says it was the manufacturer); book 35 (115) says it was made by Alps and scarcity 7/10, but the toy has the HTC trademark</v>
      </c>
      <c r="W470" t="str">
        <v>PE010066</v>
      </c>
    </row>
    <row r="471">
      <c r="A471">
        <v>470</v>
      </c>
      <c r="B471" t="str">
        <v>Ebo Trili</v>
      </c>
      <c r="D471" t="str">
        <v>Animals</v>
      </c>
      <c r="E471" t="str">
        <v>Animals</v>
      </c>
      <c r="F471" t="str">
        <v>Multicoloured bird w/ brown legs and feet</v>
      </c>
      <c r="G471" t="str">
        <v>Clockwork</v>
      </c>
      <c r="H471" t="str">
        <v>It jumps on the floor</v>
      </c>
      <c r="I471" t="str">
        <v>Tin</v>
      </c>
      <c r="J471" t="str">
        <v>16x8x10</v>
      </c>
      <c r="K471" t="str">
        <v>Eberl</v>
      </c>
      <c r="L471" t="str">
        <v>Excellent</v>
      </c>
      <c r="M471">
        <v>1914</v>
      </c>
      <c r="N471">
        <v>1928</v>
      </c>
      <c r="T471" t="str">
        <v>66 (120)</v>
      </c>
      <c r="U471" t="str">
        <v>It's a canary; box reads: "Wind it up: let it drop, it will hop and particularly well on smooth ground"</v>
      </c>
      <c r="W471" t="str">
        <v>PE010067</v>
      </c>
      <c r="X471" t="str">
        <v>PE010068</v>
      </c>
    </row>
    <row r="472">
      <c r="A472">
        <v>471</v>
      </c>
      <c r="B472" t="str">
        <v>Duck chasing frog</v>
      </c>
      <c r="D472" t="str">
        <v>Animals</v>
      </c>
      <c r="E472" t="str">
        <v>Animals</v>
      </c>
      <c r="F472" t="str">
        <v>Duck chasing frog</v>
      </c>
      <c r="G472" t="str">
        <v>Clockwork</v>
      </c>
      <c r="H472" t="str">
        <v>moves forward, lowering and raising head</v>
      </c>
      <c r="I472" t="str">
        <v>Tin</v>
      </c>
      <c r="J472" t="str">
        <v>22x7x14</v>
      </c>
      <c r="L472" t="str">
        <v>Good</v>
      </c>
      <c r="M472">
        <v>1870</v>
      </c>
      <c r="N472">
        <v>1900</v>
      </c>
      <c r="U472" t="str">
        <v>hand painted, weels read "Made in Bavaria"</v>
      </c>
      <c r="V472" t="str">
        <v>one foot is missing; the frog's head has two little holes, probably for the lower jaw; made in Bavaria</v>
      </c>
      <c r="W472" t="str">
        <v>PE010069</v>
      </c>
      <c r="X472" t="str">
        <v>PE010070</v>
      </c>
      <c r="Y472" t="str">
        <v>PE010071</v>
      </c>
    </row>
    <row r="473">
      <c r="A473">
        <v>472</v>
      </c>
      <c r="B473" t="str">
        <v>The Funny Duck</v>
      </c>
      <c r="D473" t="str">
        <v>Animals</v>
      </c>
      <c r="E473" t="str">
        <v>Animals</v>
      </c>
      <c r="F473" t="str">
        <v>Greyish duck w/green head and moveable eyes</v>
      </c>
      <c r="G473" t="str">
        <v>Clockwork</v>
      </c>
      <c r="H473" t="str">
        <v>Body vibrates and rotates, neck moves forward (and so the body inclines forward) or backwards, eyes move</v>
      </c>
      <c r="I473" t="str">
        <v>Tin</v>
      </c>
      <c r="J473" t="str">
        <v>10x6.5x10.5</v>
      </c>
      <c r="K473" t="str">
        <v>Kohler</v>
      </c>
      <c r="L473" t="str">
        <v>Excellent</v>
      </c>
      <c r="M473">
        <v>1953</v>
      </c>
      <c r="N473">
        <v>1965</v>
      </c>
      <c r="S473" t="str">
        <v>60 (2026)</v>
      </c>
      <c r="T473" t="str">
        <v>22 (292)</v>
      </c>
      <c r="U473" t="str">
        <v>Several colour variations: head green or blue, body mostly brown, grey (ours), red; a similar toy, but larger, "Quackling duck", was made by Tomiyama in the 1950s (114 (no.15))</v>
      </c>
      <c r="W473" t="str">
        <v>PE010072</v>
      </c>
      <c r="X473" t="str">
        <v>PE010073</v>
      </c>
    </row>
    <row r="474">
      <c r="A474">
        <v>473</v>
      </c>
      <c r="B474" t="str">
        <v>Great Spider</v>
      </c>
      <c r="C474">
        <v>3085</v>
      </c>
      <c r="D474" t="str">
        <v>Animals</v>
      </c>
      <c r="E474" t="str">
        <v>Animals</v>
      </c>
      <c r="F474" t="str">
        <v>Blue plastic spider w/ red boots</v>
      </c>
      <c r="G474" t="str">
        <v>Clockwork</v>
      </c>
      <c r="H474" t="str">
        <v>Wlaks on 4 legs</v>
      </c>
      <c r="I474" t="str">
        <v>Mostly plastic</v>
      </c>
      <c r="J474" t="str">
        <v>11x11x8</v>
      </c>
      <c r="K474" t="str">
        <v>Triang</v>
      </c>
      <c r="L474" t="str">
        <v>Very Good</v>
      </c>
      <c r="M474">
        <v>1955</v>
      </c>
      <c r="N474">
        <v>1965</v>
      </c>
      <c r="S474" t="str">
        <v>60 (2026)</v>
      </c>
      <c r="T474" t="str">
        <v>111 (118)</v>
      </c>
      <c r="U474" t="str">
        <v>Several colours: yellow, orange, blue (ours); the toy is inpired by the classic Miss Muffet nursery rhyme; box says: "clockwork walking model of Miss Muffet's immortal great spider"</v>
      </c>
      <c r="W474" t="str">
        <v>PE010074</v>
      </c>
      <c r="X474" t="str">
        <v>PE010075</v>
      </c>
      <c r="Y474" t="str">
        <v>PE010076</v>
      </c>
    </row>
    <row r="475">
      <c r="A475">
        <v>474</v>
      </c>
      <c r="B475" t="str">
        <v>Hopping Chirping Bird</v>
      </c>
      <c r="D475" t="str">
        <v>Animals</v>
      </c>
      <c r="E475" t="str">
        <v>Animals</v>
      </c>
      <c r="F475" t="str">
        <v>Yellow and blue bird</v>
      </c>
      <c r="G475" t="str">
        <v>Clockwork</v>
      </c>
      <c r="H475" t="str">
        <v>Body vibrates and rotates, body inclines forward and backward, beak opens and closes, makes a sound</v>
      </c>
      <c r="I475" t="str">
        <v>Mostly tin</v>
      </c>
      <c r="J475" t="str">
        <v>9x6x8</v>
      </c>
      <c r="K475" t="str">
        <v>Kohler</v>
      </c>
      <c r="L475" t="str">
        <v>Excellent</v>
      </c>
      <c r="M475">
        <v>1955</v>
      </c>
      <c r="N475">
        <v>1965</v>
      </c>
      <c r="S475" t="str">
        <v>50-100 (2026)</v>
      </c>
      <c r="T475" t="str">
        <v>22 (285)</v>
      </c>
      <c r="U475" t="str">
        <v>It's a chick or a sparrow</v>
      </c>
      <c r="W475" t="str">
        <v>PE010077</v>
      </c>
      <c r="X475" t="str">
        <v>PE010078</v>
      </c>
    </row>
    <row r="476">
      <c r="A476">
        <v>475</v>
      </c>
      <c r="B476" t="str">
        <v>MAMA-PAAK</v>
      </c>
      <c r="C476">
        <v>940</v>
      </c>
      <c r="D476" t="str">
        <v>Animals</v>
      </c>
      <c r="E476" t="str">
        <v>Animals</v>
      </c>
      <c r="F476" t="str">
        <v>Swimming duck w/plastic  red feet</v>
      </c>
      <c r="G476" t="str">
        <v>Clockwork</v>
      </c>
      <c r="H476" t="str">
        <v>moves around</v>
      </c>
      <c r="I476" t="str">
        <v>Mostly tin</v>
      </c>
      <c r="J476" t="str">
        <v>9x10x9</v>
      </c>
      <c r="K476" t="str">
        <v>Lehmann</v>
      </c>
      <c r="L476" t="str">
        <v>Excellent</v>
      </c>
      <c r="M476">
        <v>1967</v>
      </c>
      <c r="N476">
        <v>1989</v>
      </c>
      <c r="O476" t="str">
        <v>Excellent</v>
      </c>
      <c r="S476" t="str">
        <v>50 (2026)</v>
      </c>
      <c r="T476" t="str">
        <v>22 (298) 59 (210)</v>
      </c>
      <c r="W476" t="str">
        <v>PE010079</v>
      </c>
      <c r="X476" t="str">
        <v>PE010080</v>
      </c>
      <c r="Y476" t="str">
        <v>PE010081</v>
      </c>
    </row>
    <row r="477">
      <c r="A477">
        <v>476</v>
      </c>
      <c r="B477" t="str">
        <v>WAG DOG</v>
      </c>
      <c r="D477" t="str">
        <v>Animals</v>
      </c>
      <c r="E477" t="str">
        <v>Animals</v>
      </c>
      <c r="F477" t="str">
        <v>White tin terrier w/ a red shoe</v>
      </c>
      <c r="H477" t="str">
        <v>Runs on four legs</v>
      </c>
      <c r="I477" t="str">
        <v>Tin</v>
      </c>
      <c r="J477" t="str">
        <v>10x3.5x9</v>
      </c>
      <c r="K477" t="str">
        <v>Modern Toys</v>
      </c>
      <c r="L477" t="str">
        <v>Very Good</v>
      </c>
      <c r="M477">
        <v>1947</v>
      </c>
      <c r="N477">
        <v>1954</v>
      </c>
      <c r="O477" t="str">
        <v>Very good</v>
      </c>
      <c r="W477" t="str">
        <v>PE010082</v>
      </c>
      <c r="X477" t="str">
        <v>PE010083</v>
      </c>
      <c r="Y477" t="str">
        <v>PE010084</v>
      </c>
    </row>
    <row r="478">
      <c r="A478">
        <v>477</v>
      </c>
      <c r="B478" t="str">
        <v>Barky</v>
      </c>
      <c r="D478" t="str">
        <v>Animals</v>
      </c>
      <c r="E478" t="str">
        <v>Animals</v>
      </c>
      <c r="F478" t="str">
        <v>Brown and white sitted dog showing red tongue</v>
      </c>
      <c r="G478" t="str">
        <v>Friction</v>
      </c>
      <c r="H478" t="str">
        <v>Moves forward, opens and closes mouth and "barks"</v>
      </c>
      <c r="I478" t="str">
        <v>Tin</v>
      </c>
      <c r="J478" t="str">
        <v>15x7x9</v>
      </c>
      <c r="K478" t="str">
        <v>Kanto</v>
      </c>
      <c r="L478" t="str">
        <v>Very Good</v>
      </c>
      <c r="M478">
        <v>1960</v>
      </c>
      <c r="N478">
        <v>1969</v>
      </c>
      <c r="S478" t="str">
        <v>50 (2026)</v>
      </c>
      <c r="U478" t="str">
        <v>It bears the Frankonia (US importer) trademark; the box has Frankonia and Kanto trademarks, pat no. 3871599, and reads "barking dog with lifelike barking voice"</v>
      </c>
      <c r="W478" t="str">
        <v>PE010085</v>
      </c>
      <c r="X478" t="str">
        <v>PE010086</v>
      </c>
    </row>
    <row r="479">
      <c r="A479">
        <v>478</v>
      </c>
      <c r="B479" t="str">
        <v>Mama Kangaroo with Playful Baby in her Pouch</v>
      </c>
      <c r="D479" t="str">
        <v>Animals</v>
      </c>
      <c r="E479" t="str">
        <v>Animals</v>
      </c>
      <c r="F479" t="str">
        <v>Light brown kangaroo w/ baby in pouch</v>
      </c>
      <c r="G479" t="str">
        <v>Clockwork</v>
      </c>
      <c r="H479" t="str">
        <v>Patting the baby's head causes the baby to bounce vertically trying to get food on mama's mouth</v>
      </c>
      <c r="I479" t="str">
        <v>Mostly tin</v>
      </c>
      <c r="J479" t="str">
        <v>7x4x16.5</v>
      </c>
      <c r="K479" t="str">
        <v>TPS</v>
      </c>
      <c r="L479" t="str">
        <v>Excellent</v>
      </c>
      <c r="M479">
        <v>1963</v>
      </c>
      <c r="N479">
        <v>1969</v>
      </c>
      <c r="O479" t="str">
        <v>Very Good</v>
      </c>
      <c r="S479" t="str">
        <v>250 (2025)</v>
      </c>
      <c r="T479" t="str">
        <v>51 (129) 73 (35)</v>
      </c>
      <c r="U479" t="str">
        <v>box reads: "wind-up with the key, pat baby's head lightly and watch the kangaroo leap into action"; scarcity: 3.5/5</v>
      </c>
      <c r="W479" t="str">
        <v>PE010087</v>
      </c>
      <c r="X479" t="str">
        <v>PE010088</v>
      </c>
    </row>
    <row r="480">
      <c r="A480">
        <v>479</v>
      </c>
      <c r="B480" t="str">
        <v>Parrot Game</v>
      </c>
      <c r="C480">
        <v>659</v>
      </c>
      <c r="D480" t="str">
        <v>Animals</v>
      </c>
      <c r="E480" t="str">
        <v>Animals</v>
      </c>
      <c r="F480" t="str">
        <v>Parrot on top of cage w/ climbing cat</v>
      </c>
      <c r="G480" t="str">
        <v>Clockwork</v>
      </c>
      <c r="H480" t="str">
        <v>the cat jumps, the parrot lifts body horizontally and rotates quickly in opposite directions; a small parrot appears and disappears laterally</v>
      </c>
      <c r="I480" t="str">
        <v>Tin</v>
      </c>
      <c r="J480" t="str">
        <v>7x6x21</v>
      </c>
      <c r="K480" t="str">
        <v>MS-VEB</v>
      </c>
      <c r="L480" t="str">
        <v>Excellent</v>
      </c>
      <c r="M480">
        <v>1956</v>
      </c>
      <c r="N480">
        <v>1965</v>
      </c>
      <c r="S480" t="str">
        <v>170-250 (2025)</v>
      </c>
      <c r="T480" t="str">
        <v>46 (197)</v>
      </c>
      <c r="W480" t="str">
        <v>PE010089</v>
      </c>
      <c r="X480" t="str">
        <v>PE010090</v>
      </c>
    </row>
    <row r="481">
      <c r="A481">
        <v>480</v>
      </c>
      <c r="B481" t="str">
        <v>Kitty &amp; Micky</v>
      </c>
      <c r="D481" t="str">
        <v>Animals</v>
      </c>
      <c r="E481" t="str">
        <v>Animals</v>
      </c>
      <c r="F481" t="str">
        <v>Cat chasing mouse around cage, another mouse on top</v>
      </c>
      <c r="G481" t="str">
        <v>Clockwork</v>
      </c>
      <c r="H481" t="str">
        <v>Cat chases mouse around the cage, cat turns 180º and chases again</v>
      </c>
      <c r="I481" t="str">
        <v>Tin</v>
      </c>
      <c r="J481" t="str">
        <v>13x13x7.5</v>
      </c>
      <c r="K481" t="str">
        <v>Hausmann, Emil</v>
      </c>
      <c r="L481" t="str">
        <v>Excellent</v>
      </c>
      <c r="M481">
        <v>1954</v>
      </c>
      <c r="N481">
        <v>1965</v>
      </c>
      <c r="O481" t="str">
        <v>Good</v>
      </c>
      <c r="P481">
        <v>200</v>
      </c>
      <c r="Q481">
        <v>43891</v>
      </c>
      <c r="R481" t="str">
        <v>Catawiki</v>
      </c>
      <c r="T481" t="str">
        <v>22 (297) 46 (293)</v>
      </c>
      <c r="W481" t="str">
        <v>PE010091</v>
      </c>
      <c r="X481" t="str">
        <v>PE010092</v>
      </c>
      <c r="Y481" t="str">
        <v>PE010093</v>
      </c>
    </row>
    <row r="482">
      <c r="A482">
        <v>481</v>
      </c>
      <c r="B482" t="str">
        <v>Crawling Beetle</v>
      </c>
      <c r="C482">
        <v>431</v>
      </c>
      <c r="D482" t="str">
        <v>Aircraft</v>
      </c>
      <c r="E482" t="str">
        <v>Animals</v>
      </c>
      <c r="F482" t="str">
        <v>Large beetle, w/ dark green wings</v>
      </c>
      <c r="G482" t="str">
        <v>Clockwork</v>
      </c>
      <c r="H482" t="str">
        <v>Walks while flapping wings</v>
      </c>
      <c r="I482" t="str">
        <v>Tin</v>
      </c>
      <c r="J482" t="str">
        <v>9x9x4.5</v>
      </c>
      <c r="K482" t="str">
        <v>Lehmann</v>
      </c>
      <c r="L482" t="str">
        <v>Reasonable</v>
      </c>
      <c r="M482">
        <v>1898</v>
      </c>
      <c r="N482">
        <v>1935</v>
      </c>
      <c r="O482" t="str">
        <v>Good</v>
      </c>
      <c r="S482" t="str">
        <v>150-200 (2025) 300 (2025) w/ box</v>
      </c>
      <c r="T482" t="str">
        <v>59 (129) 66 (235)</v>
      </c>
      <c r="U482" t="str">
        <v>Toy invented by Carl Adam (pat. DRP 78360 March, 21 1894), produced w/ his logo in 1894-1898; produced in various colours; a later version is EPL 823, produced from 1936-7 (then no materials were available)</v>
      </c>
      <c r="W482" t="str">
        <v>PE010094</v>
      </c>
      <c r="X482" t="str">
        <v>PE010095</v>
      </c>
    </row>
    <row r="483">
      <c r="A483">
        <v>482</v>
      </c>
      <c r="B483" t="str">
        <v>Lady Bug</v>
      </c>
      <c r="D483" t="str">
        <v>Animals</v>
      </c>
      <c r="E483" t="str">
        <v>Animals</v>
      </c>
      <c r="F483" t="str">
        <v>Lady bug w/ white dots</v>
      </c>
      <c r="G483" t="str">
        <v>Clockwork</v>
      </c>
      <c r="H483" t="str">
        <v>Moves forward, bur when the antenna reaches the edge of the table it changes direction</v>
      </c>
      <c r="I483" t="str">
        <v>Tin</v>
      </c>
      <c r="J483" t="str">
        <v>19x10.5x5</v>
      </c>
      <c r="K483" t="str">
        <v>Gunthermann</v>
      </c>
      <c r="L483" t="str">
        <v>Good</v>
      </c>
      <c r="M483">
        <v>1911</v>
      </c>
      <c r="N483">
        <v>1930</v>
      </c>
      <c r="S483" t="str">
        <v>200 (2025)</v>
      </c>
      <c r="T483" t="str">
        <v>66 (170)</v>
      </c>
      <c r="U483" t="str">
        <v>Received its own trademark "Perplex"</v>
      </c>
      <c r="V483" t="str">
        <v>small transversal wheel missing</v>
      </c>
      <c r="W483" t="str">
        <v>PE010096</v>
      </c>
      <c r="X483" t="str">
        <v>PE010097</v>
      </c>
      <c r="Y483" t="str">
        <v>PE010098</v>
      </c>
    </row>
    <row r="484">
      <c r="A484">
        <v>483</v>
      </c>
      <c r="B484" t="str">
        <v>Dog with Shoe</v>
      </c>
      <c r="D484" t="str">
        <v>Animals</v>
      </c>
      <c r="E484" t="str">
        <v>Animals</v>
      </c>
      <c r="F484" t="str">
        <v>Black small plush dog w/  brown shoe</v>
      </c>
      <c r="G484" t="str">
        <v>Clockwork</v>
      </c>
      <c r="H484" t="str">
        <v>Clockwork on shoe: vibrates, so the dog and shoe rotate/vibrate quickly</v>
      </c>
      <c r="I484" t="str">
        <v>Tin &amp; plush</v>
      </c>
      <c r="J484" t="str">
        <v>14x2.5x7</v>
      </c>
      <c r="L484" t="str">
        <v>Excellent</v>
      </c>
      <c r="M484">
        <v>1940</v>
      </c>
      <c r="N484">
        <v>1955</v>
      </c>
      <c r="S484" t="str">
        <v>&gt;100 (2025)</v>
      </c>
      <c r="T484" t="str">
        <v>22 (293) 46 (114) 47 (21)</v>
      </c>
      <c r="U484" t="str">
        <v>The toy is similar to the "Teddy" poodle from Gescha: no. 58 was made in 1935-1939, no. 56/1 was made between 1949-1952. Book 46 says the toy is marked foreign (was it made in Japan for Gescha??) - our toy has "made in Japan". The shoes pre- and post-war seem to be different, the pre-war version has lateral stiches (like ours)</v>
      </c>
      <c r="V484" t="str">
        <v>made in japan</v>
      </c>
      <c r="W484" t="str">
        <v>PE010099</v>
      </c>
    </row>
    <row r="485">
      <c r="A485">
        <v>484</v>
      </c>
      <c r="B485" t="str">
        <v>Bee Sparkling Pinwheel</v>
      </c>
      <c r="C485">
        <v>220</v>
      </c>
      <c r="D485" t="str">
        <v>Animals</v>
      </c>
      <c r="E485" t="str">
        <v>Animals</v>
      </c>
      <c r="F485" t="str">
        <v>blue flower w/ bee sparkling pinwheel</v>
      </c>
      <c r="G485" t="str">
        <v>Friction</v>
      </c>
      <c r="H485" t="str">
        <v>Upon pushing, inner wheel rotaes and sparks</v>
      </c>
      <c r="I485" t="str">
        <v>Tin</v>
      </c>
      <c r="J485" t="str">
        <v>11.5x6x4</v>
      </c>
      <c r="K485" t="str">
        <v>Arnold</v>
      </c>
      <c r="L485" t="str">
        <v>Good</v>
      </c>
      <c r="M485">
        <v>1950</v>
      </c>
      <c r="N485">
        <v>1959</v>
      </c>
      <c r="S485" t="str">
        <v>190-400 (2025)</v>
      </c>
      <c r="T485" t="str">
        <v>10 (59)</v>
      </c>
      <c r="W485" t="str">
        <v>PE010100</v>
      </c>
      <c r="X485" t="str">
        <v>PE010101</v>
      </c>
    </row>
    <row r="486">
      <c r="A486">
        <v>485</v>
      </c>
      <c r="B486" t="str">
        <v>Miss Cat</v>
      </c>
      <c r="D486" t="str">
        <v>Animals</v>
      </c>
      <c r="E486" t="str">
        <v>Animals</v>
      </c>
      <c r="F486" t="str">
        <v>Celuloid she-cat w/ red shirt holding red and yellow ball</v>
      </c>
      <c r="G486" t="str">
        <v>Clockwork</v>
      </c>
      <c r="H486" t="str">
        <v>Moves arm up and down, waves head left-right</v>
      </c>
      <c r="I486" t="str">
        <v>Celuloid</v>
      </c>
      <c r="J486" t="str">
        <v>6.5x8x12</v>
      </c>
      <c r="K486" t="str">
        <v>Modern Toys</v>
      </c>
      <c r="L486" t="str">
        <v>Very Good</v>
      </c>
      <c r="M486">
        <v>1945</v>
      </c>
      <c r="N486">
        <v>1954</v>
      </c>
      <c r="O486" t="str">
        <v>Excellent</v>
      </c>
      <c r="S486" t="str">
        <v>100-200 (2026) w/ box</v>
      </c>
      <c r="U486" t="str">
        <v>Pat. No. 3902</v>
      </c>
      <c r="V486" t="str">
        <v>The clockwork is partially detached from the body; made in Occupied Japan</v>
      </c>
      <c r="W486" t="str">
        <v>PE010102</v>
      </c>
      <c r="X486" t="str">
        <v>PE010103</v>
      </c>
    </row>
    <row r="487">
      <c r="A487">
        <v>486</v>
      </c>
      <c r="B487" t="str">
        <v>The Champion</v>
      </c>
      <c r="D487" t="str">
        <v>Games</v>
      </c>
      <c r="E487" t="str">
        <v>Sports &amp; Leisure</v>
      </c>
      <c r="F487" t="str">
        <v>Two boxeurs on a yellow base</v>
      </c>
      <c r="G487" t="str">
        <v>Other</v>
      </c>
      <c r="H487" t="str">
        <v>Each fighter moves arms, body and forwards or backwards by pressing individual buttons</v>
      </c>
      <c r="I487" t="str">
        <v>Tin</v>
      </c>
      <c r="J487" t="str">
        <v>20.5x9x14</v>
      </c>
      <c r="K487" t="str">
        <v>GOSO</v>
      </c>
      <c r="L487" t="str">
        <v>Very Good</v>
      </c>
      <c r="M487">
        <v>1952</v>
      </c>
      <c r="N487">
        <v>1955</v>
      </c>
      <c r="P487" t="str">
        <v>260?</v>
      </c>
      <c r="Q487" t="str">
        <v>Oct2020?</v>
      </c>
      <c r="R487" t="str">
        <v>auctionet?</v>
      </c>
      <c r="U487" t="str">
        <v>The toy is based in the historic and famous 1936 (June 19) or 1938 ( June 22) World Heavyweight Championship (Yankee Stadium, Bronx, NY) boxing fight between Joe Louis (nickname Brown Bomber) vs. Max Schmeling (nickname Black Uhlan of the Rhine). Schmeling won the first fight by KO in round twelve, Louis won the second by KO in the first round. The fights came to symbolize the struggle between democracy and nazism. Base platform can be yellow, red or blue; the toy is mentioned in 65 (158)</v>
      </c>
      <c r="V487" t="str">
        <v>one of the command wires is broken</v>
      </c>
      <c r="W487" t="str">
        <v>PE010104</v>
      </c>
      <c r="X487" t="str">
        <v>PE010105</v>
      </c>
    </row>
    <row r="488">
      <c r="A488">
        <v>487</v>
      </c>
      <c r="B488" t="str">
        <v>BOX</v>
      </c>
      <c r="D488" t="str">
        <v>People</v>
      </c>
      <c r="E488" t="str">
        <v>Sports &amp; Leisure</v>
      </c>
      <c r="F488" t="str">
        <v>Two celuloid boxers fighting</v>
      </c>
      <c r="G488" t="str">
        <v>Clockwork</v>
      </c>
      <c r="H488" t="str">
        <v>As the wheels on the base of one fighter rotate in one and then in the opposite direction, the fighters move closer or apart each other and arms move</v>
      </c>
      <c r="I488" t="str">
        <v>Celuloid &amp; tin</v>
      </c>
      <c r="J488" t="str">
        <v>15x5x13</v>
      </c>
      <c r="K488" t="str">
        <v>Okabe</v>
      </c>
      <c r="L488" t="str">
        <v>Very Good</v>
      </c>
      <c r="M488">
        <v>1935</v>
      </c>
      <c r="N488">
        <v>1940</v>
      </c>
      <c r="R488" t="str">
        <v>street market, Tokyo</v>
      </c>
      <c r="S488" t="str">
        <v>120-150 (2025)</v>
      </c>
      <c r="U488" t="str">
        <v>wheels can have different decorations; one variant w/ a black fighter (made by Marx?); more recent versions w/ plastic wheels</v>
      </c>
      <c r="W488" t="str">
        <v>PE010106</v>
      </c>
    </row>
    <row r="489">
      <c r="A489">
        <v>488</v>
      </c>
      <c r="B489" t="str">
        <v>Boxer</v>
      </c>
      <c r="C489">
        <v>115</v>
      </c>
      <c r="D489" t="str">
        <v>People</v>
      </c>
      <c r="E489" t="str">
        <v>Sports &amp; Leisure</v>
      </c>
      <c r="F489" t="str">
        <v>Two boxeurs on wheels connected by a spring</v>
      </c>
      <c r="G489" t="str">
        <v>Clockwork</v>
      </c>
      <c r="H489" t="str">
        <v>As the wheels on the base of one fighter rotate in one and then in the opposite direction, the fighters move closer or apart each other and arms move</v>
      </c>
      <c r="I489" t="str">
        <v>Tin</v>
      </c>
      <c r="K489" t="str">
        <v>Einfalt</v>
      </c>
      <c r="L489" t="str">
        <v>Very Good</v>
      </c>
      <c r="M489">
        <v>1923</v>
      </c>
      <c r="N489">
        <v>1932</v>
      </c>
      <c r="S489" t="str">
        <v>200-300 (2025)</v>
      </c>
      <c r="T489" t="str">
        <v>1 (17) 66 (128)</v>
      </c>
      <c r="W489" t="str">
        <v>PE010107</v>
      </c>
    </row>
    <row r="490">
      <c r="A490">
        <v>489</v>
      </c>
      <c r="B490" t="str">
        <v>Slugger Champions</v>
      </c>
      <c r="C490">
        <v>50</v>
      </c>
      <c r="D490" t="str">
        <v>People</v>
      </c>
      <c r="E490" t="str">
        <v>Sports &amp; Leisure</v>
      </c>
      <c r="F490" t="str">
        <v>Two boxeurs in a ring</v>
      </c>
      <c r="G490" t="str">
        <v>Clockwork</v>
      </c>
      <c r="H490" t="str">
        <v>Swivelling in their rear feet, they have articulated arms to punch each other</v>
      </c>
      <c r="I490" t="str">
        <v>Tin</v>
      </c>
      <c r="J490" t="str">
        <v>9x9x9</v>
      </c>
      <c r="K490" t="str">
        <v>Biller</v>
      </c>
      <c r="L490" t="str">
        <v>Excellent</v>
      </c>
      <c r="M490">
        <v>1950</v>
      </c>
      <c r="N490">
        <v>1963</v>
      </c>
      <c r="P490">
        <v>200</v>
      </c>
      <c r="Q490">
        <v>44256</v>
      </c>
      <c r="R490" t="str">
        <v>Gonçalo Rueda</v>
      </c>
      <c r="S490" t="str">
        <v>180-200 (2025)</v>
      </c>
      <c r="T490" t="str">
        <v>22 (222) 46 (47)66 (47) 89 (29)</v>
      </c>
      <c r="U490" t="str">
        <v>DP 828509; displys the famous fight between  Joe Louis and Max Schmeling; reproductions by Schylling and China</v>
      </c>
      <c r="V490" t="str">
        <v>Made in U.S. Zone Germany</v>
      </c>
      <c r="W490" t="str">
        <v>PE010108</v>
      </c>
      <c r="X490" t="str">
        <v>PE010109</v>
      </c>
    </row>
    <row r="491">
      <c r="A491">
        <v>490</v>
      </c>
      <c r="B491" t="str">
        <v>Ball Player</v>
      </c>
      <c r="C491">
        <v>170</v>
      </c>
      <c r="D491" t="str">
        <v>People</v>
      </c>
      <c r="E491" t="str">
        <v>Sports &amp; Leisure</v>
      </c>
      <c r="F491" t="str">
        <v>Football player in a structure that takes the ball to the top to fall down in zig-zag</v>
      </c>
      <c r="G491" t="str">
        <v>Clockwork</v>
      </c>
      <c r="H491" t="str">
        <v>Periodically, the cup where the ball stands shoots it upwards, then it slides down back to the initial position</v>
      </c>
      <c r="I491" t="str">
        <v>Tin</v>
      </c>
      <c r="J491" t="str">
        <v>22x8.5x23.5</v>
      </c>
      <c r="K491" t="str">
        <v>Gely</v>
      </c>
      <c r="L491" t="str">
        <v>Very Good</v>
      </c>
      <c r="M491">
        <v>1930</v>
      </c>
      <c r="N491">
        <v>1939</v>
      </c>
      <c r="S491" t="str">
        <v>360 (2024)</v>
      </c>
      <c r="T491" t="str">
        <v>60 (206) 66 (245)</v>
      </c>
      <c r="U491" t="str">
        <v>DRGM 1163480 (1930); two colour variations: green structure and base, or (ours) yellow and red structure, yellow decorated base</v>
      </c>
      <c r="V491" t="str">
        <v>mechanism slips a little</v>
      </c>
      <c r="W491" t="str">
        <v>PE010110</v>
      </c>
      <c r="X491" t="str">
        <v>PE010111</v>
      </c>
      <c r="Y491" t="str">
        <v>PE010112</v>
      </c>
      <c r="Z491" t="str">
        <v>PE010113</v>
      </c>
    </row>
    <row r="492">
      <c r="A492">
        <v>491</v>
      </c>
      <c r="B492" t="str">
        <v>Soccer Player</v>
      </c>
      <c r="D492" t="str">
        <v>People</v>
      </c>
      <c r="E492" t="str">
        <v>Sports &amp; Leisure</v>
      </c>
      <c r="F492" t="str">
        <v xml:space="preserve">Football player w/ red shirt and green shorts </v>
      </c>
      <c r="G492" t="str">
        <v>Clockwork</v>
      </c>
      <c r="H492" t="str">
        <v>He kicks the ball w/ his left leg/foot</v>
      </c>
      <c r="I492" t="str">
        <v>Tin &amp; plastic</v>
      </c>
      <c r="J492" t="str">
        <v>7x7x14</v>
      </c>
      <c r="K492" t="str">
        <v>JOJA</v>
      </c>
      <c r="L492" t="str">
        <v>Very Good</v>
      </c>
      <c r="M492">
        <v>1960</v>
      </c>
      <c r="N492">
        <v>1969</v>
      </c>
      <c r="O492" t="str">
        <v>Good</v>
      </c>
      <c r="P492">
        <v>160</v>
      </c>
      <c r="Q492">
        <v>40878</v>
      </c>
      <c r="R492" t="str">
        <v>Catawiki</v>
      </c>
      <c r="S492" t="str">
        <v>80 (2025)</v>
      </c>
      <c r="W492" t="str">
        <v>PE010114</v>
      </c>
      <c r="X492" t="str">
        <v>PE010115</v>
      </c>
    </row>
    <row r="493">
      <c r="A493">
        <v>492</v>
      </c>
      <c r="B493" t="str">
        <v>Matsch</v>
      </c>
      <c r="D493" t="str">
        <v>People</v>
      </c>
      <c r="E493" t="str">
        <v>Sports &amp; Leisure</v>
      </c>
      <c r="F493" t="str">
        <v>Football player w/ brown ball w/ clockwork</v>
      </c>
      <c r="G493" t="str">
        <v>Clockwork</v>
      </c>
      <c r="H493" t="str">
        <v>The ball rolls, the player follows it, moves arms</v>
      </c>
      <c r="I493" t="str">
        <v>Tin</v>
      </c>
      <c r="J493" t="str">
        <v>11x9x11</v>
      </c>
      <c r="K493" t="str">
        <v>WUCO</v>
      </c>
      <c r="L493" t="str">
        <v>Very Good</v>
      </c>
      <c r="M493">
        <v>1948</v>
      </c>
      <c r="N493">
        <v>1953</v>
      </c>
      <c r="P493">
        <v>452</v>
      </c>
      <c r="Q493">
        <v>44713</v>
      </c>
      <c r="R493" t="str">
        <v>Catawiki</v>
      </c>
      <c r="S493" t="str">
        <v>300-400 (2025)</v>
      </c>
      <c r="T493" t="str">
        <v>22 (230)46 (282)</v>
      </c>
      <c r="U493" t="str">
        <v>there is a version w/ two players</v>
      </c>
      <c r="V493" t="str">
        <v>made in US Zone Germany</v>
      </c>
      <c r="W493" t="str">
        <v>PE010116</v>
      </c>
      <c r="X493" t="str">
        <v>PE010117</v>
      </c>
      <c r="Y493" t="str">
        <v>PE010118</v>
      </c>
    </row>
    <row r="494">
      <c r="A494">
        <v>493</v>
      </c>
      <c r="B494" t="str">
        <v>Bear Golfer</v>
      </c>
      <c r="D494" t="str">
        <v>Animals</v>
      </c>
      <c r="E494" t="str">
        <v>Sports &amp; Leisure</v>
      </c>
      <c r="F494" t="str">
        <v>Bear playing golf w/net</v>
      </c>
      <c r="G494" t="str">
        <v>Clockwork</v>
      </c>
      <c r="H494" t="str">
        <v>Swings arm and club to hit the ball into the net; ball returns</v>
      </c>
      <c r="I494" t="str">
        <v>Tin</v>
      </c>
      <c r="J494" t="str">
        <v>19x8x10.5</v>
      </c>
      <c r="K494" t="str">
        <v>TPS</v>
      </c>
      <c r="L494" t="str">
        <v>Very Good</v>
      </c>
      <c r="M494">
        <v>1959</v>
      </c>
      <c r="N494">
        <v>1965</v>
      </c>
      <c r="O494" t="str">
        <v>Very Good</v>
      </c>
      <c r="S494" t="str">
        <v>250 (2025)</v>
      </c>
      <c r="T494" t="str">
        <v>51 (51,141)</v>
      </c>
      <c r="U494" t="str">
        <v>Box reads "Shoots a hole-in-one Every Time" and has instructions; toy and box w/ two trademarks: TPS and HIRO (H inside a dog); in some toys, the second trademark is HTC (Hishimo) Pat pend 47113; scarcity 2/5; there is also a "Monkey Golfer", 1960, scarcity 3.5/5 - we have only the animal, ears missing</v>
      </c>
      <c r="V494" t="str">
        <v>net has a hole</v>
      </c>
      <c r="W494" t="str">
        <v>PE010119</v>
      </c>
      <c r="X494" t="str">
        <v>PE010120</v>
      </c>
    </row>
    <row r="495">
      <c r="A495">
        <v>494</v>
      </c>
      <c r="B495" t="str">
        <v>Lucky Monkey Playing Billiards</v>
      </c>
      <c r="C495">
        <v>210</v>
      </c>
      <c r="D495" t="str">
        <v>Animals</v>
      </c>
      <c r="E495" t="str">
        <v>Sports &amp; Leisure</v>
      </c>
      <c r="F495" t="str">
        <v>Monkey playing billiards</v>
      </c>
      <c r="G495" t="str">
        <v>Clockwork</v>
      </c>
      <c r="H495" t="str">
        <v>Lowers head, readies cue twice, then shoots the ball and raises head</v>
      </c>
      <c r="I495" t="str">
        <v>Tin</v>
      </c>
      <c r="J495" t="str">
        <v>16x12x9.5</v>
      </c>
      <c r="K495" t="str">
        <v>TPS</v>
      </c>
      <c r="L495" t="str">
        <v>Excellent</v>
      </c>
      <c r="M495">
        <v>1960</v>
      </c>
      <c r="N495">
        <v>1965</v>
      </c>
      <c r="O495" t="str">
        <v>Very Good</v>
      </c>
      <c r="S495" t="str">
        <v>&gt;200 (2025)</v>
      </c>
      <c r="T495" t="str">
        <v>51 (125)</v>
      </c>
      <c r="U495" t="str">
        <v>Box reads "Rosko Tested"; scarcity 3.5/5</v>
      </c>
      <c r="V495" t="str">
        <v>balls are new (originally comes w/ 2 red and 1 white ball)</v>
      </c>
      <c r="W495" t="str">
        <v>PE010121</v>
      </c>
      <c r="X495" t="str">
        <v>PE010122</v>
      </c>
      <c r="Y495" t="str">
        <v>PE010123</v>
      </c>
    </row>
    <row r="496">
      <c r="A496">
        <v>495</v>
      </c>
      <c r="B496" t="str">
        <v>Mechanical Billiard Table</v>
      </c>
      <c r="D496" t="str">
        <v>People</v>
      </c>
      <c r="E496" t="str">
        <v>Sports &amp; Leisure</v>
      </c>
      <c r="F496" t="str">
        <v>Two players playing billiards</v>
      </c>
      <c r="G496" t="str">
        <v>Clockwork</v>
      </c>
      <c r="H496" t="str">
        <v>Players shoot alternatively twice</v>
      </c>
      <c r="I496" t="str">
        <v>Tin</v>
      </c>
      <c r="J496" t="str">
        <v>35x1314.5</v>
      </c>
      <c r="K496" t="str">
        <v>Ranger Steel</v>
      </c>
      <c r="L496" t="str">
        <v>Good</v>
      </c>
      <c r="M496">
        <v>1935</v>
      </c>
      <c r="N496">
        <v>1945</v>
      </c>
      <c r="R496" t="str">
        <v>USA?</v>
      </c>
      <c r="S496" t="str">
        <v>150-300 (2025)</v>
      </c>
      <c r="U496" t="str">
        <v>Original name "Mechanicus Billiard Table?"; box reads on top :"long running action game powered by a strong clock spring motor", and on sides: "A realistic mechanicalbilliard game - each player automatically shoots 25 to 30 times per winding</v>
      </c>
      <c r="V496" t="str">
        <v xml:space="preserve">balls are new </v>
      </c>
      <c r="W496" t="str">
        <v>PE010124</v>
      </c>
      <c r="X496" t="str">
        <v>PE010125</v>
      </c>
    </row>
    <row r="497">
      <c r="A497">
        <v>496</v>
      </c>
      <c r="B497" t="str">
        <v>The Great Billiard Champion</v>
      </c>
      <c r="D497" t="str">
        <v>People</v>
      </c>
      <c r="E497" t="str">
        <v>Sports &amp; Leisure</v>
      </c>
      <c r="F497" t="str">
        <v>Gentleman playing billiards in a red and yellow table</v>
      </c>
      <c r="G497" t="str">
        <v>Clockwork</v>
      </c>
      <c r="H497" t="str">
        <v>Kicks ball, which falls in one hole and is returned by an elevator to the original position</v>
      </c>
      <c r="J497" t="str">
        <v>15x6.5x11</v>
      </c>
      <c r="K497" t="str">
        <v>Ki.Co.</v>
      </c>
      <c r="L497" t="str">
        <v>Good</v>
      </c>
      <c r="M497">
        <v>1912</v>
      </c>
      <c r="N497">
        <v>1925</v>
      </c>
      <c r="S497" t="str">
        <v>700-750 (2026)</v>
      </c>
      <c r="T497" t="str">
        <v>66 (207)</v>
      </c>
      <c r="U497" t="str">
        <v>DRGM 537716 (1912)</v>
      </c>
      <c r="V497" t="str">
        <v>ball is new; one leg was (poorly) welded</v>
      </c>
      <c r="W497" t="str">
        <v>PE010126</v>
      </c>
      <c r="X497" t="str">
        <v>PE010127</v>
      </c>
      <c r="Y497" t="str">
        <v>PE010128</v>
      </c>
    </row>
    <row r="498">
      <c r="A498">
        <v>497</v>
      </c>
      <c r="B498" t="str">
        <v>Sport Trainer Mystery Shooting Gallery</v>
      </c>
      <c r="C498">
        <v>318</v>
      </c>
      <c r="D498" t="str">
        <v>Games</v>
      </c>
      <c r="E498" t="str">
        <v>Games</v>
      </c>
      <c r="F498" t="str">
        <v>Large base  containg target and pistol</v>
      </c>
      <c r="G498" t="str">
        <v>Other</v>
      </c>
      <c r="H498" t="str">
        <v>The pistol can move verticaly in any direction to be aligned w/ target; upon pressing the trigger, we see a hole punched in the target; targets can be exchanged</v>
      </c>
      <c r="I498" t="str">
        <v>Tin &amp; plastic</v>
      </c>
      <c r="J498" t="str">
        <v>80x14x22.5</v>
      </c>
      <c r="K498" t="str">
        <v>Technofix</v>
      </c>
      <c r="L498" t="str">
        <v>Very Good</v>
      </c>
      <c r="M498">
        <v>1965</v>
      </c>
      <c r="N498">
        <v>1970</v>
      </c>
      <c r="O498" t="str">
        <v>Good</v>
      </c>
      <c r="S498" t="str">
        <v>130-200 (2028) w/ box</v>
      </c>
      <c r="T498" t="str">
        <v>1 (93)</v>
      </c>
      <c r="U498" t="str">
        <v>There is a variant with a "time control" rotating knob</v>
      </c>
      <c r="V498" t="str">
        <v>we have several spare targets</v>
      </c>
      <c r="W498" t="str">
        <v>PE010129</v>
      </c>
      <c r="X498" t="str">
        <v>PE010130</v>
      </c>
      <c r="Y498" t="str">
        <v>PE010131</v>
      </c>
      <c r="Z498" t="str">
        <v>PE010132</v>
      </c>
    </row>
    <row r="499">
      <c r="A499">
        <v>498</v>
      </c>
      <c r="B499" t="str">
        <v>BAGATELLE</v>
      </c>
      <c r="D499" t="str">
        <v>Games</v>
      </c>
      <c r="E499" t="str">
        <v>Games</v>
      </c>
      <c r="F499" t="str">
        <v>Rectangular green "Bagatelle" game</v>
      </c>
      <c r="G499" t="str">
        <v>Other</v>
      </c>
      <c r="H499" t="str">
        <v>Rules  explained in an instructions sheet (not available)</v>
      </c>
      <c r="I499" t="str">
        <v>Tin &amp; Plastic</v>
      </c>
      <c r="J499" t="str">
        <v>23x21x2.5</v>
      </c>
      <c r="K499" t="str">
        <v>Arnold</v>
      </c>
      <c r="L499" t="str">
        <v>Good</v>
      </c>
      <c r="M499">
        <v>1965</v>
      </c>
      <c r="N499">
        <v>1970</v>
      </c>
      <c r="U499" t="str">
        <v>Box reads "the fascinating marble game"; box and instructions in German, English, French and Italian.  Instructions: first sentence (??) A - disc to throw the desired game (?);  top colour - first marble (?); B - Marble transportation to be pushed once - 3 marbles are transported at the same time at the top; C - Telesteering of the 3 coloured partitions: O - do not press - the marble has free run; arrow down - press vertically - the marble runs into the partition;  curvilinear arrow down - press slantingly (obliqually) - the marble is left free</v>
      </c>
      <c r="V499" t="str">
        <v>a U shaped wirestand  to hold the game inclined is missing</v>
      </c>
      <c r="W499" t="str">
        <v>PE010133</v>
      </c>
    </row>
    <row r="500">
      <c r="A500">
        <v>499</v>
      </c>
      <c r="B500" t="str">
        <v>Cragstan Crapshooter</v>
      </c>
      <c r="C500">
        <v>71575</v>
      </c>
      <c r="D500" t="str">
        <v>People</v>
      </c>
      <c r="E500" t="str">
        <v>Games</v>
      </c>
      <c r="F500" t="str">
        <v>Crapshooter throwing dice on a game table</v>
      </c>
      <c r="G500" t="str">
        <v>Battery</v>
      </c>
      <c r="H500" t="str">
        <v>While face has chewing motion and body moves laterally to left and right, left arm shakes showing money, and right arm lowers (and later raises)  to throw dice</v>
      </c>
      <c r="I500" t="str">
        <v>Tin, Vinyl and cloth</v>
      </c>
      <c r="J500" t="str">
        <v>15x14.5x24</v>
      </c>
      <c r="K500" t="str">
        <v>Yonezawa</v>
      </c>
      <c r="L500" t="str">
        <v>Excellent</v>
      </c>
      <c r="M500">
        <v>1960</v>
      </c>
      <c r="N500">
        <v>1969</v>
      </c>
      <c r="O500" t="str">
        <v>Very Good</v>
      </c>
      <c r="S500" t="str">
        <v>200 (2025) w/ box</v>
      </c>
      <c r="T500" t="str">
        <v>17 (57) 35 (53)</v>
      </c>
      <c r="U500" t="str">
        <v>Box and toy have two trademarks: Cragstan and Y in clover; scarcity 1/10; desirability 2/6</v>
      </c>
      <c r="W500" t="str">
        <v>PE010134</v>
      </c>
      <c r="X500" t="str">
        <v>PE010135</v>
      </c>
      <c r="Y500" t="str">
        <v>PE010136</v>
      </c>
    </row>
    <row r="501">
      <c r="A501">
        <v>500</v>
      </c>
      <c r="B501" t="str">
        <v>Football game</v>
      </c>
      <c r="D501" t="str">
        <v>People</v>
      </c>
      <c r="E501" t="str">
        <v>Games</v>
      </c>
      <c r="F501" t="str">
        <v>Football field w/ two teams</v>
      </c>
      <c r="G501" t="str">
        <v>Other</v>
      </c>
      <c r="H501" t="str">
        <v>each play"kicks" the ball upon pressing an individual button</v>
      </c>
      <c r="I501" t="str">
        <v>Tin</v>
      </c>
      <c r="J501" t="str">
        <v>40x24x9</v>
      </c>
      <c r="K501" t="str">
        <v>Albersdorfer &amp; Bergmann</v>
      </c>
      <c r="L501" t="str">
        <v>Very Good</v>
      </c>
      <c r="M501">
        <v>1925</v>
      </c>
      <c r="N501">
        <v>1935</v>
      </c>
      <c r="P501">
        <v>357</v>
      </c>
      <c r="Q501" t="str">
        <v>Feb2022</v>
      </c>
      <c r="R501" t="str">
        <v>Catawiki</v>
      </c>
      <c r="U501" t="str">
        <v>The toy has no marks (and has been attributed to Gely, or unknown), but there is a version with the logo of this manifacturer at one corner of the field</v>
      </c>
      <c r="W501" t="str">
        <v>PE010137</v>
      </c>
      <c r="X501" t="str">
        <v>PE010138</v>
      </c>
      <c r="Y501" t="str">
        <v>PE010139</v>
      </c>
      <c r="Z501" t="str">
        <v>PE010140</v>
      </c>
    </row>
    <row r="502">
      <c r="A502">
        <v>501</v>
      </c>
      <c r="B502" t="str">
        <v>Missile Lauching Tank</v>
      </c>
      <c r="D502" t="str">
        <v>Military vehicles</v>
      </c>
      <c r="E502" t="str">
        <v>Games</v>
      </c>
      <c r="F502" t="str">
        <v>Dark grey tank w/ four missiles and  3 targets</v>
      </c>
      <c r="G502" t="str">
        <v>Friction</v>
      </c>
      <c r="H502" t="str">
        <v>Tank is friction powered and makes clacking sounds; missles are launched  by pressing a sliding lever</v>
      </c>
      <c r="I502" t="str">
        <v>Mostly tin</v>
      </c>
      <c r="J502" t="str">
        <v>15x8x9</v>
      </c>
      <c r="K502" t="str">
        <v>Yonezawa</v>
      </c>
      <c r="L502" t="str">
        <v>Excellent</v>
      </c>
      <c r="M502">
        <v>1965</v>
      </c>
      <c r="N502">
        <v>1970</v>
      </c>
      <c r="O502" t="str">
        <v>Very good; works as scenario</v>
      </c>
      <c r="U502" t="str">
        <v>Box and toy have two trademarks: Tomy and Y in clover, the toy has "M-107". The M107 175 mm self-propelled gun was used by the U.S. Army and U.S. Marine Corps from the early 1960s to the late 1970s. There is a battery remote-control version w/ a larger box.</v>
      </c>
      <c r="V502" t="str">
        <v>We have an extra missile</v>
      </c>
      <c r="W502" t="str">
        <v>PE010141</v>
      </c>
      <c r="X502" t="str">
        <v>PE010142</v>
      </c>
    </row>
    <row r="503">
      <c r="A503">
        <v>502</v>
      </c>
      <c r="B503" t="str">
        <v>Cragstan Crap Shooting Monkey</v>
      </c>
      <c r="C503">
        <v>72568</v>
      </c>
      <c r="D503" t="str">
        <v>Animals</v>
      </c>
      <c r="E503" t="str">
        <v>Games</v>
      </c>
      <c r="F503" t="str">
        <v>Monkey throwing dice from a cup</v>
      </c>
      <c r="G503" t="str">
        <v>Battery</v>
      </c>
      <c r="H503" t="str">
        <v>To start, press cup back; shakes hand and dice, then throws them out of the cup</v>
      </c>
      <c r="I503" t="str">
        <v>Plush, vinyl &amp; tin</v>
      </c>
      <c r="J503" t="str">
        <v>17x15x23</v>
      </c>
      <c r="K503" t="str">
        <v>Alps</v>
      </c>
      <c r="L503" t="str">
        <v>Excellent</v>
      </c>
      <c r="M503">
        <v>1960</v>
      </c>
      <c r="N503">
        <v>1969</v>
      </c>
      <c r="O503" t="str">
        <v>Excellent; small label hung on toy reads: "push dice cup back and I shoot crap"</v>
      </c>
      <c r="S503" t="str">
        <v>120-250 (2026) w/ box</v>
      </c>
      <c r="T503" t="str">
        <v>17 (47) 35 (53)</v>
      </c>
      <c r="U503" t="str">
        <v>Box has two trademarks: Cragstan and Alps; scarcity 3/10; desirability 2/6</v>
      </c>
      <c r="V503" t="str">
        <v>We have the visor</v>
      </c>
      <c r="W503" t="str">
        <v>PE010143</v>
      </c>
      <c r="X503" t="str">
        <v>PE010144</v>
      </c>
      <c r="Y503" t="str">
        <v>PE010145</v>
      </c>
    </row>
    <row r="504">
      <c r="A504">
        <v>503</v>
      </c>
      <c r="B504" t="str">
        <v>Highway Drive</v>
      </c>
      <c r="D504" t="str">
        <v>Tracks /Platform base</v>
      </c>
      <c r="E504" t="str">
        <v>Games</v>
      </c>
      <c r="F504" t="str">
        <v>Track Highway Drive w/ small red car</v>
      </c>
      <c r="G504" t="str">
        <v>Battery</v>
      </c>
      <c r="H504" t="str">
        <v>While the road moves at constant speed, the driver must avoid obstacles</v>
      </c>
      <c r="I504" t="str">
        <v>Mostly Tin</v>
      </c>
      <c r="J504" t="str">
        <v>39x11x8.5</v>
      </c>
      <c r="K504" t="str">
        <v>Nomura</v>
      </c>
      <c r="L504" t="str">
        <v>Excellent</v>
      </c>
      <c r="M504">
        <v>1960</v>
      </c>
      <c r="N504">
        <v>1969</v>
      </c>
      <c r="O504" t="str">
        <v>Good; instructions leaflet</v>
      </c>
      <c r="S504" t="str">
        <v>150-250 (2025) w/ box</v>
      </c>
      <c r="T504" t="str">
        <v>35 (91)</v>
      </c>
      <c r="U504" t="str">
        <v>Toy has TN trademark, box has two: TN and AMICO; scarcity 2/10</v>
      </c>
      <c r="W504" t="str">
        <v>PE010146</v>
      </c>
      <c r="X504" t="str">
        <v>PE010147</v>
      </c>
    </row>
    <row r="505">
      <c r="A505">
        <v>504</v>
      </c>
      <c r="B505" t="str">
        <v>Cross Cuntry Express</v>
      </c>
      <c r="D505" t="str">
        <v>Tracks /Platform base</v>
      </c>
      <c r="E505" t="str">
        <v>Games</v>
      </c>
      <c r="F505" t="str">
        <v>Track  w/ 2 small red cars</v>
      </c>
      <c r="G505" t="str">
        <v>Battery</v>
      </c>
      <c r="H505" t="str">
        <v>While the road moves at constant speed, the driver must avoid obstacles; button with "horn"</v>
      </c>
      <c r="I505" t="str">
        <v>Mostly Tin</v>
      </c>
      <c r="J505" t="str">
        <v>33x11x9</v>
      </c>
      <c r="K505" t="str">
        <v>Sankei</v>
      </c>
      <c r="L505" t="str">
        <v>Very Good</v>
      </c>
      <c r="M505">
        <v>1960</v>
      </c>
      <c r="N505">
        <v>1969</v>
      </c>
      <c r="O505" t="str">
        <v>Very good; instructions leaflet</v>
      </c>
      <c r="S505" t="str">
        <v>200 (2025) w/ box</v>
      </c>
      <c r="T505" t="str">
        <v>35 (57)</v>
      </c>
      <c r="U505" t="str">
        <v>Scarcity 3/10</v>
      </c>
      <c r="W505" t="str">
        <v>PE010148</v>
      </c>
      <c r="X505" t="str">
        <v>PE010149</v>
      </c>
    </row>
    <row r="506">
      <c r="A506">
        <v>505</v>
      </c>
      <c r="B506" t="str">
        <v>Electric Mini-Sport Road-Race</v>
      </c>
      <c r="C506">
        <v>1410</v>
      </c>
      <c r="D506" t="str">
        <v>Tracks /Platform base</v>
      </c>
      <c r="E506" t="str">
        <v>Games</v>
      </c>
      <c r="F506" t="str">
        <v>8-shaped race-track w/ 2 lanes and small plastic racing cars</v>
      </c>
      <c r="G506" t="str">
        <v>Battery</v>
      </c>
      <c r="H506" t="str">
        <v>The speed of each car is individually controlled; the cars are driven by a rotating coil spring</v>
      </c>
      <c r="I506" t="str">
        <v>Tin &amp; plastic</v>
      </c>
      <c r="J506" t="str">
        <v>47x23.5x8</v>
      </c>
      <c r="K506" t="str">
        <v>Biller</v>
      </c>
      <c r="L506" t="str">
        <v>Very Good</v>
      </c>
      <c r="M506">
        <v>1965</v>
      </c>
      <c r="N506">
        <v>1970</v>
      </c>
      <c r="O506" t="str">
        <v>Very good; instructions leaflet</v>
      </c>
      <c r="S506" t="str">
        <v>100-150 (2025) w/ box</v>
      </c>
      <c r="U506" t="str">
        <v>Control panel can be red (ours) or blue; cars can have fifferent colours</v>
      </c>
      <c r="W506" t="str">
        <v>PE010150</v>
      </c>
      <c r="X506" t="str">
        <v>PE010151</v>
      </c>
      <c r="Y506" t="str">
        <v>PE010152</v>
      </c>
    </row>
    <row r="507">
      <c r="A507">
        <v>506</v>
      </c>
      <c r="B507" t="str">
        <v>INDIANAPOLIS</v>
      </c>
      <c r="D507" t="str">
        <v>Tracks /Platform base</v>
      </c>
      <c r="E507" t="str">
        <v>Games</v>
      </c>
      <c r="F507" t="str">
        <v>Small circular track w/ 3 small plastic cars</v>
      </c>
      <c r="G507" t="str">
        <v>Other</v>
      </c>
      <c r="H507" t="str">
        <v>Rotating lever causes the track to vibrate and cars to move</v>
      </c>
      <c r="I507" t="str">
        <v>Tin &amp; plastic</v>
      </c>
      <c r="J507" t="str">
        <v>20x16x3</v>
      </c>
      <c r="K507" t="str">
        <v>Arnold</v>
      </c>
      <c r="L507" t="str">
        <v>Very Good</v>
      </c>
      <c r="M507">
        <v>1965</v>
      </c>
      <c r="N507">
        <v>1970</v>
      </c>
      <c r="W507" t="str">
        <v>PE010153</v>
      </c>
    </row>
    <row r="508">
      <c r="A508">
        <v>507</v>
      </c>
      <c r="B508" t="str">
        <v>FORMULA 1</v>
      </c>
      <c r="D508" t="str">
        <v>Tracks /Platform base</v>
      </c>
      <c r="E508" t="str">
        <v>Games</v>
      </c>
      <c r="F508" t="str">
        <v>Small rectangular game  w/ small F1 car</v>
      </c>
      <c r="G508" t="str">
        <v>Clockwork</v>
      </c>
      <c r="H508" t="str">
        <v>While the road moves, the user must avoid colliding w/ other cars;  there is a point counter that can be set back to zero</v>
      </c>
      <c r="I508" t="str">
        <v>Plastic</v>
      </c>
      <c r="J508" t="str">
        <v>12x7x2</v>
      </c>
      <c r="K508" t="str">
        <v>Geyper</v>
      </c>
      <c r="L508" t="str">
        <v>Excellent</v>
      </c>
      <c r="M508">
        <v>1975</v>
      </c>
      <c r="N508">
        <v>1985</v>
      </c>
      <c r="S508" t="str">
        <v>40-50 (2025)</v>
      </c>
      <c r="W508" t="str">
        <v>PE010154</v>
      </c>
    </row>
    <row r="509">
      <c r="A509">
        <v>508</v>
      </c>
      <c r="B509" t="str">
        <v>King-Pin Jr. Bowling Alley</v>
      </c>
      <c r="C509">
        <v>230</v>
      </c>
      <c r="D509" t="str">
        <v>Tracks /Platform base</v>
      </c>
      <c r="E509" t="str">
        <v>Games</v>
      </c>
      <c r="F509" t="str">
        <v>Bowing alley, w/ pins and player</v>
      </c>
      <c r="G509" t="str">
        <v>Other</v>
      </c>
      <c r="H509" t="str">
        <v>The player can be oriented and his arm will throw the ball</v>
      </c>
      <c r="I509" t="str">
        <v>Tin &amp; wood</v>
      </c>
      <c r="J509" t="str">
        <v>49x11x9.5</v>
      </c>
      <c r="K509" t="str">
        <v>Baldwin</v>
      </c>
      <c r="L509" t="str">
        <v>Excellent</v>
      </c>
      <c r="M509">
        <v>1950</v>
      </c>
      <c r="N509">
        <v>1960</v>
      </c>
      <c r="O509" t="str">
        <v>Poor</v>
      </c>
      <c r="R509" t="str">
        <v>Allentown, USA</v>
      </c>
      <c r="S509" t="str">
        <v>100 (2025)?</v>
      </c>
      <c r="U509" t="str">
        <v>There are reproductions (w/ a different litography of the alley)</v>
      </c>
      <c r="W509" t="str">
        <v>PE010155</v>
      </c>
      <c r="X509" t="str">
        <v>PE010156</v>
      </c>
      <c r="Y509" t="str">
        <v>PE010157</v>
      </c>
    </row>
    <row r="510">
      <c r="A510">
        <v>509</v>
      </c>
      <c r="B510" t="str">
        <v>Public Enemy</v>
      </c>
      <c r="D510" t="str">
        <v>Tracks /Platform base</v>
      </c>
      <c r="E510" t="str">
        <v>Games</v>
      </c>
      <c r="F510" t="str">
        <v>Small plastic vertical bagatelle</v>
      </c>
      <c r="G510" t="str">
        <v>Other</v>
      </c>
      <c r="H510" t="str">
        <v>Pull lever to throw ball</v>
      </c>
      <c r="I510" t="str">
        <v>Plastic</v>
      </c>
      <c r="J510" t="str">
        <v>11x4x10</v>
      </c>
      <c r="K510" t="str">
        <v>Marx</v>
      </c>
      <c r="L510" t="str">
        <v>Very Good</v>
      </c>
      <c r="M510">
        <v>1955</v>
      </c>
      <c r="N510">
        <v>1960</v>
      </c>
      <c r="S510" t="str">
        <v>10-40 (2025)</v>
      </c>
      <c r="U510" t="str">
        <v>Brit. pat 712557</v>
      </c>
      <c r="V510" t="str">
        <v>One support is half-broken</v>
      </c>
      <c r="W510" t="str">
        <v>PE010158</v>
      </c>
    </row>
    <row r="511">
      <c r="A511">
        <v>510</v>
      </c>
      <c r="B511" t="str">
        <v>Pussy with Ball</v>
      </c>
      <c r="C511" t="str">
        <v>51-5145</v>
      </c>
      <c r="D511" t="str">
        <v>Animals</v>
      </c>
      <c r="E511" t="str">
        <v>Animals</v>
      </c>
      <c r="F511" t="str">
        <v>Brown fur cat w/ pink ball</v>
      </c>
      <c r="G511" t="str">
        <v>Clockwork</v>
      </c>
      <c r="H511" t="str">
        <v>moves in circle, tail rotates, so cat tumbles</v>
      </c>
      <c r="I511" t="str">
        <v>Plush &amp; plastic</v>
      </c>
      <c r="J511" t="str">
        <v>14x5x6</v>
      </c>
      <c r="K511" t="str">
        <v>Yonezawa</v>
      </c>
      <c r="L511" t="str">
        <v>Excellent</v>
      </c>
      <c r="M511">
        <v>1970</v>
      </c>
      <c r="N511">
        <v>1980</v>
      </c>
      <c r="O511" t="str">
        <v>Very good, reads "pussy runs and tumbles"</v>
      </c>
      <c r="W511" t="str">
        <v>PE010159</v>
      </c>
      <c r="X511" t="str">
        <v>PE010160</v>
      </c>
    </row>
    <row r="512">
      <c r="A512">
        <v>511</v>
      </c>
      <c r="B512" t="str">
        <v>Puzzle Cat</v>
      </c>
      <c r="D512" t="str">
        <v>Animals</v>
      </c>
      <c r="E512" t="str">
        <v>Animals</v>
      </c>
      <c r="F512" t="str">
        <v>Striped black and brown cat w/ ball</v>
      </c>
      <c r="G512" t="str">
        <v>Clockwork</v>
      </c>
      <c r="H512" t="str">
        <v>moves forward, non-fall actyion by a wheel rotating transversally</v>
      </c>
      <c r="I512" t="str">
        <v>Tin</v>
      </c>
      <c r="J512" t="str">
        <v>14.5x6x9</v>
      </c>
      <c r="K512" t="str">
        <v>Nakayama</v>
      </c>
      <c r="L512" t="str">
        <v>Excellent</v>
      </c>
      <c r="M512">
        <v>1975</v>
      </c>
      <c r="N512">
        <v>1985</v>
      </c>
      <c r="O512" t="str">
        <v>Excellent</v>
      </c>
      <c r="P512">
        <v>15</v>
      </c>
      <c r="R512" t="str">
        <v>Pollock's Museum London</v>
      </c>
      <c r="S512" t="str">
        <v>100 (2026) w/ box</v>
      </c>
      <c r="U512" t="str">
        <v xml:space="preserve">Toy and box have two trademarks: Nakayama and ISHI, as the ST logo </v>
      </c>
      <c r="W512" t="str">
        <v>PE010161</v>
      </c>
      <c r="X512" t="str">
        <v>PE010162</v>
      </c>
    </row>
    <row r="513">
      <c r="A513">
        <v>512</v>
      </c>
      <c r="B513" t="str">
        <v>Monkey the Drummer</v>
      </c>
      <c r="C513" t="str">
        <v>HR-825</v>
      </c>
      <c r="D513" t="str">
        <v>Animals</v>
      </c>
      <c r="E513" t="str">
        <v>Animals</v>
      </c>
      <c r="F513" t="str">
        <v>Indian plush monkey playing drum</v>
      </c>
      <c r="G513" t="str">
        <v>Clockwork</v>
      </c>
      <c r="H513" t="str">
        <v>moves body laterally, while playing the drum</v>
      </c>
      <c r="I513" t="str">
        <v>Tin, plush &amp; plastic</v>
      </c>
      <c r="J513" t="str">
        <v>11x6.5x14</v>
      </c>
      <c r="K513" t="str">
        <v>MTU</v>
      </c>
      <c r="L513" t="str">
        <v>Excellent</v>
      </c>
      <c r="M513">
        <v>1980</v>
      </c>
      <c r="N513">
        <v>1985</v>
      </c>
      <c r="O513" t="str">
        <v>Very Good</v>
      </c>
      <c r="P513">
        <v>3.5</v>
      </c>
      <c r="S513" t="str">
        <v>40 (2025) w/ box</v>
      </c>
      <c r="U513" t="str">
        <v>We have a second toy (new "balls")</v>
      </c>
      <c r="W513" t="str">
        <v>PE010163</v>
      </c>
      <c r="X513" t="str">
        <v>PE010164</v>
      </c>
    </row>
    <row r="514">
      <c r="A514">
        <v>513</v>
      </c>
      <c r="B514" t="str">
        <v>Minic Mouse</v>
      </c>
      <c r="C514">
        <v>3083</v>
      </c>
      <c r="D514" t="str">
        <v>Animals</v>
      </c>
      <c r="E514" t="str">
        <v>Animals</v>
      </c>
      <c r="F514" t="str">
        <v>Grey plastic mouse</v>
      </c>
      <c r="G514" t="str">
        <v>Clockwork</v>
      </c>
      <c r="H514" t="str">
        <v>Moves forward while vibrating</v>
      </c>
      <c r="I514" t="str">
        <v>Plastic</v>
      </c>
      <c r="J514" t="str">
        <v>9x3.5x4</v>
      </c>
      <c r="K514" t="str">
        <v>Triang Minic</v>
      </c>
      <c r="L514" t="str">
        <v>Very Good</v>
      </c>
      <c r="M514">
        <v>1955</v>
      </c>
      <c r="N514">
        <v>1959</v>
      </c>
      <c r="O514" t="str">
        <v>Very Good; box reads " A realistic clockwork that wanders in all directions"</v>
      </c>
      <c r="T514" t="str">
        <v>111 (118)</v>
      </c>
      <c r="U514" t="str">
        <v>Catalogue says:" he scampers here, there and everywhere"</v>
      </c>
      <c r="V514" t="str">
        <v>Tail is new</v>
      </c>
      <c r="W514" t="str">
        <v>PE010165</v>
      </c>
      <c r="X514" t="str">
        <v>PE010166</v>
      </c>
      <c r="Y514" t="str">
        <v>PE010167</v>
      </c>
    </row>
    <row r="515">
      <c r="A515">
        <v>514</v>
      </c>
      <c r="B515" t="str">
        <v>Rolling Mouse</v>
      </c>
      <c r="D515" t="str">
        <v>Animals</v>
      </c>
      <c r="E515" t="str">
        <v>Animals</v>
      </c>
      <c r="F515" t="str">
        <v>Grey tin (velvet covered) mouse</v>
      </c>
      <c r="G515" t="str">
        <v>Clockwork</v>
      </c>
      <c r="H515" t="str">
        <v>Moves around</v>
      </c>
      <c r="I515" t="str">
        <v>Tin</v>
      </c>
      <c r="J515" t="str">
        <v>9x3.5x3.5</v>
      </c>
      <c r="K515" t="str">
        <v>Schuco</v>
      </c>
      <c r="L515" t="str">
        <v>Good</v>
      </c>
      <c r="M515">
        <v>1930</v>
      </c>
      <c r="N515">
        <v>1940</v>
      </c>
      <c r="S515" t="str">
        <v>120 (2025)</v>
      </c>
      <c r="T515" t="str">
        <v>92 (89)</v>
      </c>
      <c r="V515" t="str">
        <v>Tail is new</v>
      </c>
      <c r="W515" t="str">
        <v>PE010168</v>
      </c>
      <c r="X515" t="str">
        <v>PE010166</v>
      </c>
      <c r="Y515" t="str">
        <v>PE010167</v>
      </c>
    </row>
    <row r="516">
      <c r="A516">
        <v>515</v>
      </c>
      <c r="B516" t="str">
        <v>Walking Bear</v>
      </c>
      <c r="D516" t="str">
        <v>Animals</v>
      </c>
      <c r="E516" t="str">
        <v>Animals</v>
      </c>
      <c r="F516" t="str">
        <v>Small dark grey plush bear</v>
      </c>
      <c r="G516" t="str">
        <v>Clockwork</v>
      </c>
      <c r="H516" t="str">
        <v>Walks on four legs</v>
      </c>
      <c r="I516" t="str">
        <v>Plush</v>
      </c>
      <c r="J516" t="str">
        <v>12x5.5x7</v>
      </c>
      <c r="K516" t="str">
        <v>Modern Toys</v>
      </c>
      <c r="L516" t="str">
        <v>Very Good</v>
      </c>
      <c r="M516">
        <v>1945</v>
      </c>
      <c r="N516">
        <v>1954</v>
      </c>
      <c r="O516" t="str">
        <v>Excellent</v>
      </c>
      <c r="S516" t="str">
        <v>70 (2025)</v>
      </c>
      <c r="U516" t="str">
        <v>Similar bears are represented in 126</v>
      </c>
      <c r="V516" t="str">
        <v>Tail missing (?); made in Occupied Japan</v>
      </c>
      <c r="W516" t="str">
        <v>PE010169</v>
      </c>
      <c r="X516" t="str">
        <v>PE010170</v>
      </c>
      <c r="Y516" t="str">
        <v>PE010171</v>
      </c>
    </row>
    <row r="517">
      <c r="A517">
        <v>516</v>
      </c>
      <c r="B517" t="str">
        <v>Walking Cat</v>
      </c>
      <c r="C517">
        <v>1923</v>
      </c>
      <c r="D517" t="str">
        <v>Animals</v>
      </c>
      <c r="E517" t="str">
        <v>Animals</v>
      </c>
      <c r="F517" t="str">
        <v>Plush cat w/ basket shaped control</v>
      </c>
      <c r="G517" t="str">
        <v>Battery</v>
      </c>
      <c r="H517" t="str">
        <v>Walks on four legs, lights eyes, nods head, opens mouth and "meows"</v>
      </c>
      <c r="I517" t="str">
        <v>Plush &amp; tin</v>
      </c>
      <c r="J517" t="str">
        <v>16x6x17</v>
      </c>
      <c r="K517" t="str">
        <v>Susuki &amp; Eduards</v>
      </c>
      <c r="L517" t="str">
        <v>Excellent</v>
      </c>
      <c r="M517">
        <v>1955</v>
      </c>
      <c r="N517">
        <v>1960</v>
      </c>
      <c r="O517" t="str">
        <v>Reasonable; reads "With lighted eyes nodding head and voice"</v>
      </c>
      <c r="T517" t="str">
        <v>35 (201)</v>
      </c>
      <c r="U517" t="str">
        <v>Some boxes have Linemar trademark; scarcity 4/10</v>
      </c>
      <c r="W517" t="str">
        <v>PE010172</v>
      </c>
      <c r="X517" t="str">
        <v>PE010173</v>
      </c>
    </row>
    <row r="518">
      <c r="A518">
        <v>517</v>
      </c>
      <c r="B518" t="str">
        <v>Walking Dog</v>
      </c>
      <c r="C518" t="str">
        <v>J1705</v>
      </c>
      <c r="D518" t="str">
        <v>Animals</v>
      </c>
      <c r="E518" t="str">
        <v>Animals</v>
      </c>
      <c r="F518" t="str">
        <v>Plush dogw/ basket shaped control</v>
      </c>
      <c r="G518" t="str">
        <v>Battery</v>
      </c>
      <c r="H518" t="str">
        <v>Walks on four legs, lights eyes, nods head, opens mouth and "barks"</v>
      </c>
      <c r="I518" t="str">
        <v>Plush &amp; tin</v>
      </c>
      <c r="J518" t="str">
        <v>17x7x16</v>
      </c>
      <c r="K518" t="str">
        <v>Linemar</v>
      </c>
      <c r="L518" t="str">
        <v>Very Good</v>
      </c>
      <c r="M518">
        <v>1955</v>
      </c>
      <c r="N518">
        <v>1960</v>
      </c>
      <c r="O518" t="str">
        <v>Reasonable; reads "With lighted eyes nodding head wagging tail and voice"</v>
      </c>
      <c r="T518" t="str">
        <v>35 (201)</v>
      </c>
      <c r="U518" t="str">
        <v>Scarcity 6/10</v>
      </c>
      <c r="W518" t="str">
        <v>PE010174</v>
      </c>
      <c r="X518" t="str">
        <v>PE010175</v>
      </c>
      <c r="Y518" t="str">
        <v>PE010176</v>
      </c>
    </row>
    <row r="519">
      <c r="A519">
        <v>518</v>
      </c>
      <c r="B519" t="str">
        <v>Gluck+Glack or Wonder Duck</v>
      </c>
      <c r="D519" t="str">
        <v>Animals</v>
      </c>
      <c r="E519" t="str">
        <v>Animals</v>
      </c>
      <c r="F519" t="str">
        <v>White long neck bird w/ yellow feather</v>
      </c>
      <c r="G519" t="str">
        <v>Other</v>
      </c>
      <c r="H519" t="str">
        <v>works w/ a glass of water at room temperature; immerse head of bird, and from then on, the bird raises head and drinks again, repeating this movement</v>
      </c>
      <c r="I519" t="str">
        <v>Tin &amp; plastic</v>
      </c>
      <c r="J519" t="str">
        <v>5x5x19</v>
      </c>
      <c r="K519" t="str">
        <v>Arnold</v>
      </c>
      <c r="L519" t="str">
        <v>Excellent</v>
      </c>
      <c r="M519">
        <v>1948</v>
      </c>
      <c r="N519">
        <v>1955</v>
      </c>
      <c r="O519" t="str">
        <v>Very Good, w/ instructions, has patents in several countries</v>
      </c>
      <c r="P519">
        <v>168</v>
      </c>
      <c r="Q519" t="str">
        <v>Mars/2019</v>
      </c>
      <c r="S519" t="str">
        <v>200 (2925) w/ box</v>
      </c>
      <c r="T519" t="str">
        <v>10 (209) 46 (31)</v>
      </c>
      <c r="U519" t="str">
        <v>Available in several colour variations; The toy consists of two glass bulbs connected by a tube. The Head: Covered in a fuzzy, felt-like material that absorbs water.The Body/Tail: A larger bulb at the bottom. The Fluid: A volatile liquid, typically methylene chloride, which evaporates and condenses very easily at room temperature. How the Cycle Works: 1. Evaporation &amp; Cooling: You start the process by wetting the bird's head. As water evaporates from the felt, it cools the glass head. 2. Condensation &amp; Pressure Drop: The cooling causes the methylene chloride vapor inside the head to condense back into a liquid. This condensation creates a partial vacuum (lower pressure) in the head. 3. Liquid Rise: Because the pressure in the bottom bulb is now higher than the pressure in the head, the liquid is pushed up the neck tube toward the head. 4. The Tip: As the head fills with liquid, the bird's center of gravity shifts forward.</v>
      </c>
      <c r="V519" t="str">
        <v>Made in U.S. Zone Germany</v>
      </c>
      <c r="W519" t="str">
        <v>PE010177</v>
      </c>
      <c r="X519" t="str">
        <v>PE010178</v>
      </c>
      <c r="Y519" t="str">
        <v>PE010179</v>
      </c>
    </row>
    <row r="520">
      <c r="A520">
        <v>519</v>
      </c>
      <c r="B520" t="str">
        <v>Drinking Happy Bird</v>
      </c>
      <c r="D520" t="str">
        <v>Animals</v>
      </c>
      <c r="E520" t="str">
        <v>Animals</v>
      </c>
      <c r="F520" t="str">
        <v>Transparent long beck bird w/ hat</v>
      </c>
      <c r="G520" t="str">
        <v>Other</v>
      </c>
      <c r="H520" t="str">
        <v>works w/ a glass of water at room temperature; immerse head of bird, and from then on, the bird raises head and drinks again, repeating this movement</v>
      </c>
      <c r="I520" t="str">
        <v>Plastic</v>
      </c>
      <c r="J520" t="str">
        <v>5x5x18</v>
      </c>
      <c r="L520" t="str">
        <v>Excellent</v>
      </c>
      <c r="M520">
        <v>2000</v>
      </c>
      <c r="N520">
        <v>2020</v>
      </c>
      <c r="O520" t="str">
        <v>Excellent, w/ instructions</v>
      </c>
      <c r="P520">
        <v>17</v>
      </c>
      <c r="S520" t="str">
        <v>15-20 (2026) w/ box</v>
      </c>
      <c r="U520" t="str">
        <v>Made by ARORA (Taiwan), no. 680; also ,made in black; see toy no. 519 for the working principle</v>
      </c>
      <c r="W520" t="str">
        <v>PE010180</v>
      </c>
      <c r="X520" t="str">
        <v>PE010179</v>
      </c>
    </row>
    <row r="521">
      <c r="A521">
        <v>520</v>
      </c>
      <c r="B521" t="str">
        <v>Go Go! Rabbit</v>
      </c>
      <c r="D521" t="str">
        <v>Animals</v>
      </c>
      <c r="E521" t="str">
        <v>Animals</v>
      </c>
      <c r="F521" t="str">
        <v>Standing Rabbit w/ pink plastic head</v>
      </c>
      <c r="G521" t="str">
        <v>Friction</v>
      </c>
      <c r="H521" t="str">
        <v>When laying down, pushing the rabbit horizontally, friction motor accumulates energy; standing up, it walks on two legs</v>
      </c>
      <c r="I521" t="str">
        <v>Tin &amp; plastic</v>
      </c>
      <c r="J521" t="str">
        <v>6x8.5x18</v>
      </c>
      <c r="K521" t="str">
        <v>Horikawa</v>
      </c>
      <c r="L521" t="str">
        <v>Very Good</v>
      </c>
      <c r="M521">
        <v>1965</v>
      </c>
      <c r="N521">
        <v>1969</v>
      </c>
      <c r="O521" t="str">
        <v>Excellent, w/ quality tag</v>
      </c>
      <c r="S521" t="str">
        <v>140-160 (2025) w/ box</v>
      </c>
      <c r="W521" t="str">
        <v>PE010181</v>
      </c>
      <c r="X521" t="str">
        <v>PE010182</v>
      </c>
    </row>
    <row r="522">
      <c r="A522">
        <v>521</v>
      </c>
      <c r="B522" t="str">
        <v>Musical Monkey with Cymbal and Drum</v>
      </c>
      <c r="C522">
        <v>615</v>
      </c>
      <c r="D522" t="str">
        <v>Animals</v>
      </c>
      <c r="E522" t="str">
        <v>Animals</v>
      </c>
      <c r="F522" t="str">
        <v>Standing plush monkey playing cymbals and drum</v>
      </c>
      <c r="G522" t="str">
        <v>Clockwork</v>
      </c>
      <c r="H522" t="str">
        <v>Left arm plays cymbal, right arm plays drum</v>
      </c>
      <c r="I522" t="str">
        <v>Plush  &amp; tin</v>
      </c>
      <c r="J522" t="str">
        <v>10x8x22</v>
      </c>
      <c r="K522" t="str">
        <v>Fuji</v>
      </c>
      <c r="L522" t="str">
        <v>Excellent</v>
      </c>
      <c r="M522">
        <v>1971</v>
      </c>
      <c r="N522">
        <v>1980</v>
      </c>
      <c r="O522" t="str">
        <v>Excellent</v>
      </c>
      <c r="S522" t="str">
        <v>30-50 (2025) w/ box</v>
      </c>
      <c r="U522" t="str">
        <v>Box has ST logo; is frequently dated from the 50s…</v>
      </c>
      <c r="W522" t="str">
        <v>PE010183</v>
      </c>
      <c r="X522" t="str">
        <v>PE010184</v>
      </c>
    </row>
    <row r="523">
      <c r="A523">
        <v>522</v>
      </c>
      <c r="B523" t="str">
        <v>Woofy the Airfix Performing Sea-Lion</v>
      </c>
      <c r="C523">
        <v>482</v>
      </c>
      <c r="D523" t="str">
        <v>Animals</v>
      </c>
      <c r="E523" t="str">
        <v>Animals</v>
      </c>
      <c r="F523" t="str">
        <v>White plastic Sea-Lion</v>
      </c>
      <c r="G523" t="str">
        <v>Other</v>
      </c>
      <c r="H523" t="str">
        <v>Pulling the toy flaps front legs and ball rotates</v>
      </c>
      <c r="I523" t="str">
        <v>Plastic</v>
      </c>
      <c r="J523" t="str">
        <v>8x8x8</v>
      </c>
      <c r="K523" t="str">
        <v>Airfix</v>
      </c>
      <c r="L523" t="str">
        <v>Excellent</v>
      </c>
      <c r="M523">
        <v>1960</v>
      </c>
      <c r="N523">
        <v>1965</v>
      </c>
      <c r="O523" t="str">
        <v>Very Good</v>
      </c>
      <c r="W523" t="str">
        <v>PE010185</v>
      </c>
      <c r="X523" t="str">
        <v>PE010186</v>
      </c>
    </row>
    <row r="524">
      <c r="A524">
        <v>523</v>
      </c>
      <c r="B524" t="str">
        <v>PEPI Tumbling Monkey with Cymbal</v>
      </c>
      <c r="C524" t="str">
        <v>no.3/2898</v>
      </c>
      <c r="D524" t="str">
        <v>Animals</v>
      </c>
      <c r="E524" t="str">
        <v>Animals</v>
      </c>
      <c r="F524" t="str">
        <v>Large sitted plush monkey w/ cymbal and red bonnet</v>
      </c>
      <c r="G524" t="str">
        <v>Battery</v>
      </c>
      <c r="H524" t="str">
        <v>Plays cymbal and sommersaults backward</v>
      </c>
      <c r="I524" t="str">
        <v>Plush, vinyl and tin</v>
      </c>
      <c r="J524" t="str">
        <v>20x16x22</v>
      </c>
      <c r="K524" t="str">
        <v xml:space="preserve">Yano Man </v>
      </c>
      <c r="L524" t="str">
        <v>Excellent</v>
      </c>
      <c r="M524">
        <v>1965</v>
      </c>
      <c r="N524">
        <v>1970</v>
      </c>
      <c r="O524" t="str">
        <v>Very Good</v>
      </c>
      <c r="S524" t="str">
        <v>70-100 (2025) w/ box</v>
      </c>
      <c r="T524" t="str">
        <v>35 (133)</v>
      </c>
      <c r="U524" t="str">
        <v>Box has also  "ILLFELDER TOY" (distributor, NY); a different box for the Japanes market; scarcity 2/10</v>
      </c>
      <c r="W524" t="str">
        <v>PE010187</v>
      </c>
    </row>
    <row r="525">
      <c r="A525">
        <v>524</v>
      </c>
      <c r="B525" t="str">
        <v>Musical Panda</v>
      </c>
      <c r="C525">
        <v>767</v>
      </c>
      <c r="D525" t="str">
        <v>Animals</v>
      </c>
      <c r="E525" t="str">
        <v>Animals</v>
      </c>
      <c r="F525" t="str">
        <v>Plush panda w/ yellow and red maracas</v>
      </c>
      <c r="G525" t="str">
        <v>Clockwork</v>
      </c>
      <c r="H525" t="str">
        <v>Plays maracas while body waves laterally</v>
      </c>
      <c r="I525" t="str">
        <v>Plush, plastic &amp; tin</v>
      </c>
      <c r="J525" t="str">
        <v>8x9x15.5</v>
      </c>
      <c r="K525" t="str">
        <v xml:space="preserve">Yano Man </v>
      </c>
      <c r="L525" t="str">
        <v>Excellent</v>
      </c>
      <c r="M525">
        <v>1971</v>
      </c>
      <c r="N525">
        <v>1979</v>
      </c>
      <c r="O525" t="str">
        <v>Very Good</v>
      </c>
      <c r="U525" t="str">
        <v>Box has ST logo</v>
      </c>
      <c r="W525" t="str">
        <v>PE010188</v>
      </c>
    </row>
    <row r="526">
      <c r="A526">
        <v>525</v>
      </c>
      <c r="B526" t="str">
        <v>Mee Too</v>
      </c>
      <c r="C526">
        <v>1033</v>
      </c>
      <c r="D526" t="str">
        <v>Games</v>
      </c>
      <c r="E526" t="str">
        <v>Games</v>
      </c>
      <c r="F526" t="str">
        <v>Large black disk w/ coloured buttons</v>
      </c>
      <c r="G526" t="str">
        <v>Battery</v>
      </c>
      <c r="H526" t="str">
        <v>Plays 4 games w/ lights, sound &amp; music</v>
      </c>
      <c r="I526" t="str">
        <v>Plastic</v>
      </c>
      <c r="J526" t="str">
        <v>26x26x7</v>
      </c>
      <c r="L526" t="str">
        <v>Excellent</v>
      </c>
      <c r="M526">
        <v>1980</v>
      </c>
      <c r="N526">
        <v>1985</v>
      </c>
      <c r="O526" t="str">
        <v>Very Good</v>
      </c>
      <c r="S526" t="str">
        <v>30-50 (2025) w/ box</v>
      </c>
      <c r="U526" t="str">
        <v>Made by Talbot Electronics (Hong Kong), 1980; descrption of the toy in box, instructions on the bottom of the toy; there is a similar toy called "Match me" made by Kingsford Ltd, 1979, and  another called "Encore" by Toytronic, 1979</v>
      </c>
      <c r="W526" t="str">
        <v>PE010189</v>
      </c>
    </row>
    <row r="527">
      <c r="A527">
        <v>526</v>
      </c>
      <c r="B527" t="str">
        <v>Willoughby Cartooner</v>
      </c>
      <c r="C527">
        <v>4850</v>
      </c>
      <c r="D527" t="str">
        <v>Games</v>
      </c>
      <c r="E527" t="str">
        <v>Games</v>
      </c>
      <c r="F527" t="str">
        <v>Large drawing pad  w/ tin man</v>
      </c>
      <c r="G527" t="str">
        <v>Other</v>
      </c>
      <c r="H527" t="str">
        <v>A parallelogram mechanism amplifies the contour of the small cartoon made by the hand of the figure, which is drawn bigger on the note pad</v>
      </c>
      <c r="I527" t="str">
        <v>Tin</v>
      </c>
      <c r="J527" t="str">
        <v>35x23x3</v>
      </c>
      <c r="K527" t="str">
        <v>METTOY</v>
      </c>
      <c r="L527" t="str">
        <v>Very Good</v>
      </c>
      <c r="M527">
        <v>1954</v>
      </c>
      <c r="N527">
        <v>1959</v>
      </c>
      <c r="O527" t="str">
        <v>Good</v>
      </c>
      <c r="U527" t="str">
        <v>Rolf Harris (30 March 1930 – 10 May 2023) was an Australian musician, television personality, painter, and actor. In 1954, Harris was a regular on BBC Television programme Whirligig, which featured a character called "Willoughby", who sprang to life on a drawing board, but was erased at the end of each episode. He was convicted in England in 2014 of the sexual assault of four underage girls, which effectively ended his career</v>
      </c>
      <c r="V527" t="str">
        <v>Cartoons missing(?)</v>
      </c>
      <c r="W527" t="str">
        <v>PE010190</v>
      </c>
    </row>
    <row r="528">
      <c r="A528">
        <v>527</v>
      </c>
      <c r="B528" t="str">
        <v>Duck Clothed</v>
      </c>
      <c r="C528">
        <v>536</v>
      </c>
      <c r="D528" t="str">
        <v>Animals</v>
      </c>
      <c r="E528" t="str">
        <v>Animals</v>
      </c>
      <c r="F528" t="str">
        <v>Duck w/ green clothes</v>
      </c>
      <c r="G528" t="str">
        <v>Clockwork</v>
      </c>
      <c r="H528" t="str">
        <v>Moves foward while flapping wings, raises body</v>
      </c>
      <c r="I528" t="str">
        <v>Plush &amp; plastic</v>
      </c>
      <c r="J528" t="str">
        <v>12x12x12.5</v>
      </c>
      <c r="K528" t="str">
        <v>Carl</v>
      </c>
      <c r="L528" t="str">
        <v>Good</v>
      </c>
      <c r="M528">
        <v>1965</v>
      </c>
      <c r="N528">
        <v>1969</v>
      </c>
      <c r="S528" t="str">
        <v>30 (2025)</v>
      </c>
      <c r="T528" t="str">
        <v>2 (63)</v>
      </c>
      <c r="W528" t="str">
        <v>PE010191</v>
      </c>
    </row>
    <row r="529">
      <c r="A529">
        <v>528</v>
      </c>
      <c r="B529" t="str">
        <v>Running Dog with Voice</v>
      </c>
      <c r="C529">
        <v>589</v>
      </c>
      <c r="D529" t="str">
        <v>Animals</v>
      </c>
      <c r="E529" t="str">
        <v>Animals</v>
      </c>
      <c r="F529" t="str">
        <v>Light brown plush dog</v>
      </c>
      <c r="G529" t="str">
        <v>Clockwork</v>
      </c>
      <c r="H529" t="str">
        <v>Walks on 4 legs, and "barks"</v>
      </c>
      <c r="I529" t="str">
        <v>Plush</v>
      </c>
      <c r="J529" t="str">
        <v>15x10.5x14</v>
      </c>
      <c r="K529" t="str">
        <v>Carl</v>
      </c>
      <c r="L529" t="str">
        <v>Good</v>
      </c>
      <c r="M529">
        <v>1965</v>
      </c>
      <c r="N529">
        <v>1969</v>
      </c>
      <c r="S529" t="str">
        <v>55 (2025)</v>
      </c>
      <c r="T529" t="str">
        <v>2 (79)</v>
      </c>
      <c r="V529" t="str">
        <v>Green scarf is missing</v>
      </c>
      <c r="W529" t="str">
        <v>PE010191</v>
      </c>
    </row>
    <row r="530">
      <c r="A530">
        <v>529</v>
      </c>
      <c r="B530" t="str">
        <v>Eva</v>
      </c>
      <c r="C530">
        <v>921</v>
      </c>
      <c r="D530" t="str">
        <v>Animals</v>
      </c>
      <c r="E530" t="str">
        <v>Animals</v>
      </c>
      <c r="F530" t="str">
        <v>Red ladybug w/ yellow dots</v>
      </c>
      <c r="G530" t="str">
        <v>Friction</v>
      </c>
      <c r="H530" t="str">
        <v>Moves forward</v>
      </c>
      <c r="I530" t="str">
        <v>Tin &amp; plastic</v>
      </c>
      <c r="J530" t="str">
        <v>8x7.5x9</v>
      </c>
      <c r="K530" t="str">
        <v>Lehmann</v>
      </c>
      <c r="L530" t="str">
        <v>Excellent</v>
      </c>
      <c r="M530">
        <v>1959</v>
      </c>
      <c r="N530">
        <v>1978</v>
      </c>
      <c r="S530" t="str">
        <v>25 (2025)</v>
      </c>
      <c r="T530" t="str">
        <v>22 (298)  59 (209)</v>
      </c>
      <c r="W530" t="str">
        <v>PE010192</v>
      </c>
    </row>
    <row r="531">
      <c r="A531">
        <v>530</v>
      </c>
      <c r="B531" t="str">
        <v>LOLA</v>
      </c>
      <c r="C531">
        <v>942</v>
      </c>
      <c r="D531" t="str">
        <v>Animals</v>
      </c>
      <c r="E531" t="str">
        <v>Animals</v>
      </c>
      <c r="F531" t="str">
        <v>Small orange and blue bird</v>
      </c>
      <c r="G531" t="str">
        <v>Clockwork</v>
      </c>
      <c r="H531" t="str">
        <v>Jumps moving forward</v>
      </c>
      <c r="I531" t="str">
        <v>Tin &amp; plastic</v>
      </c>
      <c r="J531" t="str">
        <v>8x4x5.5</v>
      </c>
      <c r="K531" t="str">
        <v>Lehmann</v>
      </c>
      <c r="L531" t="str">
        <v>Excellent</v>
      </c>
      <c r="M531">
        <v>1968</v>
      </c>
      <c r="N531">
        <v>1989</v>
      </c>
      <c r="O531" t="str">
        <v>Very Good</v>
      </c>
      <c r="S531" t="str">
        <v>70-90 (2025)</v>
      </c>
      <c r="T531" t="str">
        <v>22 (288, 298) 59 (210)</v>
      </c>
      <c r="U531" t="str">
        <v>There is a similar japanese toy? (116 (no.30))</v>
      </c>
      <c r="W531" t="str">
        <v>PE010193</v>
      </c>
    </row>
    <row r="532">
      <c r="A532">
        <v>531</v>
      </c>
      <c r="B532" t="str">
        <v>LULI</v>
      </c>
      <c r="C532">
        <v>943</v>
      </c>
      <c r="D532" t="str">
        <v>Animals</v>
      </c>
      <c r="E532" t="str">
        <v>Animals</v>
      </c>
      <c r="F532" t="str">
        <v>Light grey bird</v>
      </c>
      <c r="G532" t="str">
        <v>Clockwork</v>
      </c>
      <c r="H532" t="str">
        <v>Jumps moving forward</v>
      </c>
      <c r="I532" t="str">
        <v>Tin &amp; plastic</v>
      </c>
      <c r="J532" t="str">
        <v>8x4x5.5</v>
      </c>
      <c r="K532" t="str">
        <v>Lehmann</v>
      </c>
      <c r="L532" t="str">
        <v>Excellent</v>
      </c>
      <c r="M532">
        <v>1968</v>
      </c>
      <c r="N532">
        <v>1989</v>
      </c>
      <c r="S532" t="str">
        <v>70-90 (2025)</v>
      </c>
      <c r="T532" t="str">
        <v>22 (288, 298)  59 (210)</v>
      </c>
      <c r="U532" t="str">
        <v>There is a similar japanese toy? (116 (no.31))</v>
      </c>
      <c r="W532" t="str">
        <v>PE010193</v>
      </c>
    </row>
    <row r="533">
      <c r="A533">
        <v>532</v>
      </c>
      <c r="B533" t="str">
        <v>Luna</v>
      </c>
      <c r="C533">
        <v>913</v>
      </c>
      <c r="D533" t="str">
        <v>Animals</v>
      </c>
      <c r="E533" t="str">
        <v>Animals</v>
      </c>
      <c r="F533" t="str">
        <v>Yellow ladybug with red dots</v>
      </c>
      <c r="G533" t="str">
        <v>Friction</v>
      </c>
      <c r="H533" t="str">
        <v>Moves forward</v>
      </c>
      <c r="I533" t="str">
        <v>Tin &amp; plastic</v>
      </c>
      <c r="J533" t="str">
        <v>5.5x5x3.5</v>
      </c>
      <c r="K533" t="str">
        <v>Lehmann</v>
      </c>
      <c r="L533" t="str">
        <v>Reasonable</v>
      </c>
      <c r="M533">
        <v>1956</v>
      </c>
      <c r="N533">
        <v>1978</v>
      </c>
      <c r="S533" t="str">
        <v>25 (2025)</v>
      </c>
      <c r="T533" t="str">
        <v>22 (298) 59 (208)</v>
      </c>
      <c r="W533" t="str">
        <v>PE010192</v>
      </c>
    </row>
    <row r="534">
      <c r="A534">
        <v>533</v>
      </c>
      <c r="B534" t="str">
        <v>BIBI</v>
      </c>
      <c r="C534">
        <v>922</v>
      </c>
      <c r="D534" t="str">
        <v>Animals</v>
      </c>
      <c r="E534" t="str">
        <v>Animals</v>
      </c>
      <c r="F534" t="str">
        <v>Brown plastic dog</v>
      </c>
      <c r="G534" t="str">
        <v>Friction</v>
      </c>
      <c r="H534" t="str">
        <v>Moves forward</v>
      </c>
      <c r="I534" t="str">
        <v>Plastic</v>
      </c>
      <c r="J534" t="str">
        <v>14x4.5x7</v>
      </c>
      <c r="K534" t="str">
        <v>Lehmann</v>
      </c>
      <c r="L534" t="str">
        <v>Excellent</v>
      </c>
      <c r="M534">
        <v>1960</v>
      </c>
      <c r="N534">
        <v>1989</v>
      </c>
      <c r="S534" t="str">
        <v>15 (2025)</v>
      </c>
      <c r="T534" t="str">
        <v>22 (298) 59 (209)</v>
      </c>
      <c r="W534" t="str">
        <v>PE010194</v>
      </c>
    </row>
    <row r="535">
      <c r="A535">
        <v>534</v>
      </c>
      <c r="B535" t="str">
        <v>LILI</v>
      </c>
      <c r="C535">
        <v>901</v>
      </c>
      <c r="D535" t="str">
        <v>Animals</v>
      </c>
      <c r="E535" t="str">
        <v>Animals</v>
      </c>
      <c r="F535" t="str">
        <v>Red ladybug with black dots</v>
      </c>
      <c r="G535" t="str">
        <v>Friction</v>
      </c>
      <c r="H535" t="str">
        <v>Moves forward</v>
      </c>
      <c r="I535" t="str">
        <v>Mostly tin</v>
      </c>
      <c r="J535" t="str">
        <v>5.5x5x3.5</v>
      </c>
      <c r="K535" t="str">
        <v>Lehmann</v>
      </c>
      <c r="L535" t="str">
        <v>Very Good</v>
      </c>
      <c r="M535">
        <v>1955</v>
      </c>
      <c r="N535">
        <v>1981</v>
      </c>
      <c r="S535" t="str">
        <v>10 (2025)</v>
      </c>
      <c r="T535" t="str">
        <v>22 (298) 59 (207)</v>
      </c>
      <c r="W535" t="str">
        <v>PE010192</v>
      </c>
    </row>
    <row r="536">
      <c r="A536">
        <v>535</v>
      </c>
      <c r="B536" t="str">
        <v>Pick Bird</v>
      </c>
      <c r="D536" t="str">
        <v>Animals</v>
      </c>
      <c r="E536" t="str">
        <v>Animals</v>
      </c>
      <c r="F536" t="str">
        <v>Yellow bird w/ green head</v>
      </c>
      <c r="G536" t="str">
        <v>Clockwork</v>
      </c>
      <c r="H536" t="str">
        <v>Jumps moving forward</v>
      </c>
      <c r="I536" t="str">
        <v>Tin</v>
      </c>
      <c r="J536" t="str">
        <v>9x3x4.5</v>
      </c>
      <c r="K536" t="str">
        <v>Kohler</v>
      </c>
      <c r="L536" t="str">
        <v>Very Good</v>
      </c>
      <c r="M536">
        <v>1932</v>
      </c>
      <c r="N536">
        <v>1968</v>
      </c>
      <c r="S536" t="str">
        <v>90 (2025)</v>
      </c>
      <c r="V536" t="str">
        <v>Original tail is missing</v>
      </c>
      <c r="W536" t="str">
        <v>PE010195</v>
      </c>
    </row>
    <row r="537">
      <c r="A537">
        <v>536</v>
      </c>
      <c r="B537" t="str">
        <v>Pickcock</v>
      </c>
      <c r="D537" t="str">
        <v>Animals</v>
      </c>
      <c r="E537" t="str">
        <v>Animals</v>
      </c>
      <c r="F537" t="str">
        <v>Cockerel w/ plastic green tail</v>
      </c>
      <c r="G537" t="str">
        <v>Clockwork</v>
      </c>
      <c r="H537" t="str">
        <v>Jumps moving forward</v>
      </c>
      <c r="I537" t="str">
        <v>Tin &amp; plastic</v>
      </c>
      <c r="J537" t="str">
        <v>12x4x8</v>
      </c>
      <c r="K537" t="str">
        <v>Kohler</v>
      </c>
      <c r="L537" t="str">
        <v>Reasonable</v>
      </c>
      <c r="M537">
        <v>1952</v>
      </c>
      <c r="N537">
        <v>1968</v>
      </c>
      <c r="T537" t="str">
        <v>22 (285) 101 (211)</v>
      </c>
      <c r="W537" t="str">
        <v>PE010195</v>
      </c>
    </row>
    <row r="538">
      <c r="A538">
        <v>537</v>
      </c>
      <c r="B538" t="str">
        <v xml:space="preserve">Parrot </v>
      </c>
      <c r="D538" t="str">
        <v>Animals</v>
      </c>
      <c r="E538" t="str">
        <v>Animals</v>
      </c>
      <c r="F538" t="str">
        <v>Blue, white, green and yellow plastic parrot</v>
      </c>
      <c r="G538" t="str">
        <v>Clockwork</v>
      </c>
      <c r="H538" t="str">
        <v>Moves legs, opens/closes beak and raises crest while making sound</v>
      </c>
      <c r="I538" t="str">
        <v>Plastic</v>
      </c>
      <c r="J538" t="str">
        <v>14x8x11</v>
      </c>
      <c r="K538" t="str">
        <v>Kohler</v>
      </c>
      <c r="L538" t="str">
        <v>Very Good</v>
      </c>
      <c r="M538">
        <v>1960</v>
      </c>
      <c r="N538">
        <v>1969</v>
      </c>
      <c r="S538" t="str">
        <v>70 (2025)</v>
      </c>
      <c r="U538" t="str">
        <v>there is a similar toy by Geyper</v>
      </c>
      <c r="W538" t="str">
        <v>PE010196</v>
      </c>
      <c r="X538" t="str">
        <v>PE010197</v>
      </c>
    </row>
    <row r="539">
      <c r="A539">
        <v>538</v>
      </c>
      <c r="B539" t="str">
        <v>Penguin</v>
      </c>
      <c r="D539" t="str">
        <v>Animals</v>
      </c>
      <c r="E539" t="str">
        <v>Animals</v>
      </c>
      <c r="F539" t="str">
        <v>Plastic penguin</v>
      </c>
      <c r="G539" t="str">
        <v>Friction</v>
      </c>
      <c r="H539" t="str">
        <v>Moves forward, beak opens</v>
      </c>
      <c r="I539" t="str">
        <v>Plastic</v>
      </c>
      <c r="J539" t="str">
        <v>7x5.5x11</v>
      </c>
      <c r="K539" t="str">
        <v>Kohler</v>
      </c>
      <c r="L539" t="str">
        <v>Excellent</v>
      </c>
      <c r="M539">
        <v>1960</v>
      </c>
      <c r="N539">
        <v>1969</v>
      </c>
      <c r="W539" t="str">
        <v>PE010198</v>
      </c>
      <c r="X539" t="str">
        <v>PE010197</v>
      </c>
    </row>
    <row r="540">
      <c r="A540">
        <v>539</v>
      </c>
      <c r="B540" t="str">
        <v>Lamb</v>
      </c>
      <c r="D540" t="str">
        <v>Animals</v>
      </c>
      <c r="E540" t="str">
        <v>Animals</v>
      </c>
      <c r="F540" t="str">
        <v>White plastic lamb</v>
      </c>
      <c r="G540" t="str">
        <v>Clockwork</v>
      </c>
      <c r="H540" t="str">
        <v>Tail rotates quickly, body vibrates</v>
      </c>
      <c r="I540" t="str">
        <v>Plastic</v>
      </c>
      <c r="J540" t="str">
        <v>11x4.5x9</v>
      </c>
      <c r="K540" t="str">
        <v>Kohler</v>
      </c>
      <c r="L540" t="str">
        <v>Excellent</v>
      </c>
      <c r="M540">
        <v>1965</v>
      </c>
      <c r="N540">
        <v>1970</v>
      </c>
      <c r="S540" t="str">
        <v>30 (2025)</v>
      </c>
      <c r="U540" t="str">
        <v>same toy produced by Joustra "Cabri Sauteur" 55 (28)</v>
      </c>
      <c r="W540" t="str">
        <v>PE010199</v>
      </c>
      <c r="X540" t="str">
        <v>PE010200</v>
      </c>
      <c r="Y540" t="str">
        <v>PE010197</v>
      </c>
    </row>
    <row r="541" xml:space="preserve">
      <c r="A541">
        <v>540</v>
      </c>
      <c r="B541" t="str">
        <v>Boxing Monkey</v>
      </c>
      <c r="C541">
        <v>697</v>
      </c>
      <c r="D541" t="str">
        <v>Animals</v>
      </c>
      <c r="E541" t="str">
        <v>Sports &amp; Leisure</v>
      </c>
      <c r="F541" t="str">
        <v>Monkey training boxing w/ a bag</v>
      </c>
      <c r="G541" t="str">
        <v>Clockwork</v>
      </c>
      <c r="H541" t="str">
        <v>Rotates arms and waves body left and right, hitting a suspended boxing bag</v>
      </c>
      <c r="I541" t="str">
        <v>Tin, plush &amp; plastic</v>
      </c>
      <c r="J541" t="str">
        <v>22x10x18.5</v>
      </c>
      <c r="K541" t="str">
        <v>Fuji</v>
      </c>
      <c r="L541" t="str">
        <v>Very Good</v>
      </c>
      <c r="M541">
        <v>1965</v>
      </c>
      <c r="N541">
        <v>1975</v>
      </c>
      <c r="S541" t="str">
        <v>100 (2025) w/ box</v>
      </c>
      <c r="W541" t="str">
        <v>PE010201</v>
      </c>
      <c r="X541" t="str" xml:space="preserve">
        <v xml:space="preserve">PE010201A_x000d_
</v>
      </c>
    </row>
    <row r="542" xml:space="preserve">
      <c r="A542">
        <v>541</v>
      </c>
      <c r="B542" t="str">
        <v>Bunny Cycle</v>
      </c>
      <c r="D542" t="str">
        <v>Animals</v>
      </c>
      <c r="E542" t="str">
        <v>Sports &amp; Leisure</v>
      </c>
      <c r="F542" t="str">
        <v>Bunny on a tricycle</v>
      </c>
      <c r="G542" t="str">
        <v>Clockwork</v>
      </c>
      <c r="H542" t="str">
        <v>Pedals the tricycle, rings bell and moves ears</v>
      </c>
      <c r="I542" t="str">
        <v>Tin</v>
      </c>
      <c r="J542" t="str">
        <v>14x7x13</v>
      </c>
      <c r="K542" t="str">
        <v>Sato</v>
      </c>
      <c r="L542" t="str">
        <v>Good</v>
      </c>
      <c r="M542">
        <v>1960</v>
      </c>
      <c r="N542">
        <v>1965</v>
      </c>
      <c r="V542" t="str">
        <v>Ears are not original (not evident if they were plastic or cloth)</v>
      </c>
      <c r="W542" t="str">
        <v>PE010202</v>
      </c>
      <c r="X542" t="str" xml:space="preserve">
        <v xml:space="preserve">PE010203_x000d_
</v>
      </c>
      <c r="Y542" t="str">
        <v>PE010204</v>
      </c>
    </row>
    <row r="543">
      <c r="A543">
        <v>542</v>
      </c>
      <c r="B543" t="str">
        <v>Clucking Chicken</v>
      </c>
      <c r="D543" t="str">
        <v>Animals</v>
      </c>
      <c r="E543" t="str">
        <v>Animals</v>
      </c>
      <c r="F543" t="str">
        <v>Chicken  on basket laying eggs</v>
      </c>
      <c r="G543" t="str">
        <v>Other</v>
      </c>
      <c r="H543" t="str">
        <v>Upon rotating the lever, it makes a roosting sound and lays eggs</v>
      </c>
      <c r="I543" t="str">
        <v>Tin</v>
      </c>
      <c r="J543" t="str">
        <v>13x5.5x12</v>
      </c>
      <c r="K543" t="str">
        <v>Baldwin</v>
      </c>
      <c r="L543" t="str">
        <v>Very Good</v>
      </c>
      <c r="M543">
        <v>1935</v>
      </c>
      <c r="N543">
        <v>1945</v>
      </c>
      <c r="P543">
        <v>0.25</v>
      </c>
      <c r="S543" t="str">
        <v>60-70 (2025)</v>
      </c>
      <c r="V543" t="str">
        <v>Eggs are missing</v>
      </c>
      <c r="W543" t="str">
        <v>PE010205</v>
      </c>
    </row>
    <row r="544">
      <c r="A544">
        <v>543</v>
      </c>
      <c r="B544" t="str">
        <v>Pecking Canary</v>
      </c>
      <c r="D544" t="str">
        <v>Animals</v>
      </c>
      <c r="E544" t="str">
        <v>Animals</v>
      </c>
      <c r="F544" t="str">
        <v>Yellow chest, blue and green bird</v>
      </c>
      <c r="G544" t="str">
        <v>Clockwork</v>
      </c>
      <c r="H544" t="str">
        <v>Jumps moving forward</v>
      </c>
      <c r="I544" t="str">
        <v>Tin</v>
      </c>
      <c r="J544" t="str">
        <v>10x3.5x7</v>
      </c>
      <c r="K544" t="str">
        <v>Triang Minic</v>
      </c>
      <c r="L544" t="str">
        <v>Excellent</v>
      </c>
      <c r="M544">
        <v>1955</v>
      </c>
      <c r="N544">
        <v>1965</v>
      </c>
      <c r="S544" t="str">
        <v>30-50 (2025)</v>
      </c>
      <c r="W544" t="str">
        <v>PE010195</v>
      </c>
    </row>
    <row r="545">
      <c r="A545">
        <v>544</v>
      </c>
      <c r="B545" t="str">
        <v>Ladybug</v>
      </c>
      <c r="D545" t="str">
        <v>Animals</v>
      </c>
      <c r="E545" t="str">
        <v>Animals</v>
      </c>
      <c r="F545" t="str">
        <v>Red ladybird w/ smiling face and multicoloured dots</v>
      </c>
      <c r="G545" t="str">
        <v>Clockwork</v>
      </c>
      <c r="H545" t="str">
        <v>Moves forward, the large winding key makes it turn 90º</v>
      </c>
      <c r="I545" t="str">
        <v>Tin &amp; plastic</v>
      </c>
      <c r="J545" t="str">
        <v>8x9x4.5</v>
      </c>
      <c r="K545" t="str">
        <v>Toy Hero</v>
      </c>
      <c r="L545" t="str">
        <v>Good</v>
      </c>
      <c r="M545">
        <v>1970</v>
      </c>
      <c r="N545">
        <v>1975</v>
      </c>
      <c r="S545" t="str">
        <v>10-20 (2025)</v>
      </c>
      <c r="W545" t="str">
        <v>PE010206</v>
      </c>
    </row>
    <row r="546">
      <c r="A546">
        <v>545</v>
      </c>
      <c r="B546" t="str">
        <v>Ladybug</v>
      </c>
      <c r="D546" t="str">
        <v>Animals</v>
      </c>
      <c r="E546" t="str">
        <v>Animals</v>
      </c>
      <c r="F546" t="str">
        <v>Yellow ladybug w/ red and blue dots</v>
      </c>
      <c r="G546" t="str">
        <v>Friction</v>
      </c>
      <c r="H546" t="str">
        <v>Moves forward</v>
      </c>
      <c r="I546" t="str">
        <v>Tin</v>
      </c>
      <c r="J546" t="str">
        <v>8x7x3.5</v>
      </c>
      <c r="K546" t="str">
        <v>Ichimura</v>
      </c>
      <c r="L546" t="str">
        <v>Very Good</v>
      </c>
      <c r="M546">
        <v>1970</v>
      </c>
      <c r="N546">
        <v>1975</v>
      </c>
      <c r="S546" t="str">
        <v>10-20 (2025)</v>
      </c>
      <c r="W546" t="str">
        <v>PE010206</v>
      </c>
    </row>
    <row r="547">
      <c r="A547">
        <v>546</v>
      </c>
      <c r="B547" t="str">
        <v>Jumping Rabbit</v>
      </c>
      <c r="D547" t="str">
        <v>Animals</v>
      </c>
      <c r="E547" t="str">
        <v>Animals</v>
      </c>
      <c r="F547" t="str">
        <v>Jumping rabbit w/ carrot</v>
      </c>
      <c r="G547" t="str">
        <v>Clockwork</v>
      </c>
      <c r="H547" t="str">
        <v>Jumps</v>
      </c>
      <c r="I547" t="str">
        <v>Mostly tin</v>
      </c>
      <c r="J547" t="str">
        <v>9x5x12</v>
      </c>
      <c r="K547" t="str">
        <v>Inakita</v>
      </c>
      <c r="L547" t="str">
        <v>Good</v>
      </c>
      <c r="M547">
        <v>1960</v>
      </c>
      <c r="N547">
        <v>1965</v>
      </c>
      <c r="S547" t="str">
        <v>30-50 (2025)</v>
      </c>
      <c r="W547" t="str">
        <v>PE010207</v>
      </c>
      <c r="X547" t="str">
        <v>PE010208</v>
      </c>
    </row>
    <row r="548">
      <c r="A548">
        <v>547</v>
      </c>
      <c r="B548" t="str">
        <v>Jumping Frog</v>
      </c>
      <c r="D548" t="str">
        <v>Animals</v>
      </c>
      <c r="E548" t="str">
        <v>Animals</v>
      </c>
      <c r="F548" t="str">
        <v>Light green frog w/ blue dots</v>
      </c>
      <c r="G548" t="str">
        <v>Clockwork</v>
      </c>
      <c r="H548" t="str">
        <v>Moves forward by extending and shortening legs</v>
      </c>
      <c r="I548" t="str">
        <v>Tin</v>
      </c>
      <c r="J548" t="str">
        <v>8x5x4</v>
      </c>
      <c r="K548" t="str">
        <v>ALCO</v>
      </c>
      <c r="L548" t="str">
        <v>Good</v>
      </c>
      <c r="M548">
        <v>1960</v>
      </c>
      <c r="N548">
        <v>1965</v>
      </c>
      <c r="S548" t="str">
        <v>30-50 (2025)</v>
      </c>
      <c r="U548" t="str">
        <v>There are similar toys made in Hong Kong (no.201, logo C with a crown?), in Korea (MTU) (w/ plastic legs) and in Taiwan, Republic of China. Ours does not have the logos  at the same places, and no fixed key.</v>
      </c>
      <c r="W548" t="str">
        <v>PE010209</v>
      </c>
    </row>
    <row r="549">
      <c r="A549">
        <v>548</v>
      </c>
      <c r="B549" t="str">
        <v>Mother Goose</v>
      </c>
      <c r="D549" t="str">
        <v>Animals</v>
      </c>
      <c r="E549" t="str">
        <v>Animals</v>
      </c>
      <c r="F549" t="str">
        <v>Goose w/ blue body and yellow wings</v>
      </c>
      <c r="G549" t="str">
        <v>Clockwork</v>
      </c>
      <c r="H549" t="str">
        <v>Moves forward w/ legs, waves neck</v>
      </c>
      <c r="I549" t="str">
        <v>Tin, Plush &amp; plastic</v>
      </c>
      <c r="J549" t="str">
        <v>17x8x7</v>
      </c>
      <c r="K549" t="str">
        <v>Nomura</v>
      </c>
      <c r="L549" t="str">
        <v>Reasonable</v>
      </c>
      <c r="M549">
        <v>1965</v>
      </c>
      <c r="N549">
        <v>1969</v>
      </c>
      <c r="S549" t="str">
        <v>50 (2025) w/ box</v>
      </c>
      <c r="T549" t="str">
        <v>116 (no.23)</v>
      </c>
      <c r="U549" t="str">
        <v>Head scarf w/ different colours?</v>
      </c>
      <c r="W549" t="str">
        <v>PE010210</v>
      </c>
    </row>
    <row r="550">
      <c r="A550">
        <v>549</v>
      </c>
      <c r="B550" t="str">
        <v>Jumping Rabbit</v>
      </c>
      <c r="C550" t="str">
        <v>33/60</v>
      </c>
      <c r="D550" t="str">
        <v>Animals</v>
      </c>
      <c r="E550" t="str">
        <v>Animals</v>
      </c>
      <c r="F550" t="str">
        <v>Brown rabbit</v>
      </c>
      <c r="G550" t="str">
        <v>Clockwork</v>
      </c>
      <c r="H550" t="str">
        <v>Jumps on four legs moving forward</v>
      </c>
      <c r="I550" t="str">
        <v>Tin</v>
      </c>
      <c r="J550" t="str">
        <v>14.5x4x11</v>
      </c>
      <c r="K550" t="str">
        <v>Wells</v>
      </c>
      <c r="L550" t="str">
        <v>Good</v>
      </c>
      <c r="M550">
        <v>1931</v>
      </c>
      <c r="N550">
        <v>1940</v>
      </c>
      <c r="S550" t="str">
        <v>70-100 (2025)</v>
      </c>
      <c r="V550" t="str">
        <v>One tin tab is  broken</v>
      </c>
      <c r="W550" t="str">
        <v>PE010211</v>
      </c>
    </row>
    <row r="551">
      <c r="A551">
        <v>550</v>
      </c>
      <c r="B551" t="str">
        <v>Felix with Mouse</v>
      </c>
      <c r="D551" t="str">
        <v>Animals</v>
      </c>
      <c r="E551" t="str">
        <v>Animals</v>
      </c>
      <c r="F551" t="str">
        <v>Mouse holding a mouse by tail</v>
      </c>
      <c r="G551" t="str">
        <v>Other</v>
      </c>
      <c r="H551" t="str">
        <v>Pressing base behind raises arm w/ mouse, moves eyes and "meows"</v>
      </c>
      <c r="I551" t="str">
        <v>Tin</v>
      </c>
      <c r="J551" t="str">
        <v>10x3x11</v>
      </c>
      <c r="L551" t="str">
        <v>Excellent</v>
      </c>
      <c r="M551">
        <v>1990</v>
      </c>
      <c r="N551">
        <v>1990</v>
      </c>
      <c r="S551" t="str">
        <v>40 (2025)</v>
      </c>
      <c r="T551" t="str">
        <v>22 (297)</v>
      </c>
      <c r="U551" t="str">
        <v>Original manufacturer? replica made by Tucher &amp; Walther, Germany</v>
      </c>
      <c r="W551" t="str">
        <v>PE010212</v>
      </c>
    </row>
    <row r="552">
      <c r="A552">
        <v>551</v>
      </c>
      <c r="B552" t="str">
        <v>CAVEMAN</v>
      </c>
      <c r="D552" t="str">
        <v>Games</v>
      </c>
      <c r="E552" t="str">
        <v>Games</v>
      </c>
      <c r="F552" t="str">
        <v>Red Game console</v>
      </c>
      <c r="G552" t="str">
        <v>Battery</v>
      </c>
      <c r="H552" t="str">
        <v>The player controls a caveman that must rob the eggs of a dinosaur and take them back to the cavern, avoiding dangers such as dragons and vukcanos</v>
      </c>
      <c r="I552" t="str">
        <v>Plastic</v>
      </c>
      <c r="J552" t="str">
        <v>21.5x15x10</v>
      </c>
      <c r="K552" t="str">
        <v>Tomiyama</v>
      </c>
      <c r="L552" t="str">
        <v>Very Good</v>
      </c>
      <c r="M552">
        <v>1982</v>
      </c>
      <c r="N552">
        <v>1985</v>
      </c>
      <c r="S552" t="str">
        <v>80-140 (2025)</v>
      </c>
      <c r="U552" t="str">
        <v>"Micro computer game dinamic multi-screen LSI-CPU FIP INDEX PANEL"</v>
      </c>
      <c r="V552" t="str">
        <v>Made in Singapore</v>
      </c>
      <c r="W552" t="str">
        <v>PE010213</v>
      </c>
    </row>
    <row r="553">
      <c r="A553">
        <v>552</v>
      </c>
      <c r="B553" t="str">
        <v>BasketBall game</v>
      </c>
      <c r="D553" t="str">
        <v>Games</v>
      </c>
      <c r="E553" t="str">
        <v>Games</v>
      </c>
      <c r="F553" t="str">
        <v>Basketball game</v>
      </c>
      <c r="G553" t="str">
        <v>Other</v>
      </c>
      <c r="H553" t="str">
        <v>Player directs and throws ball via spring</v>
      </c>
      <c r="I553" t="str">
        <v>Plastic</v>
      </c>
      <c r="J553" t="str">
        <v>30x9x16</v>
      </c>
      <c r="K553" t="str">
        <v>E Flim Lemez</v>
      </c>
      <c r="L553" t="str">
        <v>Good</v>
      </c>
      <c r="M553">
        <v>1975</v>
      </c>
      <c r="N553">
        <v>1980</v>
      </c>
      <c r="S553" t="str">
        <v>40-70 (2025)</v>
      </c>
      <c r="W553" t="str">
        <v>PE010214</v>
      </c>
    </row>
    <row r="554">
      <c r="A554">
        <v>553</v>
      </c>
      <c r="B554" t="str">
        <v>Cat with ball</v>
      </c>
      <c r="C554">
        <v>351</v>
      </c>
      <c r="D554" t="str">
        <v>Animals</v>
      </c>
      <c r="E554" t="str">
        <v>Animals</v>
      </c>
      <c r="F554" t="str">
        <v>Large cream plastic cat w/ ball</v>
      </c>
      <c r="G554" t="str">
        <v>Clockwork</v>
      </c>
      <c r="H554" t="str">
        <v>Moves forward, tail rotates making it roll over</v>
      </c>
      <c r="I554" t="str">
        <v>Plastic</v>
      </c>
      <c r="J554" t="str">
        <v>17x7.5x8</v>
      </c>
      <c r="K554" t="str">
        <v>JIMSON</v>
      </c>
      <c r="L554" t="str">
        <v>Very Good</v>
      </c>
      <c r="M554">
        <v>1975</v>
      </c>
      <c r="N554">
        <v>1979</v>
      </c>
      <c r="S554" t="str">
        <v>20-60 (2025)</v>
      </c>
      <c r="W554" t="str">
        <v>PE010215</v>
      </c>
    </row>
    <row r="555">
      <c r="A555">
        <v>554</v>
      </c>
      <c r="B555" t="str">
        <v>Quacking Baby Ducks</v>
      </c>
      <c r="D555" t="str">
        <v>Animals</v>
      </c>
      <c r="E555" t="str">
        <v>Animals</v>
      </c>
      <c r="F555" t="str">
        <v>2 baby ducks in pink basket</v>
      </c>
      <c r="G555" t="str">
        <v>Clockwork</v>
      </c>
      <c r="H555" t="str">
        <v>Ducks move forward and backwards simultaneously, while quacking</v>
      </c>
      <c r="I555" t="str">
        <v>Plush and plastic</v>
      </c>
      <c r="J555" t="str">
        <v>18x13x19</v>
      </c>
      <c r="L555" t="str">
        <v>Good</v>
      </c>
      <c r="M555">
        <v>1965</v>
      </c>
      <c r="N555">
        <v>1969</v>
      </c>
      <c r="S555" t="str">
        <v>30-80 (2025)</v>
      </c>
      <c r="U555" t="str">
        <v>One similar toy was opened to show mechanism; box has trademark "AMICO Imports"</v>
      </c>
      <c r="V555" t="str">
        <v>made in Japan</v>
      </c>
      <c r="W555" t="str">
        <v>PE010216</v>
      </c>
      <c r="X555" t="str">
        <v>PE010217</v>
      </c>
      <c r="Y555" t="str">
        <v>PE010218</v>
      </c>
    </row>
    <row r="556">
      <c r="A556">
        <v>555</v>
      </c>
      <c r="B556" t="str">
        <v>Hungry Couple</v>
      </c>
      <c r="D556" t="str">
        <v>Animals</v>
      </c>
      <c r="E556" t="str">
        <v>Animals</v>
      </c>
      <c r="F556" t="str">
        <v>2 puppies in blue basket</v>
      </c>
      <c r="G556" t="str">
        <v>Clockwork</v>
      </c>
      <c r="H556" t="str">
        <v>Puppies turn heads to look at each other, then turn again and arms move to eat the food</v>
      </c>
      <c r="I556" t="str">
        <v>Plush and plastic</v>
      </c>
      <c r="J556" t="str">
        <v>18x13x19</v>
      </c>
      <c r="L556" t="str">
        <v>Good</v>
      </c>
      <c r="M556">
        <v>1965</v>
      </c>
      <c r="N556">
        <v>1969</v>
      </c>
      <c r="S556" t="str">
        <v>30-80 (2025)</v>
      </c>
      <c r="U556" t="str">
        <v>Box has trademark "AMICO Imports";  there is a variant with bunnies eating carrots</v>
      </c>
      <c r="V556" t="str">
        <v>made in Japan</v>
      </c>
      <c r="W556" t="str">
        <v>PE010219</v>
      </c>
      <c r="X556" t="str">
        <v>PE010220</v>
      </c>
      <c r="Y556" t="str">
        <v>PE010221</v>
      </c>
    </row>
    <row r="557">
      <c r="A557">
        <v>556</v>
      </c>
      <c r="B557" t="str">
        <v xml:space="preserve">TIPPY </v>
      </c>
      <c r="C557">
        <v>990</v>
      </c>
      <c r="D557" t="str">
        <v>Animals</v>
      </c>
      <c r="E557" t="str">
        <v>Animals</v>
      </c>
      <c r="F557" t="str">
        <v>Black Scott-Terrier Dog</v>
      </c>
      <c r="G557" t="str">
        <v>Clockwork</v>
      </c>
      <c r="H557" t="str">
        <v>Walks on 4 legs</v>
      </c>
      <c r="I557" t="str">
        <v>Plush &amp; Tin</v>
      </c>
      <c r="J557" t="str">
        <v>13x4x7</v>
      </c>
      <c r="K557" t="str">
        <v>Schuco</v>
      </c>
      <c r="L557" t="str">
        <v>Poor</v>
      </c>
      <c r="M557">
        <v>1950</v>
      </c>
      <c r="N557">
        <v>1959</v>
      </c>
      <c r="R557" t="str">
        <v>museu brinquedo Sintra</v>
      </c>
      <c r="S557" t="str">
        <v>70 (2025) poor</v>
      </c>
      <c r="T557" t="str">
        <v>92 (96)</v>
      </c>
      <c r="V557" t="str">
        <v>ears missing; ball w/ yarn missing; made in U.S. Zone Germany</v>
      </c>
      <c r="W557" t="str">
        <v>PE010222</v>
      </c>
    </row>
    <row r="558">
      <c r="A558">
        <v>557</v>
      </c>
      <c r="B558" t="str">
        <v>Mischievous Monkey</v>
      </c>
      <c r="D558" t="str">
        <v>Animals</v>
      </c>
      <c r="E558" t="str">
        <v>Animals</v>
      </c>
      <c r="F558" t="str">
        <v>Dog in house and monkey in palm tree</v>
      </c>
      <c r="G558" t="str">
        <v>Battery</v>
      </c>
      <c r="H558" t="str">
        <v>When dog leaves house and barks, monkey quickly climbs tree; dog goes back home and monkey descends slowly</v>
      </c>
      <c r="I558" t="str">
        <v>Tin &amp; plastic</v>
      </c>
      <c r="J558" t="str">
        <v>22x15x32</v>
      </c>
      <c r="K558" t="str">
        <v>Modern Toys</v>
      </c>
      <c r="L558" t="str">
        <v>Poor</v>
      </c>
      <c r="M558">
        <v>1960</v>
      </c>
      <c r="N558">
        <v>1965</v>
      </c>
      <c r="S558" t="str">
        <v>160 (2025)</v>
      </c>
      <c r="T558" t="str">
        <v>17 (53) 35 (115) 78 (68)</v>
      </c>
      <c r="U558" t="str">
        <v>Name in box "mischievous monkey" and in toy "mischief monkey" are different; scarcity 5/10 desirability 4/6</v>
      </c>
      <c r="V558" t="str">
        <v>base of palm tree is broken; end of bone broken; rust</v>
      </c>
      <c r="W558" t="str">
        <v>PE010223</v>
      </c>
    </row>
    <row r="559">
      <c r="A559">
        <v>558</v>
      </c>
      <c r="B559" t="str">
        <v>Sper Flying Helicopter</v>
      </c>
      <c r="D559" t="str">
        <v>Aircraft</v>
      </c>
      <c r="E559" t="str">
        <v>Police</v>
      </c>
      <c r="F559" t="str">
        <v>Helicopter Highway Patrol Police N-317</v>
      </c>
      <c r="G559" t="str">
        <v>Battery</v>
      </c>
      <c r="H559" t="str">
        <v>Roating blades, blinking lights, engine noise, moves forward. Pedestal lowers and raises helicopter in air; helicopter spins, then lowers.</v>
      </c>
      <c r="I559" t="str">
        <v>Tin &amp; plastic</v>
      </c>
      <c r="J559" t="str">
        <v>35x11x12</v>
      </c>
      <c r="K559" t="str">
        <v>TPS</v>
      </c>
      <c r="L559" t="str">
        <v>Good</v>
      </c>
      <c r="M559">
        <v>1969</v>
      </c>
      <c r="N559">
        <v>1981</v>
      </c>
      <c r="S559" t="str">
        <v>100 (2025)</v>
      </c>
      <c r="T559" t="str">
        <v>51 (179)</v>
      </c>
      <c r="U559" t="str">
        <v>scarcity: 3.5/5</v>
      </c>
      <c r="V559" t="str">
        <v>pedestal new; tip of rotors broken</v>
      </c>
      <c r="W559" t="str">
        <v>PD030187</v>
      </c>
      <c r="X559" t="str">
        <v>PD030188</v>
      </c>
    </row>
    <row r="560">
      <c r="A560">
        <v>559</v>
      </c>
      <c r="B560" t="str">
        <v>Aeroflot Tupolev</v>
      </c>
      <c r="D560" t="str">
        <v>Aircraft</v>
      </c>
      <c r="E560" t="str">
        <v>Travel &amp; Transport</v>
      </c>
      <c r="F560" t="str">
        <v>Aeroflot CCCP 1965 airplane</v>
      </c>
      <c r="G560" t="str">
        <v>Battery</v>
      </c>
      <c r="H560" t="str">
        <v>Moves forward, blinks lights, sound</v>
      </c>
      <c r="I560" t="str">
        <v>Tin &amp; plastic</v>
      </c>
      <c r="J560" t="str">
        <v>40x37x9</v>
      </c>
      <c r="K560" t="str">
        <v>Lenin Memorial</v>
      </c>
      <c r="L560" t="str">
        <v>Reasonable</v>
      </c>
      <c r="M560">
        <v>1965</v>
      </c>
      <c r="N560">
        <v>1970</v>
      </c>
      <c r="S560" t="str">
        <v>120-400 (2025)</v>
      </c>
      <c r="T560" t="str">
        <v>14 (126)</v>
      </c>
      <c r="U560" t="str">
        <v>The Tupolev TU-104 was a 56 passenger short range twinjet liner built in the URSS. It was rhe world's first turbo-fan-powered aircraft. It was produced 1960-1965</v>
      </c>
      <c r="W560" t="str">
        <v>PD020112</v>
      </c>
    </row>
    <row r="561">
      <c r="A561">
        <v>560</v>
      </c>
      <c r="B561" t="str">
        <v>Space Scooter</v>
      </c>
      <c r="C561">
        <v>3845</v>
      </c>
      <c r="D561" t="str">
        <v>Space Vehicles</v>
      </c>
      <c r="E561" t="str">
        <v>Space / Sci-Fi</v>
      </c>
      <c r="F561" t="str">
        <v>Space Scooter w/ astronaut</v>
      </c>
      <c r="G561" t="str">
        <v>Battery</v>
      </c>
      <c r="H561" t="str">
        <v>Non-fall action, lights</v>
      </c>
      <c r="I561" t="str">
        <v>Tin &amp; plastic</v>
      </c>
      <c r="J561" t="str">
        <v>20x11.5x24</v>
      </c>
      <c r="K561" t="str">
        <v>Modern Toys</v>
      </c>
      <c r="L561" t="str">
        <v>Poor</v>
      </c>
      <c r="M561">
        <v>1970</v>
      </c>
      <c r="N561">
        <v>1974</v>
      </c>
      <c r="S561" t="str">
        <v>100-200 (2025)</v>
      </c>
      <c r="T561" t="str">
        <v>35 (172) 43 (106) 78 (203) 132 (96)</v>
      </c>
      <c r="U561" t="str">
        <v>Scarcity 3-4/10 Desirability 4/6; some boxes have the AMICO trademark</v>
      </c>
      <c r="V561" t="str">
        <v>was reconstructed w/ parts of a similar spanish toy of a police in a scooter (includes the backpack, battery cover, wheels, base of platform)</v>
      </c>
      <c r="W561" t="str">
        <v>PD030212</v>
      </c>
      <c r="X561" t="str">
        <v>PD030213</v>
      </c>
    </row>
    <row r="562">
      <c r="A562">
        <v>561</v>
      </c>
      <c r="B562" t="str">
        <v>Helicopter Remote Control</v>
      </c>
      <c r="C562">
        <v>199</v>
      </c>
      <c r="D562" t="str">
        <v>Tracks /Platform base</v>
      </c>
      <c r="E562" t="str">
        <v>Professions/Industrial</v>
      </c>
      <c r="F562" t="str">
        <v>Helicopter flying over a landscape w/ construction works</v>
      </c>
      <c r="G562" t="str">
        <v>Clockwork</v>
      </c>
      <c r="H562" t="str">
        <v>Operator can control direction of flight and altitude; rotors of helicopter rotate</v>
      </c>
      <c r="I562" t="str">
        <v xml:space="preserve">Plastic &amp; tin </v>
      </c>
      <c r="J562" t="str">
        <v>34.524x9</v>
      </c>
      <c r="K562" t="str">
        <v>Biller</v>
      </c>
      <c r="L562" t="str">
        <v>Good</v>
      </c>
      <c r="M562">
        <v>1968</v>
      </c>
      <c r="N562">
        <v>1975</v>
      </c>
      <c r="S562" t="str">
        <v>60-80 (2025)</v>
      </c>
      <c r="U562" t="str">
        <v>Version 1 - the helicopter moves anti-clockwise; version 2 (ours) - has two rectangular recesses  in the landscape; version 3 - red rotors,  base is striped in red and white</v>
      </c>
      <c r="V562" t="str">
        <v>plastic truck missing; hook in helicopter missing</v>
      </c>
      <c r="W562" t="str">
        <v>PD020113</v>
      </c>
      <c r="X562" t="str">
        <v>PD020114</v>
      </c>
    </row>
    <row r="563">
      <c r="A563">
        <v>562</v>
      </c>
      <c r="B563" t="str">
        <v>Simplex</v>
      </c>
      <c r="C563">
        <v>7000</v>
      </c>
      <c r="D563" t="str">
        <v>Others</v>
      </c>
      <c r="E563" t="str">
        <v>Professions/Industrial</v>
      </c>
      <c r="F563" t="str">
        <v>Yellow caterpillar</v>
      </c>
      <c r="G563" t="str">
        <v>Battery</v>
      </c>
      <c r="H563" t="str">
        <v>Moves forward, remote control</v>
      </c>
      <c r="I563" t="str">
        <v>Tin</v>
      </c>
      <c r="J563" t="str">
        <v>17x10x8</v>
      </c>
      <c r="K563" t="str">
        <v>Arnold</v>
      </c>
      <c r="L563" t="str">
        <v>Reasonable</v>
      </c>
      <c r="M563">
        <v>1955</v>
      </c>
      <c r="N563">
        <v>1959</v>
      </c>
      <c r="R563" t="str">
        <v>Feira da Ladra</v>
      </c>
      <c r="T563" t="str">
        <v>10 (184)</v>
      </c>
      <c r="U563" t="str">
        <v>Bottom of toy: "Distler motor"; although the toy is marked "7000", this is model "7600" with remote-control</v>
      </c>
      <c r="V563" t="str">
        <v>bonnet is new; not working</v>
      </c>
      <c r="W563" t="str">
        <v>P2060242</v>
      </c>
    </row>
    <row r="564">
      <c r="A564">
        <v>563</v>
      </c>
      <c r="B564" t="str">
        <v>Gare Maritime</v>
      </c>
      <c r="C564">
        <v>2015</v>
      </c>
      <c r="D564" t="str">
        <v>Tracks /Platform base</v>
      </c>
      <c r="E564" t="str">
        <v>Travel &amp; Transport</v>
      </c>
      <c r="F564" t="str">
        <v>Sea harbour with crane and lighthouse</v>
      </c>
      <c r="G564" t="str">
        <v>Clockwork</v>
      </c>
      <c r="H564" t="str">
        <v>Crane rortates automatically; by pushing lever it stops, arm descends, then raises</v>
      </c>
      <c r="I564" t="str">
        <v>Tin</v>
      </c>
      <c r="J564" t="str">
        <v>36.5x25x16.5</v>
      </c>
      <c r="K564" t="str">
        <v>Joustra</v>
      </c>
      <c r="L564" t="str">
        <v>Very Good</v>
      </c>
      <c r="M564">
        <v>1965</v>
      </c>
      <c r="N564">
        <v>1969</v>
      </c>
      <c r="O564" t="str">
        <v>Good</v>
      </c>
      <c r="P564">
        <v>138</v>
      </c>
      <c r="Q564">
        <v>43862</v>
      </c>
      <c r="S564" t="str">
        <v>80-100 (2025)</v>
      </c>
      <c r="T564" t="str">
        <v>55 (34)</v>
      </c>
      <c r="U564" t="str">
        <v>Based on the previous  "Avion Louping Telecommande", ref 2008; initial cost: 419 francs</v>
      </c>
      <c r="V564" t="str">
        <v>small platform to carry load in crane is missing</v>
      </c>
      <c r="W564" t="str">
        <v>PF010001</v>
      </c>
      <c r="X564" t="str">
        <v>PF010002</v>
      </c>
      <c r="Y564" t="str">
        <v>PF010003</v>
      </c>
    </row>
    <row r="565">
      <c r="A565">
        <v>564</v>
      </c>
      <c r="B565" t="str">
        <v>Sky Rangers</v>
      </c>
      <c r="D565" t="str">
        <v>Aircraft</v>
      </c>
      <c r="E565" t="str">
        <v>Travel &amp; Transport</v>
      </c>
      <c r="F565" t="str">
        <v>Tower w/ plane and zeppelin</v>
      </c>
      <c r="G565" t="str">
        <v>Clockwork</v>
      </c>
      <c r="H565" t="str">
        <v xml:space="preserve">The plane takes off leaving the ground and rotating the zeppelin through the connecting bar. As the toy winds down, the airplane returns to its base, simulating landing. </v>
      </c>
      <c r="I565" t="str">
        <v>Tin</v>
      </c>
      <c r="J565" t="str">
        <v>69x15x23</v>
      </c>
      <c r="K565" t="str">
        <v>Unique Art</v>
      </c>
      <c r="L565" t="str">
        <v>Very Good</v>
      </c>
      <c r="M565">
        <v>1930</v>
      </c>
      <c r="N565">
        <v>1950</v>
      </c>
      <c r="P565">
        <v>291</v>
      </c>
      <c r="Q565">
        <v>45352</v>
      </c>
      <c r="R565" t="str">
        <v>Auctionet</v>
      </c>
      <c r="S565" t="str">
        <v>200-300 (2025)</v>
      </c>
      <c r="U565" t="str">
        <v>It is part of the Sky Ranger line, which included various versions of wind-up aircrafts that rotate around a tower.</v>
      </c>
      <c r="W565" t="str">
        <v>PF010004</v>
      </c>
      <c r="X565" t="str">
        <v>PF010005</v>
      </c>
      <c r="Y565" t="str">
        <v>PF010006</v>
      </c>
    </row>
    <row r="566">
      <c r="A566">
        <v>565</v>
      </c>
      <c r="B566" t="str">
        <v>JUPITER Ocean Pilot Cruiser</v>
      </c>
      <c r="D566" t="str">
        <v>Boats &amp; Ships</v>
      </c>
      <c r="E566" t="str">
        <v>Travel &amp; Transport</v>
      </c>
      <c r="F566" t="str">
        <v>Red &amp; white pilot boat</v>
      </c>
      <c r="G566" t="str">
        <v>Clockwork</v>
      </c>
      <c r="H566" t="str">
        <v>Propeller rotates</v>
      </c>
      <c r="I566" t="str">
        <v>Tin</v>
      </c>
      <c r="J566" t="str">
        <v>25x8.5x7</v>
      </c>
      <c r="K566" t="str">
        <v>Sutcliffe</v>
      </c>
      <c r="L566" t="str">
        <v>Good</v>
      </c>
      <c r="M566">
        <v>1963</v>
      </c>
      <c r="N566">
        <v>1969</v>
      </c>
      <c r="O566" t="str">
        <v>Good</v>
      </c>
      <c r="S566" t="str">
        <v>50-150 (2026) w/ box</v>
      </c>
      <c r="U566" t="str">
        <v>two colour variations: hull red or blue (rarer); common toy</v>
      </c>
      <c r="W566" t="str">
        <v>PF010007</v>
      </c>
      <c r="X566" t="str">
        <v>PF010008</v>
      </c>
      <c r="Y566" t="str">
        <v>PF010009</v>
      </c>
    </row>
    <row r="567">
      <c r="A567">
        <v>566</v>
      </c>
      <c r="B567" t="str">
        <v>Bluebird</v>
      </c>
      <c r="D567" t="str">
        <v>Boats &amp; Ships</v>
      </c>
      <c r="E567" t="str">
        <v>Sports &amp; Leisure</v>
      </c>
      <c r="F567" t="str">
        <v>Blue and white Bluebird Raceboat</v>
      </c>
      <c r="G567" t="str">
        <v>Clockwork</v>
      </c>
      <c r="H567" t="str">
        <v>Propeller rotates</v>
      </c>
      <c r="I567" t="str">
        <v>Tin</v>
      </c>
      <c r="J567" t="str">
        <v>27x8,5x7</v>
      </c>
      <c r="K567" t="str">
        <v>Sutcliffe</v>
      </c>
      <c r="L567" t="str">
        <v>Good</v>
      </c>
      <c r="M567">
        <v>1950</v>
      </c>
      <c r="N567">
        <v>1968</v>
      </c>
      <c r="O567" t="str">
        <v>Very Good</v>
      </c>
      <c r="S567" t="str">
        <v>150-200 (2025) w/ box</v>
      </c>
      <c r="U567" t="str">
        <v>in 1937, Malcom Campbell broke the speed racord with Bluebird K3, powered by a Rolls Royce K engine, exceeding 130 mph; the first version of the toy (based on the Blubird version of 1932): 1937-1940, with 3 exhaust "pipes"; the second version (1940-1948) had a single strip orange exhaust (cost 10'6); third version: 1950-1967, w/ silver exhaust (ours); version 4: 1978; our toy is version 3, but the box looks older, perhaps from the second version, since the cost of repair is 5'</v>
      </c>
      <c r="W567" t="str">
        <v>PF010010</v>
      </c>
      <c r="X567" t="str">
        <v>PF010011</v>
      </c>
    </row>
    <row r="568">
      <c r="A568">
        <v>567</v>
      </c>
      <c r="B568" t="str">
        <v>Motorboat with Plastic Figure</v>
      </c>
      <c r="C568">
        <v>1935</v>
      </c>
      <c r="D568" t="str">
        <v>Boats &amp; Ships</v>
      </c>
      <c r="E568" t="str">
        <v>Sports &amp; Leisure</v>
      </c>
      <c r="F568" t="str">
        <v>White ansd green motorboat with pilot</v>
      </c>
      <c r="G568" t="str">
        <v>Clockwork</v>
      </c>
      <c r="H568" t="str">
        <v>Propeller rotates</v>
      </c>
      <c r="I568" t="str">
        <v>Tin</v>
      </c>
      <c r="J568" t="str">
        <v>35x11x9.5</v>
      </c>
      <c r="K568" t="str">
        <v>Arnold</v>
      </c>
      <c r="L568" t="str">
        <v>Very Good</v>
      </c>
      <c r="M568">
        <v>1955</v>
      </c>
      <c r="N568">
        <v>1959</v>
      </c>
      <c r="O568" t="str">
        <v xml:space="preserve"> Good </v>
      </c>
      <c r="T568" t="str">
        <v>10 (55)</v>
      </c>
      <c r="U568" t="str">
        <v>deck can be green or blue</v>
      </c>
      <c r="V568" t="str">
        <v>label of box shows a different toy</v>
      </c>
      <c r="W568" t="str">
        <v>PF010012</v>
      </c>
      <c r="X568" t="str">
        <v>PF010013</v>
      </c>
      <c r="Y568" t="str">
        <v>PF010014</v>
      </c>
    </row>
    <row r="569">
      <c r="A569">
        <v>568</v>
      </c>
      <c r="B569" t="str">
        <v>Hydro Plane  COMET</v>
      </c>
      <c r="C569" t="str">
        <v>D-4</v>
      </c>
      <c r="D569" t="str">
        <v>Boats &amp; Ships</v>
      </c>
      <c r="E569" t="str">
        <v>Sports &amp; Leisure</v>
      </c>
      <c r="F569" t="str">
        <v>Red, white and blue boat w/ grey helix</v>
      </c>
      <c r="G569" t="str">
        <v>Battery</v>
      </c>
      <c r="H569" t="str">
        <v>Helix rotates</v>
      </c>
      <c r="I569" t="str">
        <v>Plastic</v>
      </c>
      <c r="J569" t="str">
        <v>32x12.5x12</v>
      </c>
      <c r="K569" t="str">
        <v>MIC</v>
      </c>
      <c r="L569" t="str">
        <v>Excellent</v>
      </c>
      <c r="M569">
        <v>1965</v>
      </c>
      <c r="N569">
        <v>1975</v>
      </c>
      <c r="O569" t="str">
        <v>Very Good</v>
      </c>
      <c r="U569" t="str">
        <v>deck can be red or blue (ours); there is version with a red propeller, with helix inside a ring</v>
      </c>
      <c r="W569" t="str">
        <v>PF010015</v>
      </c>
      <c r="X569" t="str">
        <v>PF010016</v>
      </c>
      <c r="Y569" t="str">
        <v>PF010017</v>
      </c>
    </row>
    <row r="570">
      <c r="A570">
        <v>569</v>
      </c>
      <c r="B570" t="str">
        <v xml:space="preserve"> Billy The Ball Blowing Magic Whale</v>
      </c>
      <c r="D570" t="str">
        <v>Animals</v>
      </c>
      <c r="E570" t="str">
        <v>Animals</v>
      </c>
      <c r="F570" t="str">
        <v>Brown whale blowing a ball</v>
      </c>
      <c r="G570" t="str">
        <v>Clockwork</v>
      </c>
      <c r="H570" t="str">
        <v>Moves forward while blowing air upwards</v>
      </c>
      <c r="I570" t="str">
        <v>Tin</v>
      </c>
      <c r="J570" t="str">
        <v>16x6x10</v>
      </c>
      <c r="K570" t="str">
        <v>Yoshiya</v>
      </c>
      <c r="L570" t="str">
        <v>Very Good</v>
      </c>
      <c r="M570">
        <v>1965</v>
      </c>
      <c r="N570">
        <v>1970</v>
      </c>
      <c r="S570" t="str">
        <v>50-80 (2025)</v>
      </c>
      <c r="U570" t="str">
        <v>box has two trademarks: K.O. inside losangle (Yoshiya), and a seal w/ a ball surrounded by "Seal of special quality tested toys" Frankonia (US importer)</v>
      </c>
      <c r="W570" t="str">
        <v>PF010018</v>
      </c>
      <c r="X570" t="str">
        <v>PF010019</v>
      </c>
    </row>
    <row r="571">
      <c r="A571">
        <v>570</v>
      </c>
      <c r="B571" t="str">
        <v>Sparkling Fish</v>
      </c>
      <c r="C571">
        <v>650</v>
      </c>
      <c r="D571" t="str">
        <v>Animals</v>
      </c>
      <c r="E571" t="str">
        <v>Animals</v>
      </c>
      <c r="F571" t="str">
        <v>Green and white fish</v>
      </c>
      <c r="G571" t="str">
        <v>Clockwork</v>
      </c>
      <c r="H571" t="str">
        <v>Moves forward, sparks</v>
      </c>
      <c r="I571" t="str">
        <v>Tin</v>
      </c>
      <c r="J571" t="str">
        <v>13.5x4x5</v>
      </c>
      <c r="K571" t="str">
        <v>Arnold</v>
      </c>
      <c r="L571" t="str">
        <v>Excellent</v>
      </c>
      <c r="M571">
        <v>1935</v>
      </c>
      <c r="N571">
        <v>1955</v>
      </c>
      <c r="O571" t="str">
        <v>Very Good</v>
      </c>
      <c r="S571" t="str">
        <v>180-200 (2025) w/ box</v>
      </c>
      <c r="T571" t="str">
        <v>10 (204) 22 (282)</v>
      </c>
      <c r="U571" t="str">
        <v>There is also a friction version</v>
      </c>
      <c r="V571" t="str">
        <v>Made in U.S. Zone Germany</v>
      </c>
      <c r="W571" t="str">
        <v>PF010020</v>
      </c>
      <c r="X571" t="str">
        <v>PF010021</v>
      </c>
    </row>
    <row r="572">
      <c r="A572">
        <v>571</v>
      </c>
      <c r="B572" t="str">
        <v>LOLO</v>
      </c>
      <c r="C572">
        <v>911</v>
      </c>
      <c r="D572" t="str">
        <v>Animals</v>
      </c>
      <c r="E572" t="str">
        <v>Animals</v>
      </c>
      <c r="F572" t="str">
        <v>Small red fish</v>
      </c>
      <c r="G572" t="str">
        <v>Friction</v>
      </c>
      <c r="H572" t="str">
        <v>Moves forward</v>
      </c>
      <c r="I572" t="str">
        <v>Plastic</v>
      </c>
      <c r="J572" t="str">
        <v>8x5.5x4</v>
      </c>
      <c r="K572" t="str">
        <v>Lehmann</v>
      </c>
      <c r="L572" t="str">
        <v>Excellent</v>
      </c>
      <c r="M572">
        <v>1963</v>
      </c>
      <c r="N572">
        <v>1989</v>
      </c>
      <c r="S572" t="str">
        <v>10 (2026)</v>
      </c>
      <c r="T572" t="str">
        <v>22 (298) 59 (208)</v>
      </c>
      <c r="W572" t="str">
        <v>PF010022</v>
      </c>
      <c r="X572" t="str">
        <v>PF010023</v>
      </c>
    </row>
    <row r="573">
      <c r="A573">
        <v>572</v>
      </c>
      <c r="B573" t="str">
        <v>Ring Smoke Tug boat</v>
      </c>
      <c r="C573">
        <v>3713</v>
      </c>
      <c r="D573" t="str">
        <v>Boats &amp; Ships</v>
      </c>
      <c r="E573" t="str">
        <v>Professions/Industrial</v>
      </c>
      <c r="F573" t="str">
        <v>Green, red and white w/ blue chimney tug boat</v>
      </c>
      <c r="G573" t="str">
        <v>Battery</v>
      </c>
      <c r="H573" t="str">
        <v>Mystery action, moves forward in rocking action, sound &amp; light</v>
      </c>
      <c r="I573" t="str">
        <v>Mostly tin</v>
      </c>
      <c r="J573" t="str">
        <v>36x12x17</v>
      </c>
      <c r="K573" t="str">
        <v>Modern Toys</v>
      </c>
      <c r="L573" t="str">
        <v>Reasonable</v>
      </c>
      <c r="M573">
        <v>1969</v>
      </c>
      <c r="N573">
        <v>1973</v>
      </c>
      <c r="R573" t="str">
        <v>Feira da Ladra</v>
      </c>
      <c r="S573" t="str">
        <v>80-150 (2026)</v>
      </c>
      <c r="T573" t="str">
        <v>78 (80)</v>
      </c>
      <c r="U573" t="str">
        <v>Several similar models (including one called "Neptune"; scarcity 4/10; Marx sold a similar toy, named "Catfish" 101 (212)</v>
      </c>
      <c r="V573" t="str">
        <v>Rust in battery cover and compartment</v>
      </c>
      <c r="W573" t="str">
        <v>PF010024</v>
      </c>
      <c r="X573" t="str">
        <v>PF010025</v>
      </c>
      <c r="Y573" t="str">
        <v>PF010026</v>
      </c>
    </row>
    <row r="574">
      <c r="A574">
        <v>573</v>
      </c>
      <c r="B574" t="str">
        <v>Fishing Bears</v>
      </c>
      <c r="D574" t="str">
        <v>Banks</v>
      </c>
      <c r="E574" t="str">
        <v>Sports &amp; Leisure</v>
      </c>
      <c r="F574" t="str">
        <v>Three bears fishing money bank</v>
      </c>
      <c r="G574" t="str">
        <v>Battery</v>
      </c>
      <c r="H574" t="str">
        <v>Place a coin in slot to start; papa bear pulls a fish, mamma bear moves a pan to accept it, baby moves arms up and down and papa drops the fish into the basket</v>
      </c>
      <c r="I574" t="str">
        <v>Tin</v>
      </c>
      <c r="J574" t="str">
        <v>18x18x17</v>
      </c>
      <c r="K574" t="str">
        <v>Wakasuto</v>
      </c>
      <c r="L574" t="str">
        <v>Good</v>
      </c>
      <c r="M574">
        <v>1955</v>
      </c>
      <c r="N574">
        <v>1960</v>
      </c>
      <c r="S574" t="str">
        <v>500-1000 (2026)</v>
      </c>
      <c r="T574" t="str">
        <v>17 (89) 35 (75)</v>
      </c>
      <c r="U574" t="str">
        <v>Scarcity 10/10; desirability 6/6; comes with 4 fishes; box has a trademark of a black elipse with white letters inside "Rethel Enterprises Inc." (toy distributor) and below "made in Japan"; toy reads: "let's enjoy fishing with bear's family and save a million!"; pat. 335986, 335987, 3322601</v>
      </c>
      <c r="V574" t="str">
        <v>fish is missing</v>
      </c>
      <c r="W574" t="str">
        <v>PF010027</v>
      </c>
      <c r="X574" t="str">
        <v>PF010028</v>
      </c>
      <c r="Y574" t="str">
        <v>PF010029</v>
      </c>
    </row>
    <row r="575">
      <c r="A575">
        <v>574</v>
      </c>
      <c r="B575" t="str">
        <v>Fishing Boy</v>
      </c>
      <c r="C575">
        <v>2104</v>
      </c>
      <c r="D575" t="str">
        <v>People</v>
      </c>
      <c r="E575" t="str">
        <v>Sports &amp; Leisure</v>
      </c>
      <c r="F575" t="str">
        <v>Little boy fishing</v>
      </c>
      <c r="G575" t="str">
        <v>Clockwork</v>
      </c>
      <c r="H575" t="str">
        <v>Boy rotates, fish gets tangled with post sign</v>
      </c>
      <c r="I575" t="str">
        <v>Tin &amp; plastic</v>
      </c>
      <c r="J575" t="str">
        <v>10x5.5x10.5</v>
      </c>
      <c r="K575" t="str">
        <v>Yoneya</v>
      </c>
      <c r="L575" t="str">
        <v>Excellent</v>
      </c>
      <c r="M575">
        <v>1965</v>
      </c>
      <c r="N575">
        <v>1970</v>
      </c>
      <c r="S575" t="str">
        <v>50-70 (2025)</v>
      </c>
      <c r="W575" t="str">
        <v>PF010030</v>
      </c>
      <c r="X575" t="str">
        <v>PF010031</v>
      </c>
    </row>
    <row r="576">
      <c r="A576">
        <v>575</v>
      </c>
      <c r="B576" t="str">
        <v>Billy the Fisherman</v>
      </c>
      <c r="C576">
        <v>6330</v>
      </c>
      <c r="D576" t="str">
        <v>People</v>
      </c>
      <c r="E576" t="str">
        <v>Sports &amp; Leisure</v>
      </c>
      <c r="F576" t="str">
        <v>Boy w/ black bonnet fishing</v>
      </c>
      <c r="G576" t="str">
        <v>Clockwork</v>
      </c>
      <c r="H576" t="str">
        <v>Boy rotates, fish gets tangled with post sign</v>
      </c>
      <c r="I576" t="str">
        <v>Tin &amp; plastic</v>
      </c>
      <c r="J576" t="str">
        <v>10x10x13</v>
      </c>
      <c r="K576" t="str">
        <v>METTOY</v>
      </c>
      <c r="L576" t="str">
        <v>Very Good</v>
      </c>
      <c r="M576">
        <v>1955</v>
      </c>
      <c r="N576">
        <v>1960</v>
      </c>
      <c r="S576" t="str">
        <v xml:space="preserve">70-100 (2025)  </v>
      </c>
      <c r="U576" t="str">
        <v>Box reads: " He fishes where he shouldn't He gets in trouble Hours of fun and action" "Billy fishes for 15 minutes on one winding of the Clockwork"</v>
      </c>
      <c r="W576" t="str">
        <v>PF010032</v>
      </c>
    </row>
    <row r="577">
      <c r="A577">
        <v>576</v>
      </c>
      <c r="B577" t="str">
        <v>MARTIN Le Pêcheur</v>
      </c>
      <c r="C577">
        <v>1006</v>
      </c>
      <c r="D577" t="str">
        <v>People</v>
      </c>
      <c r="E577" t="str">
        <v>Sports &amp; Leisure</v>
      </c>
      <c r="F577" t="str">
        <v>Boy w/ white bonnet fishing</v>
      </c>
      <c r="G577" t="str">
        <v>Clockwork</v>
      </c>
      <c r="H577" t="str">
        <v>Boy rotates, fish gets tangled with post sign</v>
      </c>
      <c r="I577" t="str">
        <v>Tin &amp; plastic</v>
      </c>
      <c r="J577" t="str">
        <v>13x13x15</v>
      </c>
      <c r="K577" t="str">
        <v>Joustra</v>
      </c>
      <c r="L577" t="str">
        <v>Excellent</v>
      </c>
      <c r="M577">
        <v>1960</v>
      </c>
      <c r="N577">
        <v>1965</v>
      </c>
      <c r="S577" t="str">
        <v>50-90 (2025)</v>
      </c>
      <c r="T577" t="str">
        <v>55 (24)</v>
      </c>
      <c r="W577" t="str">
        <v>PF010033</v>
      </c>
      <c r="X577" t="str">
        <v>PF010034</v>
      </c>
    </row>
    <row r="578">
      <c r="A578">
        <v>577</v>
      </c>
      <c r="B578" t="str">
        <v>Fishing Bear</v>
      </c>
      <c r="D578" t="str">
        <v>Animals</v>
      </c>
      <c r="E578" t="str">
        <v>Sports &amp; Leisure</v>
      </c>
      <c r="F578" t="str">
        <v>Large plush bear w/ straw hat fishing</v>
      </c>
      <c r="G578" t="str">
        <v>Battery</v>
      </c>
      <c r="H578" t="str">
        <v>Lifts the pole w/ a fish; grabs the fish w/ left paw, drops it in basket and laughs; eyes light</v>
      </c>
      <c r="I578" t="str">
        <v>Tin &amp; plush</v>
      </c>
      <c r="J578" t="str">
        <v>20x11x26</v>
      </c>
      <c r="K578" t="str">
        <v>Alps</v>
      </c>
      <c r="L578" t="str">
        <v>Good</v>
      </c>
      <c r="M578">
        <v>1955</v>
      </c>
      <c r="N578">
        <v>1960</v>
      </c>
      <c r="S578" t="str">
        <v>100-150 (2025)</v>
      </c>
      <c r="T578" t="str">
        <v>17 (27) 35 (75)</v>
      </c>
      <c r="U578" t="str">
        <v>Scarcity 3/10  desirability 4/6</v>
      </c>
      <c r="V578" t="str">
        <v>Fish is new</v>
      </c>
      <c r="W578" t="str">
        <v>PF010035</v>
      </c>
      <c r="X578" t="str">
        <v>PF010036</v>
      </c>
      <c r="Y578" t="str">
        <v>PF010037</v>
      </c>
    </row>
    <row r="579">
      <c r="A579">
        <v>578</v>
      </c>
      <c r="B579" t="str">
        <v>Track with canals and ships</v>
      </c>
      <c r="D579" t="str">
        <v>Tracks /Platform base</v>
      </c>
      <c r="E579" t="str">
        <v>Professions/Industrial</v>
      </c>
      <c r="F579" t="str">
        <v>Plastic track w/ water canals</v>
      </c>
      <c r="G579" t="str">
        <v>Battery</v>
      </c>
      <c r="H579" t="str">
        <v>Turbine creates water current</v>
      </c>
      <c r="I579" t="str">
        <v>Plastic</v>
      </c>
      <c r="J579" t="str">
        <v>52.5x30x14</v>
      </c>
      <c r="K579" t="str">
        <v>Distler</v>
      </c>
      <c r="L579" t="str">
        <v>Excellent</v>
      </c>
      <c r="M579">
        <v>1962</v>
      </c>
      <c r="N579">
        <v>1968</v>
      </c>
      <c r="O579" t="str">
        <v>Very Good</v>
      </c>
      <c r="U579" t="str">
        <v xml:space="preserve">Although the toy has the Distler trademark, the box refers to "Distler Toys". In 1962, production in Germany was discontinued, and the company was sold to a Belgian firm, becoming Distler Toys SA in Nivelles. Production of the toys continued in Belgium until 1968. </v>
      </c>
      <c r="W579" t="str">
        <v>PF010038</v>
      </c>
      <c r="X579" t="str">
        <v>PF010039</v>
      </c>
      <c r="Y579" t="str">
        <v>PF010040</v>
      </c>
    </row>
    <row r="580">
      <c r="A580">
        <v>579</v>
      </c>
      <c r="B580" t="str">
        <v>AMB - Amphibious Jeep</v>
      </c>
      <c r="C580">
        <v>711</v>
      </c>
      <c r="D580" t="str">
        <v>Boats &amp; Ships</v>
      </c>
      <c r="E580" t="str">
        <v>Military</v>
      </c>
      <c r="F580" t="str">
        <v>Amphibious car w/ machine guns</v>
      </c>
      <c r="G580" t="str">
        <v>Friction</v>
      </c>
      <c r="H580" t="str">
        <v>Moves forward</v>
      </c>
      <c r="I580" t="str">
        <v>Tin</v>
      </c>
      <c r="J580" t="str">
        <v>15x7x6</v>
      </c>
      <c r="K580" t="str">
        <v>Marchesini</v>
      </c>
      <c r="L580" t="str">
        <v>Very Good</v>
      </c>
      <c r="M580">
        <v>1960</v>
      </c>
      <c r="N580">
        <v>1965</v>
      </c>
      <c r="S580" t="str">
        <v>70-110 (2025)</v>
      </c>
      <c r="W580" t="str">
        <v>PF010041</v>
      </c>
      <c r="X580" t="str">
        <v>PF010042</v>
      </c>
    </row>
    <row r="581">
      <c r="A581">
        <v>580</v>
      </c>
      <c r="B581" t="str">
        <v>Jack-in-a-Boat</v>
      </c>
      <c r="C581">
        <v>3093</v>
      </c>
      <c r="D581" t="str">
        <v>Boats &amp; Ships</v>
      </c>
      <c r="E581" t="str">
        <v>Travel &amp; Transport</v>
      </c>
      <c r="F581" t="str">
        <v>man rowing a brown boat</v>
      </c>
      <c r="G581" t="str">
        <v>Clockwork</v>
      </c>
      <c r="H581" t="str">
        <v>Man shifts forward and backward, creating a rowing movement</v>
      </c>
      <c r="I581" t="str">
        <v>Mostly plastic</v>
      </c>
      <c r="J581" t="str">
        <v>17x25x8</v>
      </c>
      <c r="K581" t="str">
        <v>Triang Minic</v>
      </c>
      <c r="L581" t="str">
        <v>Very Good</v>
      </c>
      <c r="M581">
        <v>1955</v>
      </c>
      <c r="N581">
        <v>1959</v>
      </c>
      <c r="S581" t="str">
        <v>70-140 (2025)</v>
      </c>
      <c r="T581" t="str">
        <v>111 (121)</v>
      </c>
      <c r="U581" t="str">
        <v>Catalogue shows a man without hat</v>
      </c>
      <c r="W581" t="str">
        <v>PF010043</v>
      </c>
      <c r="X581" t="str">
        <v>PF010044</v>
      </c>
    </row>
    <row r="582">
      <c r="A582">
        <v>581</v>
      </c>
      <c r="B582" t="str">
        <v>Fishing Bear</v>
      </c>
      <c r="D582" t="str">
        <v>Animals</v>
      </c>
      <c r="E582" t="str">
        <v>Sports &amp; Leisure</v>
      </c>
      <c r="F582" t="str">
        <v>Bear w/ pole  and net and a fish</v>
      </c>
      <c r="G582" t="str">
        <v>Clockwork</v>
      </c>
      <c r="H582" t="str">
        <v>Bear moves net up and down causing fish to jump</v>
      </c>
      <c r="I582" t="str">
        <v>Tin</v>
      </c>
      <c r="J582" t="str">
        <v>11x6.5x19</v>
      </c>
      <c r="K582" t="str">
        <v>TPS</v>
      </c>
      <c r="L582" t="str">
        <v>Excellent</v>
      </c>
      <c r="M582">
        <v>1957</v>
      </c>
      <c r="N582">
        <v>1960</v>
      </c>
      <c r="S582" t="str">
        <v>220 (2026)</v>
      </c>
      <c r="T582" t="str">
        <v>51 (91)</v>
      </c>
      <c r="U582" t="str">
        <v>Black or brown rubber ears; scarcity 3.5/5</v>
      </c>
      <c r="W582" t="str">
        <v>PF010045</v>
      </c>
      <c r="X582" t="str">
        <v>PF010046</v>
      </c>
    </row>
    <row r="583">
      <c r="A583">
        <v>582</v>
      </c>
      <c r="B583" t="str">
        <v>Dockland</v>
      </c>
      <c r="C583">
        <v>200</v>
      </c>
      <c r="D583" t="str">
        <v>Tracks /Platform base</v>
      </c>
      <c r="E583" t="str">
        <v>Police</v>
      </c>
      <c r="F583" t="str">
        <v>Dock w/ crane and a "boat"</v>
      </c>
      <c r="G583" t="str">
        <v>Clockwork</v>
      </c>
      <c r="H583" t="str">
        <v>Crane can rotate in two opposite directions,  and lift or lower cargo</v>
      </c>
      <c r="I583" t="str">
        <v>Mostly plastic</v>
      </c>
      <c r="J583" t="str">
        <v>34x23.5x10</v>
      </c>
      <c r="K583" t="str">
        <v>Biller</v>
      </c>
      <c r="L583" t="str">
        <v>Excellent</v>
      </c>
      <c r="M583">
        <v>1968</v>
      </c>
      <c r="N583">
        <v>1970</v>
      </c>
      <c r="O583" t="str">
        <v>Excellent</v>
      </c>
      <c r="S583" t="str">
        <v>220 (2025)</v>
      </c>
      <c r="W583" t="str">
        <v>PF010047</v>
      </c>
      <c r="X583" t="str">
        <v>PF010048</v>
      </c>
    </row>
    <row r="584">
      <c r="A584">
        <v>583</v>
      </c>
      <c r="B584" t="str">
        <v>Jolly Fisherman</v>
      </c>
      <c r="D584" t="str">
        <v>People</v>
      </c>
      <c r="E584" t="str">
        <v>Sports &amp; Leisure</v>
      </c>
      <c r="F584" t="str">
        <v>Kid seated w/ pole and small pond w/ fish</v>
      </c>
      <c r="G584" t="str">
        <v>Clockwork</v>
      </c>
      <c r="H584" t="str">
        <v>Raises right arm holding pole w/ fish and head; fish is held by left hand and drops in the basket; left hand wavws sideqways</v>
      </c>
      <c r="I584" t="str">
        <v>Tin &amp; celuloid head</v>
      </c>
      <c r="J584" t="str">
        <v>13x9x16</v>
      </c>
      <c r="K584" t="str">
        <v>Alps</v>
      </c>
      <c r="L584" t="str">
        <v>Excellent</v>
      </c>
      <c r="M584">
        <v>1955</v>
      </c>
      <c r="N584">
        <v>1960</v>
      </c>
      <c r="O584" t="str">
        <v>Very Good</v>
      </c>
      <c r="S584" t="str">
        <v>200 (2026) w/ box</v>
      </c>
      <c r="U584" t="str">
        <v>Box has two trademarks: JOJA and Alps</v>
      </c>
      <c r="V584" t="str">
        <v>We have 3/5 fishes</v>
      </c>
      <c r="W584" t="str">
        <v>PF010049</v>
      </c>
      <c r="X584" t="str">
        <v>PF010050</v>
      </c>
      <c r="Y584" t="str">
        <v>PF010051</v>
      </c>
    </row>
    <row r="585">
      <c r="A585">
        <v>584</v>
      </c>
      <c r="B585" t="str">
        <v>Climbing Pirate</v>
      </c>
      <c r="D585" t="str">
        <v>People</v>
      </c>
      <c r="E585" t="str">
        <v>Professions/Industrial</v>
      </c>
      <c r="F585" t="str">
        <v>Pirate climbing rope</v>
      </c>
      <c r="G585" t="str">
        <v>Other</v>
      </c>
      <c r="H585" t="str">
        <v>Pulling string causes pirate to climb upward, relaxing string he climbs downward</v>
      </c>
      <c r="I585" t="str">
        <v>Tin</v>
      </c>
      <c r="J585" t="str">
        <v>16x6x6</v>
      </c>
      <c r="K585" t="str">
        <v>TPS</v>
      </c>
      <c r="L585" t="str">
        <v>Excellent</v>
      </c>
      <c r="M585">
        <v>1962</v>
      </c>
      <c r="N585">
        <v>1965</v>
      </c>
      <c r="O585" t="str">
        <v>Very Good</v>
      </c>
      <c r="S585" t="str">
        <v xml:space="preserve">100-120 (2025) </v>
      </c>
      <c r="T585" t="str">
        <v>51 (69)</v>
      </c>
      <c r="U585" t="str">
        <v>Scarcity 3.5/5</v>
      </c>
      <c r="W585" t="str">
        <v>PF010052</v>
      </c>
      <c r="X585" t="str">
        <v>PF010053</v>
      </c>
    </row>
    <row r="586">
      <c r="A586">
        <v>585</v>
      </c>
      <c r="B586" t="str">
        <v>JONNY</v>
      </c>
      <c r="C586">
        <v>914</v>
      </c>
      <c r="D586" t="str">
        <v>People</v>
      </c>
      <c r="E586" t="str">
        <v>Professions/Industrial</v>
      </c>
      <c r="F586" t="str">
        <v>Boy sailor climbing rope</v>
      </c>
      <c r="G586" t="str">
        <v>Other</v>
      </c>
      <c r="H586" t="str">
        <v>Pulling string causes boy to climb upward, relaxing string he climbs downward</v>
      </c>
      <c r="I586" t="str">
        <v>Tin</v>
      </c>
      <c r="J586" t="str">
        <v>16x8x3</v>
      </c>
      <c r="K586" t="str">
        <v>Lehmann</v>
      </c>
      <c r="L586" t="str">
        <v>Excellent</v>
      </c>
      <c r="M586">
        <v>1955</v>
      </c>
      <c r="N586">
        <v>1970</v>
      </c>
      <c r="O586" t="str">
        <v>Very Good</v>
      </c>
      <c r="S586" t="str">
        <v>110-190 (2026) w/ box</v>
      </c>
      <c r="T586" t="str">
        <v>22 (241) 46 (194) 59 (208)</v>
      </c>
      <c r="W586" t="str">
        <v>PF010054</v>
      </c>
    </row>
    <row r="587">
      <c r="A587">
        <v>586</v>
      </c>
      <c r="B587" t="str">
        <v>Dancing Sailor</v>
      </c>
      <c r="C587">
        <v>535</v>
      </c>
      <c r="D587" t="str">
        <v>People</v>
      </c>
      <c r="E587" t="str">
        <v>Garages &amp; Autoservice</v>
      </c>
      <c r="F587" t="str">
        <v>Sailor in blue suit</v>
      </c>
      <c r="G587" t="str">
        <v>Clockwork</v>
      </c>
      <c r="H587" t="str">
        <v>Waves body laterally as if drunk</v>
      </c>
      <c r="I587" t="str">
        <v>Tin &amp; cloth</v>
      </c>
      <c r="J587" t="str">
        <v>5x7x19</v>
      </c>
      <c r="K587" t="str">
        <v>Lehmann</v>
      </c>
      <c r="L587" t="str">
        <v>Very Good</v>
      </c>
      <c r="M587">
        <v>1904</v>
      </c>
      <c r="N587">
        <v>1948</v>
      </c>
      <c r="P587">
        <v>557</v>
      </c>
      <c r="Q587">
        <v>44136</v>
      </c>
      <c r="R587" t="str">
        <v>Catawiki</v>
      </c>
      <c r="S587" t="str">
        <v>450-550 (2025)</v>
      </c>
      <c r="T587" t="str">
        <v>30 (82) 59 (62)</v>
      </c>
      <c r="U587" t="str">
        <v>Bonnet says: S.M.S. EMDEN: Germany Imperial Navy: a) SMS Emden (1908): a fast cruiser of the Dresden class operated from 1909 to 1914. b) SMS Emden (1916): a fast cruiser of the Königsberg class operated from 1916 to 1918. The toy was inspired by the ironclad "Branderburg" put in service in 1893.</v>
      </c>
      <c r="W587" t="str">
        <v>PF010055</v>
      </c>
      <c r="X587" t="str">
        <v>PF010056</v>
      </c>
    </row>
    <row r="588">
      <c r="A588">
        <v>587</v>
      </c>
      <c r="B588" t="str">
        <v>Green Shark</v>
      </c>
      <c r="C588">
        <v>1743</v>
      </c>
      <c r="D588" t="str">
        <v>Boats &amp; Ships</v>
      </c>
      <c r="E588" t="str">
        <v>Travel &amp; Transport</v>
      </c>
      <c r="F588" t="str">
        <v>Blue and Red Green Shark Submarine</v>
      </c>
      <c r="G588" t="str">
        <v>Friction</v>
      </c>
      <c r="H588" t="str">
        <v>Hand crank makes propeller rotate</v>
      </c>
      <c r="I588" t="str">
        <v>Tin</v>
      </c>
      <c r="J588" t="str">
        <v>20x6x6</v>
      </c>
      <c r="K588" t="str">
        <v>Modern Toys</v>
      </c>
      <c r="L588" t="str">
        <v>Excellent</v>
      </c>
      <c r="M588">
        <v>1957</v>
      </c>
      <c r="N588">
        <v>1958</v>
      </c>
      <c r="O588" t="str">
        <v>Very Good reads:  "A submarine exploration boat"</v>
      </c>
      <c r="S588" t="str">
        <v>150-300 (2025) w/ box</v>
      </c>
      <c r="T588" t="str">
        <v>78 (80)</v>
      </c>
      <c r="W588" t="str">
        <v>PF010057</v>
      </c>
      <c r="X588" t="str">
        <v>PF010058</v>
      </c>
    </row>
    <row r="589">
      <c r="A589">
        <v>588</v>
      </c>
      <c r="B589" t="str">
        <v>Electro-Submarino</v>
      </c>
      <c r="C589">
        <v>5552</v>
      </c>
      <c r="D589" t="str">
        <v>Boats &amp; Ships</v>
      </c>
      <c r="E589" t="str">
        <v>Travel &amp; Transport</v>
      </c>
      <c r="F589" t="str">
        <v>Yellow and red submarine</v>
      </c>
      <c r="G589" t="str">
        <v>Battery</v>
      </c>
      <c r="H589" t="str">
        <v>Propeller rotates</v>
      </c>
      <c r="I589" t="str">
        <v>Tin &amp; plastic</v>
      </c>
      <c r="J589" t="str">
        <v>34x7x7</v>
      </c>
      <c r="K589" t="str">
        <v>Schuco</v>
      </c>
      <c r="L589" t="str">
        <v>Excellent</v>
      </c>
      <c r="M589">
        <v>1963</v>
      </c>
      <c r="N589">
        <v>1975</v>
      </c>
      <c r="O589" t="str">
        <v>Very Good</v>
      </c>
      <c r="S589" t="str">
        <v>200-400 (2025) w/ box</v>
      </c>
      <c r="T589" t="str">
        <v>92 (430) 93 (106)</v>
      </c>
      <c r="U589" t="str">
        <v>Two versions: one clockwork (grey toy) and one battery powered (ours)</v>
      </c>
      <c r="W589" t="str">
        <v>PF010059</v>
      </c>
      <c r="X589" t="str">
        <v>PF010060</v>
      </c>
    </row>
    <row r="590">
      <c r="A590">
        <v>589</v>
      </c>
      <c r="B590" t="str">
        <v>Nautilus</v>
      </c>
      <c r="D590" t="str">
        <v>Boats &amp; Ships</v>
      </c>
      <c r="E590" t="str">
        <v>Character</v>
      </c>
      <c r="F590" t="str">
        <v>Green Nautilus submarine</v>
      </c>
      <c r="G590" t="str">
        <v>Clockwork</v>
      </c>
      <c r="H590" t="str">
        <v>Propeller rotates</v>
      </c>
      <c r="I590" t="str">
        <v>Tin</v>
      </c>
      <c r="J590" t="str">
        <v>24x5.5x10</v>
      </c>
      <c r="K590" t="str">
        <v>Sutcliffe</v>
      </c>
      <c r="L590" t="str">
        <v>Excellent</v>
      </c>
      <c r="M590">
        <v>1955</v>
      </c>
      <c r="N590">
        <v>1978</v>
      </c>
      <c r="O590" t="str">
        <v>Excellent</v>
      </c>
      <c r="S590" t="str">
        <v>200-400 (2025) w/ box</v>
      </c>
      <c r="T590" t="str">
        <v>30 (135) 89 (77)</v>
      </c>
      <c r="U590" t="str">
        <v>Submarine from Walt Disney's "20,000 Leagues under the Sea"</v>
      </c>
      <c r="W590" t="str">
        <v>PF010061</v>
      </c>
      <c r="X590" t="str">
        <v>PF010062</v>
      </c>
    </row>
    <row r="591">
      <c r="A591">
        <v>590</v>
      </c>
      <c r="B591" t="str">
        <v>AirCraft Carrier</v>
      </c>
      <c r="D591" t="str">
        <v>Boats &amp; Ships</v>
      </c>
      <c r="E591" t="str">
        <v>Military</v>
      </c>
      <c r="F591" t="str">
        <v>Large grey and light brown aircraft carrier</v>
      </c>
      <c r="G591" t="str">
        <v>Battery</v>
      </c>
      <c r="H591" t="str">
        <v>Moves forward, elevators go up and down, lights, turning radar, sound; manually can launch fighters, helicopters and missiles</v>
      </c>
      <c r="I591" t="str">
        <v>Tin</v>
      </c>
      <c r="J591" t="str">
        <v>51x14x17</v>
      </c>
      <c r="K591" t="str">
        <v>Marx</v>
      </c>
      <c r="L591" t="str">
        <v>Excellent</v>
      </c>
      <c r="M591">
        <v>1960</v>
      </c>
      <c r="N591">
        <v>1965</v>
      </c>
      <c r="O591" t="str">
        <v>Very Good w/ instructions</v>
      </c>
      <c r="S591" t="str">
        <v>400-500 (2025) w/ box</v>
      </c>
      <c r="T591" t="str">
        <v>17 (126) 35 (16)</v>
      </c>
      <c r="U591" t="str">
        <v>Scarcity 7/10; desirability 5/6</v>
      </c>
      <c r="W591" t="str">
        <v>PF010063</v>
      </c>
      <c r="X591" t="str">
        <v>PF010064</v>
      </c>
    </row>
    <row r="592">
      <c r="A592">
        <v>591</v>
      </c>
      <c r="B592" t="str">
        <v>Porta Aviones Espana</v>
      </c>
      <c r="D592" t="str">
        <v>Boats &amp; Ships</v>
      </c>
      <c r="E592" t="str">
        <v>Military</v>
      </c>
      <c r="F592" t="str">
        <v>Boat w/ a tower and two circling planes</v>
      </c>
      <c r="G592" t="str">
        <v>Clockwork</v>
      </c>
      <c r="H592" t="str">
        <v>Moves forward rocking and planes circle</v>
      </c>
      <c r="I592" t="str">
        <v>Tin</v>
      </c>
      <c r="J592" t="str">
        <v>22.5x6x11.5</v>
      </c>
      <c r="K592" t="str">
        <v>Rico</v>
      </c>
      <c r="L592" t="str">
        <v>Very Good</v>
      </c>
      <c r="M592">
        <v>1930</v>
      </c>
      <c r="N592">
        <v>1939</v>
      </c>
      <c r="S592" t="str">
        <v>400-650 (2025)</v>
      </c>
      <c r="T592" t="str">
        <v>15 (95)</v>
      </c>
      <c r="U592" t="str">
        <v>Often atributed to Paya; planes can have different colour combinations; probably, it was inspired by a similar toy made by Kellermann 75 (39) in 1926</v>
      </c>
      <c r="W592" t="str">
        <v>PF010065</v>
      </c>
      <c r="X592" t="str">
        <v>PF010066</v>
      </c>
    </row>
    <row r="593">
      <c r="A593">
        <v>592</v>
      </c>
      <c r="B593" t="str">
        <v>Cap Electric</v>
      </c>
      <c r="C593">
        <v>660</v>
      </c>
      <c r="D593" t="str">
        <v>Tracks /Platform base</v>
      </c>
      <c r="E593" t="str">
        <v>Travel &amp; Transport</v>
      </c>
      <c r="F593" t="str">
        <v>Track w/ boat travelling between lighthouse and dock</v>
      </c>
      <c r="G593" t="str">
        <v>Clockwork</v>
      </c>
      <c r="H593" t="str">
        <v>Moves forward and back</v>
      </c>
      <c r="I593" t="str">
        <v>Tin</v>
      </c>
      <c r="J593" t="str">
        <v>37.5x4x11</v>
      </c>
      <c r="K593" t="str">
        <v>Arnold</v>
      </c>
      <c r="L593" t="str">
        <v>Very Good</v>
      </c>
      <c r="M593">
        <v>1950</v>
      </c>
      <c r="N593">
        <v>1955</v>
      </c>
      <c r="O593" t="str">
        <v>Reasonable (main flaps missing)</v>
      </c>
      <c r="S593" t="str">
        <v>400-600 (2025) w/ box</v>
      </c>
      <c r="T593" t="str">
        <v>10 (89) 46 (32) 65 (27)</v>
      </c>
      <c r="U593" t="str">
        <v>Uses a battery for the lighthouse; in the pre-war version, the wires for the light were connected to an external battery</v>
      </c>
      <c r="V593" t="str">
        <v>Made in U.S. Zone Germany</v>
      </c>
      <c r="W593" t="str">
        <v>PF010067</v>
      </c>
      <c r="X593" t="str">
        <v>PF010068</v>
      </c>
      <c r="Y593" t="str">
        <v>PF010069</v>
      </c>
      <c r="Z593" t="str">
        <v>PF010070</v>
      </c>
    </row>
    <row r="594">
      <c r="A594">
        <v>593</v>
      </c>
      <c r="B594" t="str">
        <v>Ferry Boat</v>
      </c>
      <c r="C594">
        <v>940</v>
      </c>
      <c r="D594" t="str">
        <v>Tracks /Platform base</v>
      </c>
      <c r="E594" t="str">
        <v>Travel &amp; Transport</v>
      </c>
      <c r="F594" t="str">
        <v>Track w/ two lighthouses being linked by a ferry-boat</v>
      </c>
      <c r="G594" t="str">
        <v>Clockwork</v>
      </c>
      <c r="H594" t="str">
        <v xml:space="preserve">Clockwork is in the small bus; it moves around one of the lighhouses, enters the ferry boat and the movement of its wheels is transmitted to the ferry, which travels to the other lighthouse; the sequence is repeated </v>
      </c>
      <c r="I594" t="str">
        <v>Tin</v>
      </c>
      <c r="J594" t="str">
        <v>68x13x9</v>
      </c>
      <c r="K594" t="str">
        <v>Yonezawa</v>
      </c>
      <c r="L594" t="str">
        <v>Excellent</v>
      </c>
      <c r="M594">
        <v>1960</v>
      </c>
      <c r="N594">
        <v>1970</v>
      </c>
      <c r="O594" t="str">
        <v>Very Good</v>
      </c>
      <c r="P594">
        <v>240</v>
      </c>
      <c r="Q594" t="str">
        <v>July/2024</v>
      </c>
      <c r="R594" t="str">
        <v>Catawiki</v>
      </c>
      <c r="S594" t="str">
        <v>150 (2025) w/ box</v>
      </c>
      <c r="U594" t="str">
        <v>Pat. 51978, 37174; there is an earlier version (1950s) w/ different lighthouses and box, named "Liberty Ferry" distributed by Frankonia</v>
      </c>
      <c r="W594" t="str">
        <v>PF010071</v>
      </c>
      <c r="X594" t="str">
        <v>PF010072</v>
      </c>
      <c r="Y594" t="str">
        <v>PF010073</v>
      </c>
    </row>
    <row r="595">
      <c r="A595">
        <v>594</v>
      </c>
      <c r="B595" t="str">
        <v>Elektro-Record Joy de Luxe</v>
      </c>
      <c r="C595">
        <v>5555</v>
      </c>
      <c r="D595" t="str">
        <v>Boats &amp; Ships</v>
      </c>
      <c r="E595" t="str">
        <v>Sports &amp; Leisure</v>
      </c>
      <c r="F595" t="str">
        <v>red and brown boat with outboard engine</v>
      </c>
      <c r="G595" t="str">
        <v>Battery</v>
      </c>
      <c r="H595" t="str">
        <v>Propeller rotates</v>
      </c>
      <c r="I595" t="str">
        <v>Plastic</v>
      </c>
      <c r="J595" t="str">
        <v>30x12x9</v>
      </c>
      <c r="K595" t="str">
        <v>Schuco</v>
      </c>
      <c r="L595" t="str">
        <v>Very Good</v>
      </c>
      <c r="M595">
        <v>1960</v>
      </c>
      <c r="N595">
        <v>1960</v>
      </c>
      <c r="S595" t="str">
        <v>70-150 (2026)</v>
      </c>
      <c r="T595" t="str">
        <v>92 (440)</v>
      </c>
      <c r="W595" t="str">
        <v>PF010074</v>
      </c>
    </row>
    <row r="596">
      <c r="A596">
        <v>595</v>
      </c>
      <c r="B596" t="str">
        <v>Automatic Dock-Yard Crane</v>
      </c>
      <c r="C596">
        <v>95</v>
      </c>
      <c r="D596" t="str">
        <v>Tracks /Platform base</v>
      </c>
      <c r="E596" t="str">
        <v>Professions/Industrial</v>
      </c>
      <c r="F596" t="str">
        <v>Blue crane on a lightbrown dockyard</v>
      </c>
      <c r="G596" t="str">
        <v>Clockwork</v>
      </c>
      <c r="H596" t="str">
        <v>Crane can rotate in two opposite directions, and lift or lower cargo</v>
      </c>
      <c r="I596" t="str">
        <v>Tin</v>
      </c>
      <c r="J596" t="str">
        <v>21.5x8x12</v>
      </c>
      <c r="K596" t="str">
        <v>Biller</v>
      </c>
      <c r="L596" t="str">
        <v>Good</v>
      </c>
      <c r="M596">
        <v>1955</v>
      </c>
      <c r="N596">
        <v>1960</v>
      </c>
      <c r="S596" t="str">
        <v>70-130 (2025)</v>
      </c>
      <c r="U596" t="str">
        <v>Side of base can have different colours</v>
      </c>
      <c r="V596" t="str">
        <v>Plastic covers of levers are missing</v>
      </c>
      <c r="W596" t="str">
        <v>PF010075</v>
      </c>
      <c r="X596" t="str">
        <v>PF010076</v>
      </c>
    </row>
    <row r="597" xml:space="preserve">
      <c r="A597">
        <v>596</v>
      </c>
      <c r="B597" t="str">
        <v>Téléférique</v>
      </c>
      <c r="C597" t="str">
        <v>18/21</v>
      </c>
      <c r="D597" t="str">
        <v>Tracks /Platform base</v>
      </c>
      <c r="E597" t="str">
        <v>Travel &amp; Transport</v>
      </c>
      <c r="F597" t="str">
        <v>Large track w/ a tower w/ a yellow flag and two cars running on a track and suspended from a rail</v>
      </c>
      <c r="G597" t="str">
        <v>Clockwork</v>
      </c>
      <c r="H597" t="str">
        <v>Cars climb track and then descend suspended on a rail, repeating the circuit</v>
      </c>
      <c r="I597" t="str">
        <v>Tin</v>
      </c>
      <c r="J597" t="str">
        <v>82x26x41</v>
      </c>
      <c r="K597" t="str">
        <v>CIJ</v>
      </c>
      <c r="L597" t="str">
        <v>Excellent</v>
      </c>
      <c r="M597">
        <v>1945</v>
      </c>
      <c r="N597">
        <v>1965</v>
      </c>
      <c r="O597" t="str">
        <v>Excellent, w/ instructions and packager label</v>
      </c>
      <c r="S597" t="str">
        <v>250 (2025) w/ box</v>
      </c>
      <c r="U597" t="str" xml:space="preserve">
        <v xml:space="preserve">It was manufactured for Jouets_x000d_
Renault in 1937 (cars had "Renault" in the side walls), and then after the war until the company closed. It is a rare toy.</v>
      </c>
      <c r="W597" t="str">
        <v>PG010001</v>
      </c>
      <c r="X597" t="str">
        <v>PG010002</v>
      </c>
      <c r="Y597" t="str">
        <v>PG010003</v>
      </c>
    </row>
    <row r="598">
      <c r="A598">
        <v>597</v>
      </c>
      <c r="B598" t="str">
        <v>Big Dipper</v>
      </c>
      <c r="C598">
        <v>316</v>
      </c>
      <c r="D598" t="str">
        <v>Tracks /Platform base</v>
      </c>
      <c r="E598" t="str">
        <v>Fairground</v>
      </c>
      <c r="F598" t="str">
        <v>Track w/ three cars  climbing and descending on a structure w/ 2 pillars and flags</v>
      </c>
      <c r="G598" t="str">
        <v>Battery</v>
      </c>
      <c r="H598" t="str">
        <v>Cars climb track, then descend due to gravity and repeat circuit</v>
      </c>
      <c r="I598" t="str">
        <v>Tin</v>
      </c>
      <c r="J598" t="str">
        <v>53x16x32</v>
      </c>
      <c r="K598" t="str">
        <v>Technofix</v>
      </c>
      <c r="L598" t="str">
        <v>Very Good</v>
      </c>
      <c r="M598">
        <v>1965</v>
      </c>
      <c r="N598">
        <v>1969</v>
      </c>
      <c r="O598" t="str">
        <v>Good  (part of one side of the lid missing)</v>
      </c>
      <c r="S598" t="str">
        <v>250-300 (2025) w/ box</v>
      </c>
      <c r="T598" t="str">
        <v>1 (92)</v>
      </c>
      <c r="W598" t="str">
        <v>PG010004</v>
      </c>
    </row>
    <row r="599">
      <c r="A599">
        <v>598</v>
      </c>
      <c r="B599" t="str">
        <v>Camioneta com Toros, Man Logging Truck</v>
      </c>
      <c r="C599">
        <v>478</v>
      </c>
      <c r="D599" t="str">
        <v>Vans/Buses &amp;Trucks</v>
      </c>
      <c r="E599" t="str">
        <v>Travel &amp; Transport</v>
      </c>
      <c r="F599" t="str">
        <v>Orange and blue truck w/ wood logs</v>
      </c>
      <c r="G599" t="str">
        <v>Other</v>
      </c>
      <c r="H599" t="str">
        <v>Load  tray can tilt</v>
      </c>
      <c r="I599" t="str">
        <v>Plastic</v>
      </c>
      <c r="J599" t="str">
        <v>28x10.5x10</v>
      </c>
      <c r="K599" t="str">
        <v>Osul</v>
      </c>
      <c r="L599" t="str">
        <v>Excellent</v>
      </c>
      <c r="M599">
        <v>1955</v>
      </c>
      <c r="N599">
        <v>1980</v>
      </c>
      <c r="O599" t="str">
        <v>Excellent</v>
      </c>
      <c r="P599">
        <v>1</v>
      </c>
      <c r="R599" t="str">
        <v>Francisco Abreu Freitas agente comercial Osul</v>
      </c>
      <c r="S599" t="str">
        <v>500 (2026) w/ box</v>
      </c>
      <c r="U599" t="str">
        <v>Can have different colours; in the catalogue of 1955 comes without logs (we also have also this version with clockwork, no. 1002 toy 643); this is a later version, the packaging  has a later logo</v>
      </c>
      <c r="W599" t="str">
        <v>PG010005</v>
      </c>
      <c r="X599" t="str">
        <v>PG010006</v>
      </c>
    </row>
    <row r="600">
      <c r="A600">
        <v>599</v>
      </c>
      <c r="B600" t="str">
        <v>Pronto Socorro com bombeiros</v>
      </c>
      <c r="C600">
        <v>448</v>
      </c>
      <c r="D600" t="str">
        <v>Vans/Buses &amp;Trucks</v>
      </c>
      <c r="E600" t="str">
        <v>Professions/Industrial</v>
      </c>
      <c r="F600" t="str">
        <v>Red Plastic firemen car w/ 9 men</v>
      </c>
      <c r="G600" t="str">
        <v>Other</v>
      </c>
      <c r="H600" t="str">
        <v>No action</v>
      </c>
      <c r="I600" t="str">
        <v>Plastic</v>
      </c>
      <c r="J600" t="str">
        <v>28x9x9</v>
      </c>
      <c r="K600" t="str">
        <v>Osul</v>
      </c>
      <c r="L600" t="str">
        <v>Excellent</v>
      </c>
      <c r="M600">
        <v>1955</v>
      </c>
      <c r="N600">
        <v>1970</v>
      </c>
      <c r="O600" t="str">
        <v>Excellent</v>
      </c>
      <c r="P600">
        <v>1</v>
      </c>
      <c r="R600" t="str">
        <v>Francisco Abreu Freitas agente comercial Osul</v>
      </c>
      <c r="W600" t="str">
        <v>PG010007</v>
      </c>
      <c r="X600" t="str">
        <v>PG010008</v>
      </c>
    </row>
    <row r="601">
      <c r="A601">
        <v>600</v>
      </c>
      <c r="B601" t="str">
        <v>Ambulância</v>
      </c>
      <c r="C601">
        <v>1017</v>
      </c>
      <c r="D601" t="str">
        <v>Vans/Buses &amp;Trucks</v>
      </c>
      <c r="E601" t="str">
        <v>Travel &amp; Transport</v>
      </c>
      <c r="F601" t="str">
        <v>White plastic ambulance</v>
      </c>
      <c r="G601" t="str">
        <v>Clockwork</v>
      </c>
      <c r="H601" t="str">
        <v>Moves forward, rear doors open</v>
      </c>
      <c r="I601" t="str">
        <v>Plastic</v>
      </c>
      <c r="J601" t="str">
        <v>27x9x9</v>
      </c>
      <c r="K601" t="str">
        <v>Osul</v>
      </c>
      <c r="L601" t="str">
        <v>Very Good</v>
      </c>
      <c r="M601">
        <v>1955</v>
      </c>
      <c r="N601">
        <v>1970</v>
      </c>
      <c r="P601">
        <v>1</v>
      </c>
      <c r="R601" t="str">
        <v>Francisco Abreu Freitas agente comercial Osul</v>
      </c>
      <c r="W601" t="str">
        <v>PG010009</v>
      </c>
    </row>
    <row r="602">
      <c r="A602">
        <v>601</v>
      </c>
      <c r="B602" t="str">
        <v>Auto-Tanque</v>
      </c>
      <c r="C602">
        <v>1014</v>
      </c>
      <c r="D602" t="str">
        <v>Vans/Buses &amp;Trucks</v>
      </c>
      <c r="E602" t="str">
        <v>Travel &amp; Transport</v>
      </c>
      <c r="F602" t="str">
        <v>Plastic pink and red tank truck</v>
      </c>
      <c r="G602" t="str">
        <v>Clockwork</v>
      </c>
      <c r="H602" t="str">
        <v>Moves forward</v>
      </c>
      <c r="I602" t="str">
        <v>Plastic</v>
      </c>
      <c r="J602" t="str">
        <v>30x9x11</v>
      </c>
      <c r="K602" t="str">
        <v>Osul</v>
      </c>
      <c r="L602" t="str">
        <v>Very Good</v>
      </c>
      <c r="M602">
        <v>1955</v>
      </c>
      <c r="N602">
        <v>1970</v>
      </c>
      <c r="P602">
        <v>0.75</v>
      </c>
      <c r="R602" t="str">
        <v>Francisco Abreu Freitas agente comercial Osul</v>
      </c>
      <c r="U602" t="str">
        <v>The tank reads "Shell", version in catalogue of 1956 reads  "Atlantic"</v>
      </c>
      <c r="V602" t="str">
        <v>one wheel w/ defect</v>
      </c>
      <c r="W602" t="str">
        <v>PG010010</v>
      </c>
    </row>
    <row r="603">
      <c r="A603">
        <v>602</v>
      </c>
      <c r="B603" t="str">
        <v>Ciclista Equilibrista</v>
      </c>
      <c r="C603">
        <v>472</v>
      </c>
      <c r="D603" t="str">
        <v>Carriages &amp; Cycles</v>
      </c>
      <c r="E603" t="str">
        <v>Circus &amp; Clowns</v>
      </c>
      <c r="F603" t="str">
        <v>Boy cycling on a rope</v>
      </c>
      <c r="G603" t="str">
        <v>Other</v>
      </c>
      <c r="H603" t="str">
        <v>Boy cycles on rope due to gravity and stays vertical by a weight</v>
      </c>
      <c r="I603" t="str">
        <v>Plastic</v>
      </c>
      <c r="J603" t="str">
        <v>7x2x16</v>
      </c>
      <c r="K603" t="str">
        <v>Osul</v>
      </c>
      <c r="L603" t="str">
        <v>Excellent</v>
      </c>
      <c r="M603">
        <v>1955</v>
      </c>
      <c r="N603">
        <v>1980</v>
      </c>
      <c r="O603" t="str">
        <v>unopened</v>
      </c>
      <c r="P603">
        <v>0.25</v>
      </c>
      <c r="R603" t="str">
        <v>Francisco Abreu Freitas agente comercial Osul</v>
      </c>
      <c r="U603" t="str">
        <v>In the catologue of 1956, no. 472, in package ref.23</v>
      </c>
      <c r="V603" t="str">
        <v>we have 2, w/ different colours, 1 w/ packaging</v>
      </c>
      <c r="W603" t="str">
        <v>PG010011</v>
      </c>
    </row>
    <row r="604">
      <c r="A604">
        <v>603</v>
      </c>
      <c r="B604" t="str">
        <v>Carro de Assalto</v>
      </c>
      <c r="C604">
        <v>1011</v>
      </c>
      <c r="D604" t="str">
        <v>Military vehicles</v>
      </c>
      <c r="E604" t="str">
        <v>Military</v>
      </c>
      <c r="F604" t="str">
        <v>Grey plastic tank</v>
      </c>
      <c r="G604" t="str">
        <v>Clockwork</v>
      </c>
      <c r="H604" t="str">
        <v>Moves forward</v>
      </c>
      <c r="I604" t="str">
        <v>Plastic</v>
      </c>
      <c r="J604" t="str">
        <v>13x7x7</v>
      </c>
      <c r="K604" t="str">
        <v>Osul</v>
      </c>
      <c r="L604" t="str">
        <v>Excellent</v>
      </c>
      <c r="M604">
        <v>1955</v>
      </c>
      <c r="N604">
        <v>1970</v>
      </c>
      <c r="P604">
        <v>0.25</v>
      </c>
      <c r="R604" t="str">
        <v>Francisco Abreu Freitas agente comercial Osul</v>
      </c>
      <c r="W604" t="str">
        <v>PG010012</v>
      </c>
      <c r="X604" t="str">
        <v>PG010013</v>
      </c>
    </row>
    <row r="605">
      <c r="A605">
        <v>604</v>
      </c>
      <c r="B605" t="str">
        <v>Citroen ID</v>
      </c>
      <c r="C605">
        <v>4001</v>
      </c>
      <c r="D605" t="str">
        <v>Cars</v>
      </c>
      <c r="E605" t="str">
        <v>Travel &amp; Transport</v>
      </c>
      <c r="F605" t="str">
        <v>Red w/ black top citroen</v>
      </c>
      <c r="G605" t="str">
        <v>Battery</v>
      </c>
      <c r="H605" t="str">
        <v>Moves forward or backwards</v>
      </c>
      <c r="I605" t="str">
        <v>Plastic</v>
      </c>
      <c r="J605" t="str">
        <v>21.5x8.5x6.5</v>
      </c>
      <c r="K605" t="str">
        <v>Osul</v>
      </c>
      <c r="L605" t="str">
        <v>Excellent</v>
      </c>
      <c r="M605">
        <v>1969</v>
      </c>
      <c r="N605">
        <v>1980</v>
      </c>
      <c r="O605" t="str">
        <v>Excellent</v>
      </c>
      <c r="P605">
        <v>1</v>
      </c>
      <c r="R605" t="str">
        <v>Francisco Abreu Freitas agente comercial Osul</v>
      </c>
      <c r="S605" t="str">
        <v>150 (2025) w/ box</v>
      </c>
      <c r="U605" t="str">
        <v>Three versions exist: taxi, touring, fire brigade</v>
      </c>
      <c r="W605" t="str">
        <v>PG010014</v>
      </c>
      <c r="X605" t="str">
        <v>PG010015</v>
      </c>
    </row>
    <row r="606">
      <c r="A606">
        <v>605</v>
      </c>
      <c r="B606" t="str">
        <v>Porto - Lisboa bus</v>
      </c>
      <c r="D606" t="str">
        <v>Vans/Buses &amp;Trucks</v>
      </c>
      <c r="E606" t="str">
        <v>Travel &amp; Transport</v>
      </c>
      <c r="F606" t="str">
        <v>Red &amp; yellow Porto - Lisboa bus</v>
      </c>
      <c r="G606" t="str">
        <v>Clockwork</v>
      </c>
      <c r="H606" t="str">
        <v>Moves forward</v>
      </c>
      <c r="I606" t="str">
        <v>Tin</v>
      </c>
      <c r="J606" t="str">
        <v>24x6x8</v>
      </c>
      <c r="K606" t="str">
        <v>Coelho de Sousa</v>
      </c>
      <c r="L606" t="str">
        <v>Good</v>
      </c>
      <c r="M606">
        <v>1948</v>
      </c>
      <c r="N606">
        <v>1955</v>
      </c>
      <c r="S606" t="str">
        <v>60-80 (2025)</v>
      </c>
      <c r="T606" t="str">
        <v>85 (47)</v>
      </c>
      <c r="W606" t="str">
        <v>PG010016</v>
      </c>
      <c r="X606" t="str">
        <v>PG010017</v>
      </c>
    </row>
    <row r="607">
      <c r="A607">
        <v>606</v>
      </c>
      <c r="B607" t="str">
        <v>Volkswagen com Sirene e Fricção</v>
      </c>
      <c r="C607">
        <v>1002</v>
      </c>
      <c r="D607" t="str">
        <v>Cars</v>
      </c>
      <c r="E607" t="str">
        <v>Police</v>
      </c>
      <c r="F607" t="str">
        <v>White VW traffic brigade</v>
      </c>
      <c r="G607" t="str">
        <v>Friction</v>
      </c>
      <c r="H607" t="str">
        <v>Moves forward</v>
      </c>
      <c r="I607" t="str">
        <v>Plastic</v>
      </c>
      <c r="J607" t="str">
        <v>20x8x13</v>
      </c>
      <c r="K607" t="str">
        <v>JATO &amp; PEPE</v>
      </c>
      <c r="L607" t="str">
        <v>Excellent</v>
      </c>
      <c r="M607">
        <v>1977</v>
      </c>
      <c r="N607">
        <v>2010</v>
      </c>
      <c r="O607" t="str">
        <v>Excellent</v>
      </c>
      <c r="S607" t="str">
        <v>20-40 (2025) w/ box</v>
      </c>
      <c r="T607" t="str">
        <v>140 (158) 141 (73)</v>
      </c>
      <c r="W607" t="str">
        <v>PG010018</v>
      </c>
    </row>
    <row r="608">
      <c r="A608">
        <v>607</v>
      </c>
      <c r="B608" t="str">
        <v>Automóvel</v>
      </c>
      <c r="C608">
        <v>1001</v>
      </c>
      <c r="D608" t="str">
        <v>Cars</v>
      </c>
      <c r="E608" t="str">
        <v>Travel &amp; Transport</v>
      </c>
      <c r="F608" t="str">
        <v>White and blue plastic car w/ three passengers</v>
      </c>
      <c r="G608" t="str">
        <v>Clockwork</v>
      </c>
      <c r="H608" t="str">
        <v>Moves forward</v>
      </c>
      <c r="I608" t="str">
        <v>Plastic</v>
      </c>
      <c r="J608" t="str">
        <v>22x9x7</v>
      </c>
      <c r="K608" t="str">
        <v>Osul</v>
      </c>
      <c r="L608" t="str">
        <v>Excellent</v>
      </c>
      <c r="M608">
        <v>1950</v>
      </c>
      <c r="N608">
        <v>1970</v>
      </c>
      <c r="O608" t="str">
        <v>Excellent</v>
      </c>
      <c r="P608">
        <v>0.75</v>
      </c>
      <c r="R608" t="str">
        <v>Francisco Abreu Freitas agente comercial Osul</v>
      </c>
      <c r="T608" t="str">
        <v>85 (38)</v>
      </c>
      <c r="U608" t="str">
        <v>Various colours</v>
      </c>
      <c r="W608" t="str">
        <v>PG010019</v>
      </c>
      <c r="X608" t="str">
        <v>PG010020</v>
      </c>
    </row>
    <row r="609">
      <c r="A609">
        <v>608</v>
      </c>
      <c r="B609" t="str">
        <v>Automóvel Mercury</v>
      </c>
      <c r="C609">
        <v>1021</v>
      </c>
      <c r="D609" t="str">
        <v>Cars</v>
      </c>
      <c r="E609" t="str">
        <v>Travel &amp; Transport</v>
      </c>
      <c r="F609" t="str">
        <v>Blue plastic car</v>
      </c>
      <c r="G609" t="str">
        <v>Clockwork</v>
      </c>
      <c r="H609" t="str">
        <v>Moves forward</v>
      </c>
      <c r="I609" t="str">
        <v>Plastic</v>
      </c>
      <c r="J609" t="str">
        <v>28x9.5x8</v>
      </c>
      <c r="K609" t="str">
        <v>Osul</v>
      </c>
      <c r="L609" t="str">
        <v>Very Good</v>
      </c>
      <c r="M609">
        <v>1955</v>
      </c>
      <c r="N609">
        <v>1970</v>
      </c>
      <c r="O609" t="str">
        <v>Excellent</v>
      </c>
      <c r="P609">
        <v>1</v>
      </c>
      <c r="R609" t="str">
        <v>Francisco Abreu Freitas agente comercial Osul</v>
      </c>
      <c r="U609" t="str">
        <v>Remade in the 1980s w/ a new box and renamed Ford Fairlane</v>
      </c>
      <c r="V609" t="str">
        <v>we have also a green version; back bumper is missing</v>
      </c>
      <c r="W609" t="str">
        <v>PG010021</v>
      </c>
      <c r="X609" t="str">
        <v>PG010022</v>
      </c>
      <c r="Y609" t="str">
        <v>PG010022A</v>
      </c>
    </row>
    <row r="610">
      <c r="A610">
        <v>609</v>
      </c>
      <c r="B610" t="str">
        <v>Palhaço com cordel</v>
      </c>
      <c r="C610">
        <v>561</v>
      </c>
      <c r="D610" t="str">
        <v>People</v>
      </c>
      <c r="E610" t="str">
        <v>Circus &amp; Clowns</v>
      </c>
      <c r="F610" t="str">
        <v>Articulated plastic clown</v>
      </c>
      <c r="G610" t="str">
        <v>Other</v>
      </c>
      <c r="H610" t="str">
        <v>Moves arms and legs</v>
      </c>
      <c r="I610" t="str">
        <v>Plastic</v>
      </c>
      <c r="J610" t="str">
        <v>15x8x13</v>
      </c>
      <c r="K610" t="str">
        <v>Osul</v>
      </c>
      <c r="L610" t="str">
        <v>Excellent</v>
      </c>
      <c r="M610">
        <v>1955</v>
      </c>
      <c r="N610">
        <v>1970</v>
      </c>
      <c r="O610" t="str">
        <v>unopened</v>
      </c>
      <c r="P610">
        <v>0.25</v>
      </c>
      <c r="R610" t="str">
        <v>Francisco Abreu Freitas agente comercial Osul</v>
      </c>
      <c r="U610" t="str">
        <v>We have 2, one in unopened package; various colour combinations</v>
      </c>
      <c r="W610" t="str">
        <v>PG010023</v>
      </c>
    </row>
    <row r="611">
      <c r="A611">
        <v>610</v>
      </c>
      <c r="B611" t="str">
        <v>Policia Sinaleiro</v>
      </c>
      <c r="C611">
        <v>504</v>
      </c>
      <c r="D611" t="str">
        <v>People</v>
      </c>
      <c r="E611" t="str">
        <v>Professions/Industrial</v>
      </c>
      <c r="F611" t="str">
        <v>Plastic light green traffic policeman</v>
      </c>
      <c r="G611" t="str">
        <v>Other</v>
      </c>
      <c r="H611" t="str">
        <v>Blowing air, moves arms and rotates body</v>
      </c>
      <c r="I611" t="str">
        <v>Plastic</v>
      </c>
      <c r="J611" t="str">
        <v>14x7x16</v>
      </c>
      <c r="K611" t="str">
        <v>Osul</v>
      </c>
      <c r="L611" t="str">
        <v>Excellent</v>
      </c>
      <c r="M611">
        <v>1955</v>
      </c>
      <c r="N611">
        <v>1970</v>
      </c>
      <c r="P611">
        <v>0.25</v>
      </c>
      <c r="R611" t="str">
        <v>Francisco Abreu Freitas agente comercial Osul</v>
      </c>
      <c r="T611" t="str">
        <v>85 (56) 141 (126)</v>
      </c>
      <c r="U611" t="str">
        <v>There is a similar toy (not equal) made in Italy in the 1950s</v>
      </c>
      <c r="W611" t="str">
        <v>PG010024</v>
      </c>
    </row>
    <row r="612">
      <c r="A612">
        <v>611</v>
      </c>
      <c r="B612" t="str">
        <v>Par Dançante</v>
      </c>
      <c r="C612">
        <v>1007</v>
      </c>
      <c r="D612" t="str">
        <v>People</v>
      </c>
      <c r="E612" t="str">
        <v>Sports &amp; Leisure</v>
      </c>
      <c r="F612" t="str">
        <v>Dancing couple, him dressed in black, she has a blue skirt</v>
      </c>
      <c r="G612" t="str">
        <v>Clockwork</v>
      </c>
      <c r="H612" t="str">
        <v xml:space="preserve">They move around the floor </v>
      </c>
      <c r="I612" t="str">
        <v>Plastic</v>
      </c>
      <c r="J612" t="str">
        <v>8x7x13</v>
      </c>
      <c r="K612" t="str">
        <v>Osul</v>
      </c>
      <c r="L612" t="str">
        <v>Excellent</v>
      </c>
      <c r="M612">
        <v>1955</v>
      </c>
      <c r="N612">
        <v>1970</v>
      </c>
      <c r="O612" t="str">
        <v>Good</v>
      </c>
      <c r="P612">
        <v>0.75</v>
      </c>
      <c r="R612" t="str">
        <v>Francisco Abreu Freitas agente comercial Osul</v>
      </c>
      <c r="W612" t="str">
        <v>PG010025</v>
      </c>
    </row>
    <row r="613">
      <c r="A613">
        <v>612</v>
      </c>
      <c r="B613" t="str">
        <v>Gato com Bengala e Malinha</v>
      </c>
      <c r="C613">
        <v>1058</v>
      </c>
      <c r="D613" t="str">
        <v>Animals</v>
      </c>
      <c r="E613" t="str">
        <v>Character</v>
      </c>
      <c r="F613" t="str">
        <v>Plastic Puss in Boots</v>
      </c>
      <c r="G613" t="str">
        <v>Clockwork</v>
      </c>
      <c r="H613" t="str">
        <v>Walks on legs</v>
      </c>
      <c r="I613" t="str">
        <v>Plastic</v>
      </c>
      <c r="J613" t="str">
        <v>14x4.5x12.5</v>
      </c>
      <c r="K613" t="str">
        <v>Osul</v>
      </c>
      <c r="L613" t="str">
        <v>Excellent</v>
      </c>
      <c r="M613">
        <v>1955</v>
      </c>
      <c r="N613">
        <v>1970</v>
      </c>
      <c r="P613">
        <v>1</v>
      </c>
      <c r="R613" t="str">
        <v>Francisco Abreu Freitas agente comercial Osul</v>
      </c>
      <c r="T613" t="str">
        <v>141 (137)</v>
      </c>
      <c r="W613" t="str">
        <v>PG010026</v>
      </c>
      <c r="X613" t="str">
        <v>PG010027</v>
      </c>
      <c r="Y613" t="str">
        <v>PG010028</v>
      </c>
    </row>
    <row r="614">
      <c r="A614">
        <v>613</v>
      </c>
      <c r="B614" t="str">
        <v>O Pinguim Bonito</v>
      </c>
      <c r="C614">
        <v>1057</v>
      </c>
      <c r="D614" t="str">
        <v>Animals</v>
      </c>
      <c r="E614" t="str">
        <v>Animals</v>
      </c>
      <c r="F614" t="str">
        <v>Plastic Penguin</v>
      </c>
      <c r="G614" t="str">
        <v>Clockwork</v>
      </c>
      <c r="H614" t="str">
        <v xml:space="preserve">Waves body laterally </v>
      </c>
      <c r="I614" t="str">
        <v>Plastic</v>
      </c>
      <c r="J614" t="str">
        <v>11x9x17</v>
      </c>
      <c r="K614" t="str">
        <v>Osul</v>
      </c>
      <c r="L614" t="str">
        <v>Reasonable</v>
      </c>
      <c r="M614">
        <v>1955</v>
      </c>
      <c r="N614">
        <v>1970</v>
      </c>
      <c r="O614" t="str">
        <v>Very Good</v>
      </c>
      <c r="P614">
        <v>0.25</v>
      </c>
      <c r="R614" t="str">
        <v>Francisco Abreu Freitas agente comercial Osul</v>
      </c>
      <c r="T614" t="str">
        <v>85 (53)</v>
      </c>
      <c r="V614" t="str">
        <v>not working</v>
      </c>
      <c r="W614" t="str">
        <v>PG010029</v>
      </c>
      <c r="X614" t="str">
        <v>PG010030</v>
      </c>
    </row>
    <row r="615">
      <c r="A615">
        <v>614</v>
      </c>
      <c r="B615" t="str">
        <v>O Galgo Veloz</v>
      </c>
      <c r="C615">
        <v>1059</v>
      </c>
      <c r="D615" t="str">
        <v>Animals</v>
      </c>
      <c r="E615" t="str">
        <v>Animals</v>
      </c>
      <c r="F615" t="str">
        <v>White plastic greyhound dog</v>
      </c>
      <c r="G615" t="str">
        <v>Clockwork</v>
      </c>
      <c r="H615" t="str">
        <v>Jumps on front and rear legs</v>
      </c>
      <c r="I615" t="str">
        <v>Plastic</v>
      </c>
      <c r="J615" t="str">
        <v>23x5x11</v>
      </c>
      <c r="K615" t="str">
        <v>Osul</v>
      </c>
      <c r="L615" t="str">
        <v>Very Good</v>
      </c>
      <c r="M615">
        <v>1955</v>
      </c>
      <c r="N615">
        <v>1970</v>
      </c>
      <c r="O615" t="str">
        <v>Excellent</v>
      </c>
      <c r="P615">
        <v>0.5</v>
      </c>
      <c r="R615" t="str">
        <v>Francisco Abreu Freitas agente comercial Osul</v>
      </c>
      <c r="V615" t="str">
        <v>one ear missing</v>
      </c>
      <c r="W615" t="str">
        <v>PG010031</v>
      </c>
      <c r="X615" t="str">
        <v>PG010032</v>
      </c>
    </row>
    <row r="616">
      <c r="A616">
        <v>615</v>
      </c>
      <c r="B616" t="str">
        <v>O Alegre Marinheiro</v>
      </c>
      <c r="C616">
        <v>1052</v>
      </c>
      <c r="D616" t="str">
        <v>People</v>
      </c>
      <c r="E616" t="str">
        <v>Military</v>
      </c>
      <c r="F616" t="str">
        <v>Sailor holding cage w/ bird</v>
      </c>
      <c r="G616" t="str">
        <v>Clockwork</v>
      </c>
      <c r="H616" t="str">
        <v>Waves laterally and moves arms</v>
      </c>
      <c r="I616" t="str">
        <v>Plastic</v>
      </c>
      <c r="J616" t="str">
        <v>7x11x17</v>
      </c>
      <c r="K616" t="str">
        <v>Osul</v>
      </c>
      <c r="L616" t="str">
        <v>Reasonable</v>
      </c>
      <c r="M616">
        <v>1955</v>
      </c>
      <c r="N616">
        <v>1970</v>
      </c>
      <c r="O616" t="str">
        <v>Excellent</v>
      </c>
      <c r="P616">
        <v>0.5</v>
      </c>
      <c r="R616" t="str">
        <v>Francisco Abreu Freitas agente comercial Osul</v>
      </c>
      <c r="T616" t="str">
        <v>140 (34) 141 (130)</v>
      </c>
      <c r="U616" t="str">
        <v>Toy is similar to Barnacle Bill by Triang Minic 111 (118) made in 1950s</v>
      </c>
      <c r="V616" t="str">
        <v>legs are broken, mechanism not working</v>
      </c>
      <c r="W616" t="str">
        <v>PG010033</v>
      </c>
      <c r="X616" t="str">
        <v>PG010034</v>
      </c>
      <c r="Y616" t="str">
        <v>PG010035</v>
      </c>
    </row>
    <row r="617">
      <c r="A617">
        <v>616</v>
      </c>
      <c r="B617" t="str">
        <v>Rádio com música</v>
      </c>
      <c r="C617">
        <v>1006</v>
      </c>
      <c r="D617" t="str">
        <v>Banks</v>
      </c>
      <c r="E617" t="str">
        <v>Musical /Optical</v>
      </c>
      <c r="F617" t="str">
        <v>Green plastic radio</v>
      </c>
      <c r="G617" t="str">
        <v>Clockwork</v>
      </c>
      <c r="H617" t="str">
        <v>Plays music when dropping a coin</v>
      </c>
      <c r="I617" t="str">
        <v>Plastic</v>
      </c>
      <c r="J617" t="str">
        <v>13x6x10</v>
      </c>
      <c r="K617" t="str">
        <v>Osul</v>
      </c>
      <c r="L617" t="str">
        <v>Excellent</v>
      </c>
      <c r="M617">
        <v>1955</v>
      </c>
      <c r="N617">
        <v>1970</v>
      </c>
      <c r="O617" t="str">
        <v>Excellent</v>
      </c>
      <c r="P617">
        <v>0.75</v>
      </c>
      <c r="R617" t="str">
        <v>Francisco Abreu Freitas agente comercial Osul</v>
      </c>
      <c r="W617" t="str">
        <v>PG010036</v>
      </c>
    </row>
    <row r="618">
      <c r="A618">
        <v>617</v>
      </c>
      <c r="B618" t="str">
        <v>Rádio sem música</v>
      </c>
      <c r="C618">
        <v>311</v>
      </c>
      <c r="D618" t="str">
        <v>Banks</v>
      </c>
      <c r="E618" t="str">
        <v>Miscellaneous</v>
      </c>
      <c r="F618" t="str">
        <v>Cream plastic radio</v>
      </c>
      <c r="G618" t="str">
        <v>Other</v>
      </c>
      <c r="H618" t="str">
        <v>Still bank</v>
      </c>
      <c r="I618" t="str">
        <v>Plastic</v>
      </c>
      <c r="J618" t="str">
        <v>13x6x10</v>
      </c>
      <c r="K618" t="str">
        <v>Osul</v>
      </c>
      <c r="L618" t="str">
        <v>Excellent</v>
      </c>
      <c r="M618">
        <v>1955</v>
      </c>
      <c r="N618">
        <v>1970</v>
      </c>
      <c r="P618">
        <v>0.25</v>
      </c>
      <c r="R618" t="str">
        <v>Francisco Abreu Freitas agente comercial Osul</v>
      </c>
      <c r="W618" t="str">
        <v>PG010037</v>
      </c>
    </row>
    <row r="619">
      <c r="A619">
        <v>618</v>
      </c>
      <c r="B619" t="str">
        <v>Menino em cama com penico</v>
      </c>
      <c r="D619" t="str">
        <v>People</v>
      </c>
      <c r="E619" t="str">
        <v>Miscellaneous</v>
      </c>
      <c r="F619" t="str">
        <v>Baby in blue bed w/ night pot</v>
      </c>
      <c r="G619" t="str">
        <v>Other</v>
      </c>
      <c r="H619" t="str">
        <v>Pushing a lever, baby rotates and sits on pot</v>
      </c>
      <c r="I619" t="str">
        <v>Plastic</v>
      </c>
      <c r="J619" t="str">
        <v>12x8x8</v>
      </c>
      <c r="K619" t="str">
        <v>Léon Petit</v>
      </c>
      <c r="L619" t="str">
        <v>Very Good</v>
      </c>
      <c r="M619">
        <v>1955</v>
      </c>
      <c r="N619">
        <v>1960</v>
      </c>
      <c r="P619">
        <v>2.5</v>
      </c>
      <c r="T619" t="str">
        <v>141 (114)</v>
      </c>
      <c r="U619" t="str">
        <v xml:space="preserve">A very similar toy was also made by Baquelite Liz 141 (212) in the 1960s - could this be it?; a similar toy named "Pot-me-Doll" was manufactured by Empire Toys (Hong-Kong) in the early 1960s </v>
      </c>
      <c r="W619" t="str">
        <v>PG010038</v>
      </c>
    </row>
    <row r="620">
      <c r="A620">
        <v>619</v>
      </c>
      <c r="B620" t="str">
        <v>Vagoneta</v>
      </c>
      <c r="C620">
        <v>1065</v>
      </c>
      <c r="D620" t="str">
        <v>Animals</v>
      </c>
      <c r="E620" t="str">
        <v>Travel &amp; Transport</v>
      </c>
      <c r="F620" t="str">
        <v>Two monkeys riding a wagon</v>
      </c>
      <c r="G620" t="str">
        <v>Clockwork</v>
      </c>
      <c r="H620" t="str">
        <v>The monkeys push down alternatively a lever to make the wagon move</v>
      </c>
      <c r="I620" t="str">
        <v>Plastic</v>
      </c>
      <c r="J620" t="str">
        <v>16x4x10</v>
      </c>
      <c r="K620" t="str">
        <v>Osul</v>
      </c>
      <c r="L620" t="str">
        <v>Very Good</v>
      </c>
      <c r="M620">
        <v>1955</v>
      </c>
      <c r="N620">
        <v>1970</v>
      </c>
      <c r="O620" t="str">
        <v>Excellent</v>
      </c>
      <c r="P620">
        <v>0.25</v>
      </c>
      <c r="R620" t="str">
        <v>Francisco Abreu Freitas agente comercial Osul</v>
      </c>
      <c r="T620" t="str">
        <v>85 (53)</v>
      </c>
      <c r="V620" t="str">
        <v>tail of one monkey missing</v>
      </c>
      <c r="W620" t="str">
        <v>PG010039</v>
      </c>
    </row>
    <row r="621">
      <c r="A621">
        <v>620</v>
      </c>
      <c r="B621" t="str">
        <v>Cão com Bengala</v>
      </c>
      <c r="C621">
        <v>1053</v>
      </c>
      <c r="D621" t="str">
        <v>Animals</v>
      </c>
      <c r="E621" t="str">
        <v>Animals</v>
      </c>
      <c r="F621" t="str">
        <v>Plastic dog w/ walking stick in mouth</v>
      </c>
      <c r="G621" t="str">
        <v>Clockwork</v>
      </c>
      <c r="H621" t="str">
        <v>Jumps on rear legs</v>
      </c>
      <c r="I621" t="str">
        <v>Plastic</v>
      </c>
      <c r="J621" t="str">
        <v>8x3.5x8</v>
      </c>
      <c r="K621" t="str">
        <v>Osul</v>
      </c>
      <c r="L621" t="str">
        <v>Excellent</v>
      </c>
      <c r="M621">
        <v>1955</v>
      </c>
      <c r="N621">
        <v>1970</v>
      </c>
      <c r="P621">
        <v>0</v>
      </c>
      <c r="R621" t="str">
        <v>Francisco Abreu Freitas agente comercial Osul</v>
      </c>
      <c r="W621" t="str">
        <v>PG010040</v>
      </c>
    </row>
    <row r="622">
      <c r="A622">
        <v>621</v>
      </c>
      <c r="B622" t="str">
        <v>Pato Qua-Qua Ducky Qua-Qua</v>
      </c>
      <c r="C622">
        <v>510</v>
      </c>
      <c r="D622" t="str">
        <v>Animals</v>
      </c>
      <c r="E622" t="str">
        <v>Animals</v>
      </c>
      <c r="F622" t="str">
        <v>Light green plastic duck</v>
      </c>
      <c r="G622" t="str">
        <v>Other</v>
      </c>
      <c r="H622" t="str">
        <v>moves legs, opens/closes mouth, quacks</v>
      </c>
      <c r="I622" t="str">
        <v>Plastic</v>
      </c>
      <c r="J622" t="str">
        <v>12x7x10.5</v>
      </c>
      <c r="K622" t="str">
        <v>Osul</v>
      </c>
      <c r="L622" t="str">
        <v>Excellent</v>
      </c>
      <c r="M622">
        <v>1955</v>
      </c>
      <c r="N622">
        <v>1980</v>
      </c>
      <c r="P622">
        <v>0.37</v>
      </c>
      <c r="R622" t="str">
        <v>Francisco Abreu Freitas agente comercial Osul</v>
      </c>
      <c r="U622" t="str">
        <v>Could also be no. 458 (catalogue 1956)</v>
      </c>
      <c r="W622" t="str">
        <v>PG010041</v>
      </c>
    </row>
    <row r="623">
      <c r="A623">
        <v>622</v>
      </c>
      <c r="B623" t="str">
        <v>Boneco que Ri</v>
      </c>
      <c r="C623">
        <v>500</v>
      </c>
      <c r="D623" t="str">
        <v>People</v>
      </c>
      <c r="E623" t="str">
        <v>Sports &amp; Leisure</v>
      </c>
      <c r="F623" t="str">
        <v>Man laughing w/ hands on belly</v>
      </c>
      <c r="G623" t="str">
        <v>Other</v>
      </c>
      <c r="H623" t="str">
        <v>Upon pushing button he "laughs" and moves  body and head</v>
      </c>
      <c r="I623" t="str">
        <v>Plastic</v>
      </c>
      <c r="J623" t="str">
        <v>7.5x5x11</v>
      </c>
      <c r="K623" t="str">
        <v>Osul</v>
      </c>
      <c r="L623" t="str">
        <v>Good</v>
      </c>
      <c r="M623">
        <v>1955</v>
      </c>
      <c r="N623">
        <v>1970</v>
      </c>
      <c r="P623">
        <v>0.12</v>
      </c>
      <c r="R623" t="str">
        <v>Francisco Abreu Freitas agente comercial Osul</v>
      </c>
      <c r="T623" t="str">
        <v>141 (137)</v>
      </c>
      <c r="U623" t="str">
        <v>We have another similar toy, with the difference that the pushbutton is behind the laughing man; this was made by OSKAR in Italy (operated in 1950s–1980s and made various bobbleheads and figurines</v>
      </c>
      <c r="V623" t="str">
        <v xml:space="preserve">The hat is missing; </v>
      </c>
      <c r="W623" t="str">
        <v>PG010042</v>
      </c>
      <c r="X623" t="str">
        <v>PG010043</v>
      </c>
    </row>
    <row r="624">
      <c r="A624">
        <v>623</v>
      </c>
      <c r="B624" t="str">
        <v>Soldado Andante</v>
      </c>
      <c r="D624" t="str">
        <v>People</v>
      </c>
      <c r="E624" t="str">
        <v>Military</v>
      </c>
      <c r="F624" t="str">
        <v>Walking ramp blue soldier</v>
      </c>
      <c r="G624" t="str">
        <v>Other</v>
      </c>
      <c r="H624" t="str">
        <v>Walks pulkled by a weight</v>
      </c>
      <c r="I624" t="str">
        <v>Plastic</v>
      </c>
      <c r="J624" t="str">
        <v>4x3x7</v>
      </c>
      <c r="K624" t="str">
        <v>Baquelite Liz</v>
      </c>
      <c r="L624" t="str">
        <v>Excellent</v>
      </c>
      <c r="M624">
        <v>1952</v>
      </c>
      <c r="N624">
        <v>1960</v>
      </c>
      <c r="P624">
        <v>0</v>
      </c>
      <c r="Q624">
        <v>46023</v>
      </c>
      <c r="R624" t="str">
        <v>Oferta de Alvaro Sampaio (U Minho)</v>
      </c>
      <c r="S624" t="str">
        <v>&gt;60 (2026)</v>
      </c>
      <c r="T624" t="str">
        <v>85 (56) 141 (107)</v>
      </c>
      <c r="U624" t="str">
        <v>Usually attributed to OSUL; "Soldier 31" generally refers to a popular song, often associated with the Portuguese singer Max (Maximiano de Sousa), which narrates the adventures of a clumsy soldier with large boots.</v>
      </c>
      <c r="W624" t="str">
        <v>PG010044</v>
      </c>
      <c r="X624" t="str">
        <v>PG010045</v>
      </c>
    </row>
    <row r="625">
      <c r="A625">
        <v>624</v>
      </c>
      <c r="B625" t="str">
        <v>Ébrio</v>
      </c>
      <c r="C625">
        <v>315</v>
      </c>
      <c r="D625" t="str">
        <v>People</v>
      </c>
      <c r="E625" t="str">
        <v>Sports &amp; Leisure</v>
      </c>
      <c r="F625" t="str">
        <v>Drunken w/ wine glass in mouth</v>
      </c>
      <c r="G625" t="str">
        <v>Other</v>
      </c>
      <c r="H625" t="str">
        <v>Man holds glass in mouth w/ a magnet</v>
      </c>
      <c r="I625" t="str">
        <v>Plastic</v>
      </c>
      <c r="J625" t="str">
        <v>4x3x7.5</v>
      </c>
      <c r="K625" t="str">
        <v>Osul</v>
      </c>
      <c r="L625" t="str">
        <v>Excellent</v>
      </c>
      <c r="M625">
        <v>1955</v>
      </c>
      <c r="N625">
        <v>1970</v>
      </c>
      <c r="P625">
        <v>0.24</v>
      </c>
      <c r="R625" t="str">
        <v>Francisco Abreu Freitas agente comercial Osul</v>
      </c>
      <c r="W625" t="str">
        <v>PG010046</v>
      </c>
    </row>
    <row r="626">
      <c r="A626">
        <v>625</v>
      </c>
      <c r="B626" t="str">
        <v>Apito com Pássaro com Língua Móvel</v>
      </c>
      <c r="C626">
        <v>560</v>
      </c>
      <c r="D626" t="str">
        <v>Animals</v>
      </c>
      <c r="E626" t="str">
        <v>Animals</v>
      </c>
      <c r="F626" t="str">
        <v>Yellow bird whistle</v>
      </c>
      <c r="G626" t="str">
        <v>Other</v>
      </c>
      <c r="H626" t="str">
        <v>Blowing makes a two-note sound and bird opens and closes beak</v>
      </c>
      <c r="I626" t="str">
        <v>Plastic</v>
      </c>
      <c r="J626" t="str">
        <v>8x2x4.5</v>
      </c>
      <c r="K626" t="str">
        <v>Osul</v>
      </c>
      <c r="L626" t="str">
        <v>Very Good</v>
      </c>
      <c r="M626">
        <v>1955</v>
      </c>
      <c r="N626">
        <v>1970</v>
      </c>
      <c r="P626">
        <v>0</v>
      </c>
      <c r="R626" t="str">
        <v>Francisco Abreu Freitas agente comercial Osul</v>
      </c>
      <c r="W626" t="str">
        <v>PG010047</v>
      </c>
    </row>
    <row r="627">
      <c r="A627">
        <v>626</v>
      </c>
      <c r="B627" t="str">
        <v>Caracol</v>
      </c>
      <c r="C627">
        <v>456</v>
      </c>
      <c r="D627" t="str">
        <v>Animals</v>
      </c>
      <c r="E627" t="str">
        <v>Animals</v>
      </c>
      <c r="F627" t="str">
        <v>Brown snail</v>
      </c>
      <c r="G627" t="str">
        <v>Other</v>
      </c>
      <c r="H627" t="str">
        <v>When pushed, body and eyes move</v>
      </c>
      <c r="I627" t="str">
        <v>Plastic</v>
      </c>
      <c r="J627" t="str">
        <v>10x4x4</v>
      </c>
      <c r="K627" t="str">
        <v>Osul</v>
      </c>
      <c r="L627" t="str">
        <v>Excellent</v>
      </c>
      <c r="M627">
        <v>1955</v>
      </c>
      <c r="N627">
        <v>1970</v>
      </c>
      <c r="P627">
        <v>0</v>
      </c>
      <c r="R627" t="str">
        <v>Francisco Abreu Freitas agente comercial Osul</v>
      </c>
      <c r="W627" t="str">
        <v>PG010048</v>
      </c>
    </row>
    <row r="628">
      <c r="A628">
        <v>627</v>
      </c>
      <c r="B628" t="str">
        <v>Locomotiva com Apito</v>
      </c>
      <c r="C628">
        <v>547</v>
      </c>
      <c r="D628" t="str">
        <v>Trains</v>
      </c>
      <c r="E628" t="str">
        <v>Travel &amp; Transport</v>
      </c>
      <c r="F628" t="str">
        <v>White train whistle</v>
      </c>
      <c r="G628" t="str">
        <v>Other</v>
      </c>
      <c r="H628" t="str">
        <v>When pushed, wheels turn; also a whistle</v>
      </c>
      <c r="I628" t="str">
        <v>Plastic</v>
      </c>
      <c r="J628" t="str">
        <v>11.5x3.5x5</v>
      </c>
      <c r="K628" t="str">
        <v>Osul</v>
      </c>
      <c r="L628" t="str">
        <v>Very Good</v>
      </c>
      <c r="M628">
        <v>1955</v>
      </c>
      <c r="N628">
        <v>1970</v>
      </c>
      <c r="P628">
        <v>0</v>
      </c>
      <c r="R628" t="str">
        <v>Francisco Abreu Freitas agente comercial Osul</v>
      </c>
      <c r="V628" t="str">
        <v>one plastic red/black strip  is new</v>
      </c>
      <c r="W628" t="str">
        <v>PG010049</v>
      </c>
    </row>
    <row r="629">
      <c r="A629">
        <v>628</v>
      </c>
      <c r="B629" t="str">
        <v>Camioneta com Coelho</v>
      </c>
      <c r="D629" t="str">
        <v>Vans/Buses &amp;Trucks</v>
      </c>
      <c r="E629" t="str">
        <v>Travel &amp; Transport</v>
      </c>
      <c r="F629" t="str">
        <v>Green open truck driven by a yellow rabbit</v>
      </c>
      <c r="G629" t="str">
        <v>Other</v>
      </c>
      <c r="H629" t="str">
        <v>When pushed rabbit moves up and down</v>
      </c>
      <c r="I629" t="str">
        <v>Plastic</v>
      </c>
      <c r="J629" t="str">
        <v>9.5x3.5x4</v>
      </c>
      <c r="K629" t="str">
        <v>UNISOTRA</v>
      </c>
      <c r="L629" t="str">
        <v>Excellent</v>
      </c>
      <c r="M629">
        <v>1950</v>
      </c>
      <c r="N629">
        <v>1954</v>
      </c>
      <c r="U629" t="str">
        <v>The toy is similar (but not equal) to the Easter Bunny Truck made by Plasticville, USA (company created in 1947), issued in 1950</v>
      </c>
      <c r="W629" t="str">
        <v>PG010050</v>
      </c>
    </row>
    <row r="630">
      <c r="A630">
        <v>629</v>
      </c>
      <c r="B630" t="str">
        <v>Moto com Pato Donald</v>
      </c>
      <c r="C630">
        <v>502</v>
      </c>
      <c r="D630" t="str">
        <v>Motorcycles &amp; Scooters</v>
      </c>
      <c r="E630" t="str">
        <v>Character</v>
      </c>
      <c r="F630" t="str">
        <v>Donald Duck driving a three-wheel motorcycle</v>
      </c>
      <c r="G630" t="str">
        <v>Other</v>
      </c>
      <c r="H630" t="str">
        <v>No action</v>
      </c>
      <c r="I630" t="str">
        <v>Plastic</v>
      </c>
      <c r="J630" t="str">
        <v>12x6.5x8</v>
      </c>
      <c r="K630" t="str">
        <v>Osul</v>
      </c>
      <c r="L630" t="str">
        <v>Excellent</v>
      </c>
      <c r="M630">
        <v>1950</v>
      </c>
      <c r="N630">
        <v>1970</v>
      </c>
      <c r="P630">
        <v>0.12</v>
      </c>
      <c r="R630" t="str">
        <v>Francisco Abreu Freitas agente comercial Osul</v>
      </c>
      <c r="T630" t="str">
        <v>141 (126)</v>
      </c>
      <c r="U630" t="str">
        <v>A similar toy was made by Marx in the 1950s-1960s, named "Donald Duck Disney Delivery", which had a pull-back clockwork 67 (123)</v>
      </c>
      <c r="W630" t="str">
        <v>PG010051</v>
      </c>
    </row>
    <row r="631">
      <c r="A631">
        <v>630</v>
      </c>
      <c r="B631" t="str">
        <v>Carrocel com Cisnes</v>
      </c>
      <c r="D631" t="str">
        <v>Spinning Tops &amp; Merry-go-Rounds</v>
      </c>
      <c r="E631" t="str">
        <v>Fairground</v>
      </c>
      <c r="F631" t="str">
        <v>Plastic carrousel w/ swans</v>
      </c>
      <c r="G631" t="str">
        <v>Other</v>
      </c>
      <c r="H631" t="str">
        <v>It spins</v>
      </c>
      <c r="I631" t="str">
        <v>Plastic</v>
      </c>
      <c r="J631" t="str">
        <v>6x6x8</v>
      </c>
      <c r="K631" t="str">
        <v>Aliança</v>
      </c>
      <c r="L631" t="str">
        <v>Excellent</v>
      </c>
      <c r="M631">
        <v>1950</v>
      </c>
      <c r="N631">
        <v>1960</v>
      </c>
      <c r="W631" t="str">
        <v>PG010052</v>
      </c>
    </row>
    <row r="632">
      <c r="A632">
        <v>631</v>
      </c>
      <c r="B632" t="str">
        <v>Ventríloquo</v>
      </c>
      <c r="C632">
        <v>258</v>
      </c>
      <c r="D632" t="str">
        <v>People</v>
      </c>
      <c r="E632" t="str">
        <v>Miscellaneous</v>
      </c>
      <c r="F632" t="str">
        <v>Plastic head and hat</v>
      </c>
      <c r="G632" t="str">
        <v>Other</v>
      </c>
      <c r="H632" t="str">
        <v>Pushing lever, mouth opens; rotating, eyes move</v>
      </c>
      <c r="I632" t="str">
        <v>Plastic</v>
      </c>
      <c r="J632" t="str">
        <v>3.5x3.5x6.5</v>
      </c>
      <c r="K632" t="str">
        <v>Osul</v>
      </c>
      <c r="L632" t="str">
        <v>Excellent</v>
      </c>
      <c r="M632">
        <v>1955</v>
      </c>
      <c r="N632">
        <v>1970</v>
      </c>
      <c r="P632">
        <v>0</v>
      </c>
      <c r="R632" t="str">
        <v>Francisco Abreu Freitas agente comercial Osul</v>
      </c>
      <c r="W632" t="str">
        <v>PG010053</v>
      </c>
    </row>
    <row r="633">
      <c r="A633">
        <v>632</v>
      </c>
      <c r="B633" t="str">
        <v>Automóvel de Pista</v>
      </c>
      <c r="C633">
        <v>1054</v>
      </c>
      <c r="D633" t="str">
        <v>Cars</v>
      </c>
      <c r="E633" t="str">
        <v>Fairground</v>
      </c>
      <c r="F633" t="str">
        <v>Plastic yellow car w/ boy</v>
      </c>
      <c r="G633" t="str">
        <v>Clockwork</v>
      </c>
      <c r="H633" t="str">
        <v>When put on the floor, moves forward</v>
      </c>
      <c r="I633" t="str">
        <v>Plastic</v>
      </c>
      <c r="J633" t="str">
        <v>14x8x11</v>
      </c>
      <c r="K633" t="str">
        <v>Osul</v>
      </c>
      <c r="L633" t="str">
        <v>Excellent</v>
      </c>
      <c r="M633">
        <v>1955</v>
      </c>
      <c r="N633">
        <v>1970</v>
      </c>
      <c r="O633" t="str">
        <v>Lid missing</v>
      </c>
      <c r="P633">
        <v>0.75</v>
      </c>
      <c r="R633" t="str">
        <v>Francisco Abreu Freitas agente comercial Osul</v>
      </c>
      <c r="T633" t="str">
        <v>141 (140)</v>
      </c>
      <c r="W633" t="str">
        <v>PG010054</v>
      </c>
    </row>
    <row r="634">
      <c r="A634">
        <v>633</v>
      </c>
      <c r="B634" t="str">
        <v>Carregador Caminhos de Ferro</v>
      </c>
      <c r="C634">
        <v>1063</v>
      </c>
      <c r="D634" t="str">
        <v>Carriages &amp; Cycles</v>
      </c>
      <c r="E634" t="str">
        <v>Travel &amp; Transport</v>
      </c>
      <c r="F634" t="str">
        <v>Trolley w/ driver and cases</v>
      </c>
      <c r="G634" t="str">
        <v>Clockwork</v>
      </c>
      <c r="H634" t="str">
        <v>Moves forwrard; any bumps on the road make driver move body</v>
      </c>
      <c r="I634" t="str">
        <v>Plastic &amp; paper</v>
      </c>
      <c r="J634" t="str">
        <v>15x7x10</v>
      </c>
      <c r="K634" t="str">
        <v>Osul</v>
      </c>
      <c r="L634" t="str">
        <v>Excellent</v>
      </c>
      <c r="M634">
        <v>1955</v>
      </c>
      <c r="N634">
        <v>1970</v>
      </c>
      <c r="O634" t="str">
        <v>Very Good</v>
      </c>
      <c r="P634">
        <v>0.5</v>
      </c>
      <c r="R634" t="str">
        <v>Francisco Abreu Freitas agente comercial Osul</v>
      </c>
      <c r="T634" t="str">
        <v>141 (130)</v>
      </c>
      <c r="U634" t="str">
        <v>Similar (but not equal) to a Gunthermann porter toy (no. 840) made in the 1950s named "Ted Cap Champion"  46 (137)</v>
      </c>
      <c r="W634" t="str">
        <v>PG010055</v>
      </c>
    </row>
    <row r="635">
      <c r="A635">
        <v>634</v>
      </c>
      <c r="B635" t="str">
        <v>Cavalo com Cavaleiro</v>
      </c>
      <c r="C635">
        <v>1023</v>
      </c>
      <c r="D635" t="str">
        <v>People</v>
      </c>
      <c r="E635" t="str">
        <v>Sports &amp; Leisure</v>
      </c>
      <c r="F635" t="str">
        <v>Plastic white horse w/ brown jockey</v>
      </c>
      <c r="G635" t="str">
        <v>Clockwork</v>
      </c>
      <c r="H635" t="str">
        <v>Horse jumps, moving forward</v>
      </c>
      <c r="I635" t="str">
        <v>Plastic</v>
      </c>
      <c r="J635" t="str">
        <v>15x5.5x16</v>
      </c>
      <c r="K635" t="str">
        <v>Osul</v>
      </c>
      <c r="L635" t="str">
        <v>Very Good</v>
      </c>
      <c r="M635">
        <v>1955</v>
      </c>
      <c r="N635">
        <v>1970</v>
      </c>
      <c r="P635">
        <v>0.75</v>
      </c>
      <c r="R635" t="str">
        <v>Francisco Abreu Freitas agente comercial Osul</v>
      </c>
      <c r="W635" t="str">
        <v>PG010056</v>
      </c>
    </row>
    <row r="636">
      <c r="A636">
        <v>635</v>
      </c>
      <c r="B636" t="str">
        <v>Carro Aranha com Cavalo</v>
      </c>
      <c r="C636">
        <v>1025</v>
      </c>
      <c r="D636" t="str">
        <v>Carriages &amp; Cycles</v>
      </c>
      <c r="E636" t="str">
        <v>Sports &amp; Leisure</v>
      </c>
      <c r="F636" t="str">
        <v>Horse and Sulky</v>
      </c>
      <c r="G636" t="str">
        <v>Clockwork</v>
      </c>
      <c r="H636" t="str">
        <v>Horse jumps, moving forward</v>
      </c>
      <c r="I636" t="str">
        <v>Plastic</v>
      </c>
      <c r="J636" t="str">
        <v>23x9x12</v>
      </c>
      <c r="K636" t="str">
        <v>Osul</v>
      </c>
      <c r="L636" t="str">
        <v>Very Good</v>
      </c>
      <c r="M636">
        <v>1955</v>
      </c>
      <c r="N636">
        <v>1970</v>
      </c>
      <c r="P636">
        <v>0.25</v>
      </c>
      <c r="R636" t="str">
        <v>Francisco Abreu Freitas agente comercial Osul</v>
      </c>
      <c r="T636" t="str">
        <v>85 (48)</v>
      </c>
      <c r="V636" t="str">
        <v>We have 2, in different colour combinations; horse ears missing</v>
      </c>
      <c r="W636" t="str">
        <v>PG010057</v>
      </c>
      <c r="X636" t="str">
        <v>PG010058</v>
      </c>
    </row>
    <row r="637">
      <c r="A637">
        <v>636</v>
      </c>
      <c r="B637" t="str">
        <v>Automóvel de pista</v>
      </c>
      <c r="C637">
        <v>4010</v>
      </c>
      <c r="D637" t="str">
        <v>Cars</v>
      </c>
      <c r="E637" t="str">
        <v>Sports &amp; Leisure</v>
      </c>
      <c r="F637" t="str">
        <v>Plastic blue, green &amp; yellow race car</v>
      </c>
      <c r="G637" t="str">
        <v>Battery</v>
      </c>
      <c r="H637" t="str">
        <v>Moves forward</v>
      </c>
      <c r="I637" t="str">
        <v>Plastic</v>
      </c>
      <c r="J637" t="str">
        <v>13.5x6.5x5</v>
      </c>
      <c r="K637" t="str">
        <v>Osul</v>
      </c>
      <c r="L637" t="str">
        <v>Excellent</v>
      </c>
      <c r="M637">
        <v>1955</v>
      </c>
      <c r="N637">
        <v>1970</v>
      </c>
      <c r="P637">
        <v>0.75</v>
      </c>
      <c r="R637" t="str">
        <v>Francisco Abreu Freitas agente comercial Osul</v>
      </c>
      <c r="W637" t="str">
        <v>PG010059</v>
      </c>
    </row>
    <row r="638">
      <c r="A638">
        <v>637</v>
      </c>
      <c r="B638" t="str">
        <v>Automóvel Malabarista ou Automóvel "Ford" Aberto</v>
      </c>
      <c r="C638">
        <v>564</v>
      </c>
      <c r="D638" t="str">
        <v>Cars</v>
      </c>
      <c r="E638" t="str">
        <v>Travel &amp; Transport</v>
      </c>
      <c r="F638" t="str">
        <v>Plastic multicoloured Old Timer car</v>
      </c>
      <c r="G638" t="str">
        <v>Other</v>
      </c>
      <c r="H638" t="str">
        <v>When pushed, parts of the car and the driver move up and down</v>
      </c>
      <c r="I638" t="str">
        <v>Plastic</v>
      </c>
      <c r="J638" t="str">
        <v>11.5x5.5x7</v>
      </c>
      <c r="K638" t="str">
        <v>Osul</v>
      </c>
      <c r="L638" t="str">
        <v>Excellent</v>
      </c>
      <c r="M638">
        <v>1955</v>
      </c>
      <c r="N638">
        <v>1970</v>
      </c>
      <c r="O638" t="str">
        <v>Excellent</v>
      </c>
      <c r="P638">
        <v>0.25</v>
      </c>
      <c r="R638" t="str">
        <v>Francisco Abreu Freitas agente comercial Osul</v>
      </c>
      <c r="W638" t="str">
        <v>PG010060</v>
      </c>
    </row>
    <row r="639">
      <c r="A639">
        <v>638</v>
      </c>
      <c r="B639" t="str">
        <v>Fourgonette</v>
      </c>
      <c r="C639">
        <v>1020</v>
      </c>
      <c r="D639" t="str">
        <v>Cars</v>
      </c>
      <c r="E639" t="str">
        <v>Travel &amp; Transport</v>
      </c>
      <c r="F639" t="str">
        <v>Plastic light blue van</v>
      </c>
      <c r="G639" t="str">
        <v>Clockwork</v>
      </c>
      <c r="H639" t="str">
        <v>Moves forward</v>
      </c>
      <c r="I639" t="str">
        <v>Plastic</v>
      </c>
      <c r="J639" t="str">
        <v>11.5x5.5x5</v>
      </c>
      <c r="K639" t="str">
        <v>Osul</v>
      </c>
      <c r="L639" t="str">
        <v>Excellent</v>
      </c>
      <c r="M639">
        <v>1955</v>
      </c>
      <c r="N639">
        <v>1970</v>
      </c>
      <c r="P639">
        <v>0.25</v>
      </c>
      <c r="R639" t="str">
        <v>Francisco Abreu Freitas agente comercial Osul</v>
      </c>
      <c r="U639" t="str">
        <v>Ford Taunus 12M Saloon 1952-1962</v>
      </c>
      <c r="W639" t="str">
        <v>PG010061</v>
      </c>
    </row>
    <row r="640">
      <c r="A640">
        <v>639</v>
      </c>
      <c r="B640" t="str">
        <v>JEEP Polícia Exército</v>
      </c>
      <c r="C640">
        <v>1005</v>
      </c>
      <c r="D640" t="str">
        <v>Military vehicles</v>
      </c>
      <c r="E640" t="str">
        <v>Military</v>
      </c>
      <c r="F640" t="str">
        <v>Green Jeep w/ two military policemen</v>
      </c>
      <c r="G640" t="str">
        <v>Clockwork</v>
      </c>
      <c r="H640" t="str">
        <v>Moves forward</v>
      </c>
      <c r="I640" t="str">
        <v xml:space="preserve">Plastic &amp; tin </v>
      </c>
      <c r="J640" t="str">
        <v>16x7.5x9</v>
      </c>
      <c r="K640" t="str">
        <v>JATO &amp; PEPE</v>
      </c>
      <c r="L640" t="str">
        <v>Excellent</v>
      </c>
      <c r="M640">
        <v>1980</v>
      </c>
      <c r="N640">
        <v>1990</v>
      </c>
      <c r="O640" t="str">
        <v>Excellent</v>
      </c>
      <c r="S640" t="str">
        <v>50-100 (2026) w/ box</v>
      </c>
      <c r="U640" t="str">
        <v>The most common version is decorated w/ US army; it is a Jeep Willys</v>
      </c>
      <c r="W640" t="str">
        <v>PG010062</v>
      </c>
    </row>
    <row r="641">
      <c r="A641">
        <v>640</v>
      </c>
      <c r="B641" t="str">
        <v>Mercedes Descapotável</v>
      </c>
      <c r="D641" t="str">
        <v>Cars</v>
      </c>
      <c r="E641" t="str">
        <v>Travel &amp; Transport</v>
      </c>
      <c r="F641" t="str">
        <v>Green convertible Mercedes</v>
      </c>
      <c r="G641" t="str">
        <v>Friction</v>
      </c>
      <c r="H641" t="str">
        <v>Moves forward</v>
      </c>
      <c r="I641" t="str">
        <v xml:space="preserve">Plastic &amp; tin </v>
      </c>
      <c r="J641" t="str">
        <v>15x6x4</v>
      </c>
      <c r="K641" t="str">
        <v>JATO &amp; PEPE</v>
      </c>
      <c r="L641" t="str">
        <v>Excellent</v>
      </c>
      <c r="M641">
        <v>1980</v>
      </c>
      <c r="N641">
        <v>1990</v>
      </c>
      <c r="S641" t="str">
        <v>15-25 (2025)</v>
      </c>
      <c r="U641" t="str">
        <v>Mercedes 180/190 manufactured 1953-1962; marked JATO in the chassis</v>
      </c>
      <c r="W641" t="str">
        <v>PG010063</v>
      </c>
    </row>
    <row r="642">
      <c r="A642">
        <v>641</v>
      </c>
      <c r="B642" t="str">
        <v>Automóvel</v>
      </c>
      <c r="C642">
        <v>1000</v>
      </c>
      <c r="D642" t="str">
        <v>Cars</v>
      </c>
      <c r="E642" t="str">
        <v>Travel &amp; Transport</v>
      </c>
      <c r="F642" t="str">
        <v>Blue plastic convertible</v>
      </c>
      <c r="G642" t="str">
        <v>Clockwork</v>
      </c>
      <c r="H642" t="str">
        <v>Moves forward</v>
      </c>
      <c r="I642" t="str">
        <v>Plastic</v>
      </c>
      <c r="J642" t="str">
        <v>21x9x6</v>
      </c>
      <c r="K642" t="str">
        <v>Osul</v>
      </c>
      <c r="L642" t="str">
        <v>Good</v>
      </c>
      <c r="M642">
        <v>1950</v>
      </c>
      <c r="N642">
        <v>1970</v>
      </c>
      <c r="O642" t="str">
        <v>Excellent</v>
      </c>
      <c r="P642">
        <v>0.5</v>
      </c>
      <c r="R642" t="str">
        <v>Francisco Abreu Freitas agente comercial Osul</v>
      </c>
      <c r="T642" t="str">
        <v>85 (38)</v>
      </c>
      <c r="V642" t="str">
        <v>Wind-screen missing</v>
      </c>
      <c r="W642" t="str">
        <v>PG010064</v>
      </c>
    </row>
    <row r="643">
      <c r="A643">
        <v>642</v>
      </c>
      <c r="B643" t="str">
        <v>Camião</v>
      </c>
      <c r="C643">
        <v>1055</v>
      </c>
      <c r="D643" t="str">
        <v>Vans/Buses &amp;Trucks</v>
      </c>
      <c r="E643" t="str">
        <v>Travel &amp; Transport</v>
      </c>
      <c r="F643" t="str">
        <v>Multicoulored plastic truck</v>
      </c>
      <c r="G643" t="str">
        <v>Clockwork</v>
      </c>
      <c r="H643" t="str">
        <v>Moves forward</v>
      </c>
      <c r="I643" t="str">
        <v>Plastic</v>
      </c>
      <c r="J643" t="str">
        <v>29x10.5x11</v>
      </c>
      <c r="K643" t="str">
        <v>Osul</v>
      </c>
      <c r="L643" t="str">
        <v>Excellent</v>
      </c>
      <c r="M643">
        <v>1955</v>
      </c>
      <c r="N643">
        <v>1970</v>
      </c>
      <c r="O643" t="str">
        <v>Excellent</v>
      </c>
      <c r="P643">
        <v>1</v>
      </c>
      <c r="R643" t="str">
        <v>Francisco Abreu Freitas agente comercial Osul</v>
      </c>
      <c r="W643" t="str">
        <v>PG010065</v>
      </c>
    </row>
    <row r="644">
      <c r="A644">
        <v>643</v>
      </c>
      <c r="B644" t="str">
        <v>Camião</v>
      </c>
      <c r="C644">
        <v>1002</v>
      </c>
      <c r="D644" t="str">
        <v>Vans/Buses &amp;Trucks</v>
      </c>
      <c r="E644" t="str">
        <v>Travel &amp; Transport</v>
      </c>
      <c r="F644" t="str">
        <v>Plastic Pink and Blue Truck</v>
      </c>
      <c r="G644" t="str">
        <v>Clockwork</v>
      </c>
      <c r="H644" t="str">
        <v>Moves forward</v>
      </c>
      <c r="I644" t="str">
        <v>Plastic</v>
      </c>
      <c r="J644" t="str">
        <v>27x9x9</v>
      </c>
      <c r="K644" t="str">
        <v>Osul</v>
      </c>
      <c r="L644" t="str">
        <v>Very Good</v>
      </c>
      <c r="M644">
        <v>1955</v>
      </c>
      <c r="N644">
        <v>1970</v>
      </c>
      <c r="O644" t="str">
        <v>Good</v>
      </c>
      <c r="P644">
        <v>0.75</v>
      </c>
      <c r="R644" t="str">
        <v>Francisco Abreu Freitas agente comercial Osul</v>
      </c>
      <c r="W644" t="str">
        <v>PG010066</v>
      </c>
    </row>
    <row r="645">
      <c r="A645">
        <v>644</v>
      </c>
      <c r="B645" t="str">
        <v>Camião</v>
      </c>
      <c r="C645">
        <v>1010</v>
      </c>
      <c r="D645" t="str">
        <v>Vans/Buses &amp;Trucks</v>
      </c>
      <c r="E645" t="str">
        <v>Travel &amp; Transport</v>
      </c>
      <c r="F645" t="str">
        <v>Plastic Green and blue 6 wheel truck</v>
      </c>
      <c r="G645" t="str">
        <v>Clockwork</v>
      </c>
      <c r="H645" t="str">
        <v>Moves forward</v>
      </c>
      <c r="I645" t="str">
        <v>Plastic</v>
      </c>
      <c r="J645" t="str">
        <v>30x9x9</v>
      </c>
      <c r="K645" t="str">
        <v>Osul</v>
      </c>
      <c r="L645" t="str">
        <v>Excellent</v>
      </c>
      <c r="M645">
        <v>1955</v>
      </c>
      <c r="N645">
        <v>1970</v>
      </c>
      <c r="O645" t="str">
        <v>Lid missing</v>
      </c>
      <c r="P645">
        <v>0.5</v>
      </c>
      <c r="R645" t="str">
        <v>Francisco Abreu Freitas agente comercial Osul</v>
      </c>
      <c r="U645" t="str">
        <v>The catalogue of 1956  only shows the version without clockwork (no. 351)</v>
      </c>
      <c r="W645" t="str">
        <v>PG010067</v>
      </c>
    </row>
    <row r="646">
      <c r="A646">
        <v>645</v>
      </c>
      <c r="B646" t="str">
        <v>Estação de Serviço Service Station</v>
      </c>
      <c r="C646">
        <v>486</v>
      </c>
      <c r="D646" t="str">
        <v>Tracks /Platform base</v>
      </c>
      <c r="E646" t="str">
        <v>Professions/Industrial</v>
      </c>
      <c r="F646" t="str">
        <v>Plastic orange service station</v>
      </c>
      <c r="G646" t="str">
        <v>Other</v>
      </c>
      <c r="H646" t="str">
        <v>Manually operated</v>
      </c>
      <c r="I646" t="str">
        <v>Plastic</v>
      </c>
      <c r="J646" t="str">
        <v>29.5x9x14.5</v>
      </c>
      <c r="K646" t="str">
        <v>Osul</v>
      </c>
      <c r="L646" t="str">
        <v>Excellent</v>
      </c>
      <c r="M646">
        <v>1955</v>
      </c>
      <c r="N646">
        <v>1980</v>
      </c>
      <c r="O646" t="str">
        <v>Excellent</v>
      </c>
      <c r="T646" t="str">
        <v>141 (134)</v>
      </c>
      <c r="U646" t="str">
        <v>This is a second version w/ stickers that are not shown in the 1956 catalogue</v>
      </c>
      <c r="W646" t="str">
        <v>PG010068</v>
      </c>
    </row>
    <row r="647">
      <c r="A647">
        <v>646</v>
      </c>
      <c r="B647" t="str">
        <v>Jogo de Bilhar "Totobola"</v>
      </c>
      <c r="C647">
        <v>785</v>
      </c>
      <c r="D647" t="str">
        <v>Games</v>
      </c>
      <c r="E647" t="str">
        <v>Games</v>
      </c>
      <c r="F647" t="str">
        <v>"Totobilhar"</v>
      </c>
      <c r="G647" t="str">
        <v>Other</v>
      </c>
      <c r="H647" t="str">
        <v>Pinball game</v>
      </c>
      <c r="I647" t="str">
        <v>Plastic</v>
      </c>
      <c r="J647" t="str">
        <v>18.5x11.5x1.5</v>
      </c>
      <c r="K647" t="str">
        <v>Osul</v>
      </c>
      <c r="L647" t="str">
        <v>Excellent</v>
      </c>
      <c r="M647">
        <v>1955</v>
      </c>
      <c r="N647">
        <v>1970</v>
      </c>
      <c r="P647">
        <v>0.75</v>
      </c>
      <c r="R647" t="str">
        <v>Francisco Abreu Freitas agente comercial Osul</v>
      </c>
      <c r="U647" t="str">
        <v>game reads "Totobilhar"</v>
      </c>
      <c r="W647" t="str">
        <v>PG010069</v>
      </c>
    </row>
    <row r="648">
      <c r="A648">
        <v>647</v>
      </c>
      <c r="B648" t="str">
        <v>Jogo de Bilhar "Pescador"</v>
      </c>
      <c r="C648">
        <v>791</v>
      </c>
      <c r="D648" t="str">
        <v>Games</v>
      </c>
      <c r="E648" t="str">
        <v>Games</v>
      </c>
      <c r="F648" t="str">
        <v>"Fisherman &amp; fish game"</v>
      </c>
      <c r="G648" t="str">
        <v>Other</v>
      </c>
      <c r="H648" t="str">
        <v>Pinball game</v>
      </c>
      <c r="I648" t="str">
        <v>Plastic</v>
      </c>
      <c r="J648" t="str">
        <v>18.5x11.5x1.5</v>
      </c>
      <c r="K648" t="str">
        <v>Osul</v>
      </c>
      <c r="L648" t="str">
        <v>Excellent</v>
      </c>
      <c r="M648">
        <v>1955</v>
      </c>
      <c r="N648">
        <v>1970</v>
      </c>
      <c r="P648">
        <v>0.75</v>
      </c>
      <c r="R648" t="str">
        <v>Francisco Abreu Freitas agente comercial Osul</v>
      </c>
      <c r="W648" t="str">
        <v>PG010070</v>
      </c>
    </row>
    <row r="649">
      <c r="A649">
        <v>648</v>
      </c>
      <c r="B649" t="str">
        <v>Roda da Sorte</v>
      </c>
      <c r="D649" t="str">
        <v>Games</v>
      </c>
      <c r="E649" t="str">
        <v>Games</v>
      </c>
      <c r="F649" t="str">
        <v>"Roda da Sorte"</v>
      </c>
      <c r="G649" t="str">
        <v>Other</v>
      </c>
      <c r="H649" t="str">
        <v>Pinball game</v>
      </c>
      <c r="I649" t="str">
        <v>Plastic</v>
      </c>
      <c r="J649" t="str">
        <v>14x7x2</v>
      </c>
      <c r="K649" t="str">
        <v>Osul</v>
      </c>
      <c r="L649" t="str">
        <v>Excellent</v>
      </c>
      <c r="M649">
        <v>1955</v>
      </c>
      <c r="N649">
        <v>1970</v>
      </c>
      <c r="P649">
        <v>0.75</v>
      </c>
      <c r="R649" t="str">
        <v>Francisco Abreu Freitas agente comercial Osul</v>
      </c>
      <c r="W649" t="str">
        <v>PG010071</v>
      </c>
    </row>
    <row r="650">
      <c r="A650">
        <v>649</v>
      </c>
      <c r="B650" t="str">
        <v>Mealheiro Correio</v>
      </c>
      <c r="D650" t="str">
        <v>Banks</v>
      </c>
      <c r="E650" t="str">
        <v>Professions/Industrial</v>
      </c>
      <c r="F650" t="str">
        <v>Red tinplate parallelepiped Post Office Box</v>
      </c>
      <c r="G650" t="str">
        <v>Other</v>
      </c>
      <c r="H650" t="str">
        <v>Still bank</v>
      </c>
      <c r="I650" t="str">
        <v>Tinplate</v>
      </c>
      <c r="J650" t="str">
        <v>8x4x10.5</v>
      </c>
      <c r="K650" t="str">
        <v>Coelho de Sousa</v>
      </c>
      <c r="L650" t="str">
        <v>Reasonable</v>
      </c>
      <c r="M650">
        <v>1950</v>
      </c>
      <c r="N650">
        <v>1955</v>
      </c>
      <c r="S650" t="str">
        <v>30 (2026)</v>
      </c>
      <c r="W650" t="str">
        <v>PG010072</v>
      </c>
    </row>
    <row r="651">
      <c r="A651">
        <v>650</v>
      </c>
      <c r="B651" t="str">
        <v xml:space="preserve">Rádio Mealheiro </v>
      </c>
      <c r="D651" t="str">
        <v>Banks</v>
      </c>
      <c r="E651" t="str">
        <v>Musical /Optical</v>
      </c>
      <c r="F651" t="str">
        <v>Plastic brown radio</v>
      </c>
      <c r="G651" t="str">
        <v>Other</v>
      </c>
      <c r="H651" t="str">
        <v>Still bank</v>
      </c>
      <c r="I651" t="str">
        <v>Plastic</v>
      </c>
      <c r="J651" t="str">
        <v>4.5x12x8.5</v>
      </c>
      <c r="K651" t="str">
        <v xml:space="preserve">Grandarte </v>
      </c>
      <c r="L651" t="str">
        <v>Very Good</v>
      </c>
      <c r="M651">
        <v>1960</v>
      </c>
      <c r="N651">
        <v>1965</v>
      </c>
      <c r="T651" t="str">
        <v>141 (320)</v>
      </c>
      <c r="U651" t="str">
        <v>Back reads: " Guardando o meu dinheirinho serei um homenzinho"</v>
      </c>
      <c r="W651" t="str">
        <v>PG010073</v>
      </c>
    </row>
    <row r="652">
      <c r="A652">
        <v>651</v>
      </c>
      <c r="B652" t="str">
        <v>Galinha a pôr Ovos</v>
      </c>
      <c r="C652">
        <v>226</v>
      </c>
      <c r="D652" t="str">
        <v>Animals</v>
      </c>
      <c r="E652" t="str">
        <v>Animals</v>
      </c>
      <c r="F652" t="str">
        <v>White plastic chicken laying eggs</v>
      </c>
      <c r="G652" t="str">
        <v>Clockwork</v>
      </c>
      <c r="H652" t="str">
        <v>Pushing down the chicken, it lays an egg</v>
      </c>
      <c r="I652" t="str">
        <v>Plastic</v>
      </c>
      <c r="J652" t="str">
        <v>6x5x7.5</v>
      </c>
      <c r="K652" t="str">
        <v>Osul</v>
      </c>
      <c r="L652" t="str">
        <v>Excellent</v>
      </c>
      <c r="M652">
        <v>1955</v>
      </c>
      <c r="N652">
        <v>1980</v>
      </c>
      <c r="O652" t="str">
        <v>Excellent</v>
      </c>
      <c r="U652" t="str">
        <v>This is a later version, packaging with later logo</v>
      </c>
      <c r="W652" t="str">
        <v>PG010074</v>
      </c>
    </row>
    <row r="653">
      <c r="A653">
        <v>652</v>
      </c>
      <c r="B653" t="str">
        <v>Tigre Sirene</v>
      </c>
      <c r="C653">
        <v>813</v>
      </c>
      <c r="D653" t="str">
        <v>Animals</v>
      </c>
      <c r="E653" t="str">
        <v>Travel &amp; Transport</v>
      </c>
      <c r="F653" t="str">
        <v>Head of Tiger</v>
      </c>
      <c r="G653" t="str">
        <v>Friction</v>
      </c>
      <c r="H653" t="str">
        <v>Roars and opens/closes mouth</v>
      </c>
      <c r="I653" t="str">
        <v>Plastic</v>
      </c>
      <c r="J653" t="str">
        <v>22x13x18</v>
      </c>
      <c r="K653" t="str">
        <v>Osul</v>
      </c>
      <c r="L653" t="str">
        <v>Good</v>
      </c>
      <c r="M653">
        <v>1955</v>
      </c>
      <c r="N653">
        <v>1970</v>
      </c>
      <c r="U653" t="str">
        <v>To be mounted on a bicycle</v>
      </c>
      <c r="W653" t="str">
        <v>PG010075</v>
      </c>
    </row>
    <row r="654">
      <c r="A654">
        <v>653</v>
      </c>
      <c r="B654" t="str">
        <v>Palmatória com Anões</v>
      </c>
      <c r="C654">
        <v>1031</v>
      </c>
      <c r="D654" t="str">
        <v>Optical and Musical</v>
      </c>
      <c r="E654" t="str">
        <v>Musical /Optical</v>
      </c>
      <c r="F654" t="str">
        <v>Blue candle support w/ dwarfs</v>
      </c>
      <c r="G654" t="str">
        <v>Clockwork</v>
      </c>
      <c r="H654" t="str">
        <v>Plays a tune while rotating</v>
      </c>
      <c r="I654" t="str">
        <v>Plastic</v>
      </c>
      <c r="J654" t="str">
        <v>11x11x8</v>
      </c>
      <c r="K654" t="str">
        <v>Osul</v>
      </c>
      <c r="L654" t="str">
        <v>Excellent</v>
      </c>
      <c r="M654">
        <v>1955</v>
      </c>
      <c r="N654">
        <v>1970</v>
      </c>
      <c r="O654" t="str">
        <v>Very good, but wrongly says "no music"</v>
      </c>
      <c r="P654">
        <v>0.75</v>
      </c>
      <c r="R654" t="str">
        <v>Francisco Abreu Freitas agente comercial Osul</v>
      </c>
      <c r="S654" t="str">
        <v>141 (122)</v>
      </c>
      <c r="W654" t="str">
        <v>PG010076</v>
      </c>
    </row>
    <row r="655">
      <c r="A655">
        <v>654</v>
      </c>
      <c r="B655" t="str">
        <v>JEEP Polícia Exército</v>
      </c>
      <c r="D655" t="str">
        <v>Cars</v>
      </c>
      <c r="E655" t="str">
        <v>Travel &amp; Transport</v>
      </c>
      <c r="F655" t="str">
        <v>Blue Jeep w/ golden seats</v>
      </c>
      <c r="G655" t="str">
        <v>Other</v>
      </c>
      <c r="H655" t="str">
        <v>no action</v>
      </c>
      <c r="I655" t="str">
        <v>Tin</v>
      </c>
      <c r="J655" t="str">
        <v>16x8x7</v>
      </c>
      <c r="K655" t="str">
        <v>AML</v>
      </c>
      <c r="L655" t="str">
        <v>Very Good</v>
      </c>
      <c r="M655">
        <v>1970</v>
      </c>
      <c r="N655">
        <v>1980</v>
      </c>
      <c r="S655" t="str">
        <v>20-30 (2026)</v>
      </c>
      <c r="W655" t="str">
        <v>PG010077</v>
      </c>
    </row>
    <row r="656">
      <c r="A656">
        <v>655</v>
      </c>
      <c r="B656" t="str">
        <v>A Vaquinha Teimosa</v>
      </c>
      <c r="C656">
        <v>988</v>
      </c>
      <c r="D656" t="str">
        <v>People</v>
      </c>
      <c r="E656" t="str">
        <v>Professions/Industrial</v>
      </c>
      <c r="F656" t="str">
        <v>Farmer and cow</v>
      </c>
      <c r="G656" t="str">
        <v>Other</v>
      </c>
      <c r="H656" t="str">
        <v>When pushed cow and farmer move</v>
      </c>
      <c r="I656" t="str">
        <v>Plastic</v>
      </c>
      <c r="J656" t="str">
        <v>18x1x7</v>
      </c>
      <c r="K656" t="str">
        <v>Hercules</v>
      </c>
      <c r="L656" t="str">
        <v>Excellent</v>
      </c>
      <c r="M656">
        <v>1960</v>
      </c>
      <c r="N656">
        <v>1965</v>
      </c>
      <c r="O656" t="str">
        <v>Very good (it's a cardboard)</v>
      </c>
      <c r="V656" t="str">
        <v>We have two, the second without packaging</v>
      </c>
      <c r="W656" t="str">
        <v>PG010078</v>
      </c>
    </row>
    <row r="657">
      <c r="A657">
        <v>656</v>
      </c>
      <c r="B657" t="str">
        <v>Macacos Equilibristas</v>
      </c>
      <c r="D657" t="str">
        <v>Animals</v>
      </c>
      <c r="E657" t="str">
        <v>Circus &amp; Clowns</v>
      </c>
      <c r="F657" t="str">
        <v>Two articulate plastic monkeys on top of a stick</v>
      </c>
      <c r="G657" t="str">
        <v>Other</v>
      </c>
      <c r="H657" t="str">
        <v>Pulling/pushing, the monkeys move legs and arms</v>
      </c>
      <c r="I657" t="str">
        <v>Plastic</v>
      </c>
      <c r="J657" t="str">
        <v>8x2x25</v>
      </c>
      <c r="K657" t="str">
        <v>Ribeirinho</v>
      </c>
      <c r="L657" t="str">
        <v>Good</v>
      </c>
      <c r="M657">
        <v>1965</v>
      </c>
      <c r="N657">
        <v>1975</v>
      </c>
      <c r="T657" t="str">
        <v>141 (54)</v>
      </c>
      <c r="V657" t="str">
        <v>One monkey has a brioken paw</v>
      </c>
      <c r="W657" t="str">
        <v>PG010079</v>
      </c>
    </row>
    <row r="658">
      <c r="A658">
        <v>657</v>
      </c>
      <c r="B658" t="str">
        <v>Balança</v>
      </c>
      <c r="D658" t="str">
        <v>Others</v>
      </c>
      <c r="E658" t="str">
        <v>Professions/Industrial</v>
      </c>
      <c r="F658" t="str">
        <v>Small plastic scale</v>
      </c>
      <c r="G658" t="str">
        <v>Other</v>
      </c>
      <c r="H658" t="str">
        <v>Weights objects</v>
      </c>
      <c r="I658" t="str">
        <v>Plastic</v>
      </c>
      <c r="J658" t="str">
        <v>10.5x5x11</v>
      </c>
      <c r="K658" t="str">
        <v>JATO &amp; PEPE</v>
      </c>
      <c r="L658" t="str">
        <v>Excellent</v>
      </c>
      <c r="M658">
        <v>1980</v>
      </c>
      <c r="N658">
        <v>2010</v>
      </c>
      <c r="P658">
        <v>5.3</v>
      </c>
      <c r="Q658" t="str">
        <v>May 2026</v>
      </c>
      <c r="R658" t="str">
        <v>Oficina do Brinquedo Tradicional Português</v>
      </c>
      <c r="S658" t="str">
        <v>10-20 (2026)</v>
      </c>
      <c r="T658" t="str">
        <v>139 (122) 140 (159)</v>
      </c>
      <c r="U658" t="str">
        <v>There was an earlier tin version by JAJ 140 (137)</v>
      </c>
      <c r="W658" t="str">
        <v>PG010088</v>
      </c>
    </row>
    <row r="659">
      <c r="A659">
        <v>658</v>
      </c>
      <c r="B659" t="str">
        <v>The METTYPE Junior or METTYPE Portable</v>
      </c>
      <c r="C659">
        <v>4315</v>
      </c>
      <c r="D659" t="str">
        <v>Others</v>
      </c>
      <c r="E659" t="str">
        <v>Miscellaneous</v>
      </c>
      <c r="F659" t="str">
        <v>Red typewriter</v>
      </c>
      <c r="G659" t="str">
        <v>Other</v>
      </c>
      <c r="H659" t="str">
        <v>Rotating a disk selects letter, pushing lever, types</v>
      </c>
      <c r="I659" t="str">
        <v>Tin</v>
      </c>
      <c r="J659" t="str">
        <v>17.5x25.5x11</v>
      </c>
      <c r="K659" t="str">
        <v>METTOY</v>
      </c>
      <c r="L659" t="str">
        <v>Excellent</v>
      </c>
      <c r="M659">
        <v>1955</v>
      </c>
      <c r="N659">
        <v>1965</v>
      </c>
      <c r="O659" t="str">
        <v>Very Good</v>
      </c>
      <c r="P659">
        <v>0</v>
      </c>
      <c r="R659" t="str">
        <v>Oferta André+Carminho</v>
      </c>
      <c r="S659" t="str">
        <v>50-70 (2025) w/ box</v>
      </c>
      <c r="V659" t="str">
        <v>Box from this model?</v>
      </c>
      <c r="W659" t="str">
        <v>PG010080</v>
      </c>
    </row>
    <row r="660">
      <c r="A660">
        <v>659</v>
      </c>
      <c r="B660" t="str">
        <v>Junior Typewriter</v>
      </c>
      <c r="C660" t="str">
        <v>Modell 3</v>
      </c>
      <c r="D660" t="str">
        <v>Others</v>
      </c>
      <c r="E660" t="str">
        <v>Miscellaneous</v>
      </c>
      <c r="F660" t="str">
        <v>Black typewriter</v>
      </c>
      <c r="G660" t="str">
        <v>Other</v>
      </c>
      <c r="H660" t="str">
        <v>Rotating a disk selects letter, pushing lever, types</v>
      </c>
      <c r="I660" t="str">
        <v>Tin</v>
      </c>
      <c r="J660" t="str">
        <v>20.5x22.5x19.5</v>
      </c>
      <c r="K660" t="str">
        <v>Gescha</v>
      </c>
      <c r="L660" t="str">
        <v>Very Good</v>
      </c>
      <c r="M660">
        <v>1936</v>
      </c>
      <c r="N660">
        <v>1956</v>
      </c>
      <c r="O660" t="str">
        <v>Tin cover</v>
      </c>
      <c r="S660" t="str">
        <v>150-300 (2025)</v>
      </c>
      <c r="T660" t="str">
        <v>47 (24)</v>
      </c>
      <c r="U660" t="str">
        <v>The toy is pre-war ("Germany"), whereas the later production reads "made in Western Germany"; instructions in 47 (24)</v>
      </c>
      <c r="W660" t="str">
        <v>PG010081</v>
      </c>
      <c r="X660" t="str">
        <v>PG010082</v>
      </c>
      <c r="Y660" t="str">
        <v>PG010083</v>
      </c>
    </row>
    <row r="661">
      <c r="A661">
        <v>660</v>
      </c>
      <c r="B661" t="str">
        <v>Transparent Engine</v>
      </c>
      <c r="C661">
        <v>100</v>
      </c>
      <c r="D661" t="str">
        <v>Cars</v>
      </c>
      <c r="E661" t="str">
        <v>Travel &amp; Transport</v>
      </c>
      <c r="F661" t="str">
        <v>Transparent Engine</v>
      </c>
      <c r="G661" t="str">
        <v>Battery</v>
      </c>
      <c r="H661" t="str">
        <v>Engine works - cylinders move up and down, gearbox</v>
      </c>
      <c r="I661" t="str">
        <v>Tin &amp; plastic</v>
      </c>
      <c r="J661" t="str">
        <v>25x10x17</v>
      </c>
      <c r="K661" t="str">
        <v>Gescha</v>
      </c>
      <c r="L661" t="str">
        <v>Excellent</v>
      </c>
      <c r="M661">
        <v>1953</v>
      </c>
      <c r="N661">
        <v>1959</v>
      </c>
      <c r="O661" t="str">
        <v>Very Good</v>
      </c>
      <c r="S661" t="str">
        <v>700-900 (2025) w/ box</v>
      </c>
      <c r="T661" t="str">
        <v>47 (40)</v>
      </c>
      <c r="U661" t="str">
        <v>Could be purchased completely assembled (no. 100/1) or as a construction box (no. 100)  - our toy</v>
      </c>
      <c r="W661" t="str">
        <v>PG010084</v>
      </c>
      <c r="X661" t="str">
        <v>PG010085</v>
      </c>
      <c r="Y661" t="str">
        <v>PG010086</v>
      </c>
      <c r="Z661" t="str">
        <v>PG010087</v>
      </c>
    </row>
    <row r="662">
      <c r="A662">
        <v>661</v>
      </c>
      <c r="B662" t="str">
        <v xml:space="preserve">Elektro Synchromatic </v>
      </c>
      <c r="C662">
        <v>5700</v>
      </c>
      <c r="D662" t="str">
        <v>Cars</v>
      </c>
      <c r="E662" t="str">
        <v>Travel &amp; Transport</v>
      </c>
      <c r="F662" t="str">
        <v>Green tin Packard</v>
      </c>
      <c r="G662" t="str">
        <v>Battery</v>
      </c>
      <c r="H662" t="str">
        <v>In automatic mode, the car shifts from neutral to first and then to second gear. The car then stops again and reverses, with a red light bulb on the dashboard lighting up with each shift. The push-button gearstick can also be operated manually from the dashboard, with the automatic drive switch located above the rear bumper. The model can be steered via the steering wheel as well as via the manual control unit and has not been reissued since it was discontinued in 1969.</v>
      </c>
      <c r="I662" t="str">
        <v>Tin &amp; plastic</v>
      </c>
      <c r="J662" t="str">
        <v>26.5x11x8</v>
      </c>
      <c r="K662" t="str">
        <v>Schuco</v>
      </c>
      <c r="L662" t="str">
        <v>Very Good</v>
      </c>
      <c r="M662">
        <v>1958</v>
      </c>
      <c r="N662">
        <v>1969</v>
      </c>
      <c r="O662" t="str">
        <v>Very good w/ instructions (poor)</v>
      </c>
      <c r="P662">
        <v>325</v>
      </c>
      <c r="Q662" t="str">
        <v>May 2026</v>
      </c>
      <c r="R662" t="str">
        <v>CRISCE (antiques) Barcelona</v>
      </c>
      <c r="S662" t="str">
        <v>500-800 (2025) w/ box</v>
      </c>
      <c r="T662" t="str">
        <v>66 (392) 92 (344) 93 (42)</v>
      </c>
      <c r="U662" t="str">
        <v>The toy is based on the  Packard Hawk lauched in 1957 (but the convertible version was never commercialized), which was dropped in 1958 along with the Packard name; made in lime green, red and cream; we have the older version, a red stripe on top of the doors; the operating time can be extended to 60 hours using the Schuco fuel pump 5506 and the Schuco transformer 5980 (side hole)</v>
      </c>
      <c r="V662" t="str">
        <v>Side mirror missing; two original wooden pegs missing (three new); some rust in battery compartment; the light of the gear does not always work</v>
      </c>
      <c r="W662" t="str">
        <v>PG010089</v>
      </c>
      <c r="X662" t="str">
        <v>PG010090</v>
      </c>
      <c r="Y662" t="str">
        <v>PG010091</v>
      </c>
    </row>
    <row r="663">
      <c r="A663">
        <v>662</v>
      </c>
      <c r="B663" t="str">
        <v>Elektro-Construction Tow Truck</v>
      </c>
      <c r="C663">
        <v>6070</v>
      </c>
      <c r="D663" t="str">
        <v>Vans/Buses &amp;Trucks</v>
      </c>
      <c r="E663" t="str">
        <v>Professions/Industrial</v>
      </c>
      <c r="F663" t="str">
        <v>Red Tow Truck</v>
      </c>
      <c r="G663" t="str">
        <v>Battery</v>
      </c>
      <c r="H663" t="str">
        <v>Can be steered and operated by remote control. The drive for driving as well as for raising and lowering the towing hook is provided by an electric motor; a switch on the chassis of the truck can be used to switch back and forth between driving and working mode. The vehicle has also a mechanical horn with a clockwork mechanism, which is wound up via the underside of the model and operated by a button on the bonnet</v>
      </c>
      <c r="I663" t="str">
        <v>Tin &amp; plastic</v>
      </c>
      <c r="J663" t="str">
        <v>29x10x17</v>
      </c>
      <c r="K663" t="str">
        <v>Schuco</v>
      </c>
      <c r="L663" t="str">
        <v>Very Good</v>
      </c>
      <c r="M663">
        <v>1955</v>
      </c>
      <c r="N663">
        <v>1960</v>
      </c>
      <c r="O663" t="str">
        <v xml:space="preserve"> Good w/ instructions (excellent) and accessories</v>
      </c>
      <c r="P663">
        <v>1150</v>
      </c>
      <c r="Q663" t="str">
        <v>May 2026</v>
      </c>
      <c r="R663" t="str">
        <v>CRISCE (antiques) Barcelona</v>
      </c>
      <c r="S663" t="str">
        <v>800-1800 (2025) w/ box</v>
      </c>
      <c r="T663" t="str">
        <v>66 (396) 92 (352,356)</v>
      </c>
      <c r="U663" t="str">
        <v>One source (92) says that Schuco Elekro-Construction truck first entered the Schuco range in 1949 (it started with the dumper version) and was built until 1960 (until 1955, the door contained a label - ours is the newer version); another source (66) mentions that the toy versions were launched in 1955; the toy was very expensive, around 70 DM, which was the average weekly wage of a German skilled worker - so, they sold little. Modelled after the real Ford FK 3000; Reissued in limited edition of 1500 pieces from 2005 with a new box (value 2025 250€-450€)</v>
      </c>
      <c r="V663" t="str">
        <v>Cable for linking the battery command to the truck is missing</v>
      </c>
      <c r="W663" t="str">
        <v>PG010092</v>
      </c>
    </row>
    <row r="664">
      <c r="A664">
        <v>663</v>
      </c>
      <c r="B664" t="str">
        <v>Roller-Coaster</v>
      </c>
      <c r="C664">
        <v>214</v>
      </c>
      <c r="D664" t="str">
        <v>Tracks /Platform base</v>
      </c>
      <c r="E664" t="str">
        <v>Fairground</v>
      </c>
      <c r="F664" t="str">
        <v>Track with a wagon rolling down and a kid at the end</v>
      </c>
      <c r="G664" t="str">
        <v>Other</v>
      </c>
      <c r="H664" t="str">
        <v>The wagon rolls down, when it arrives at the end, the kid raises the tray and the wagon moves to the elevator, which is manually operated</v>
      </c>
      <c r="I664" t="str">
        <v>Tin</v>
      </c>
      <c r="J664" t="str">
        <v>54x4x17</v>
      </c>
      <c r="K664" t="str">
        <v>Kellermann</v>
      </c>
      <c r="L664" t="str">
        <v>Very Good</v>
      </c>
      <c r="M664">
        <v>1930</v>
      </c>
      <c r="N664">
        <v>1935</v>
      </c>
      <c r="P664">
        <v>860</v>
      </c>
      <c r="Q664" t="str">
        <v>May 2026</v>
      </c>
      <c r="R664" t="str">
        <v>Gonçalo Rueda</v>
      </c>
      <c r="T664" t="str">
        <v>66 (205) 75 (37)</v>
      </c>
      <c r="U664" t="str">
        <v>Considered one of the most desired and rare early pieces of the manufacturer; Usually, the kid at the end is missing; a version with another decoration (looks newer) has been attributed to the 1930's; according to sources, it started to be manufactured in 1928 or 1930; two versions, a long one (ours), a shorter one (37 cm)</v>
      </c>
      <c r="W664" t="str">
        <v>PG010093</v>
      </c>
      <c r="X664" t="str">
        <v>PG010094</v>
      </c>
    </row>
    <row r="665">
      <c r="A665">
        <v>664</v>
      </c>
      <c r="B665" t="str">
        <v>Wonder M.G. Car</v>
      </c>
      <c r="C665">
        <v>3321</v>
      </c>
      <c r="D665" t="str">
        <v>Tracks /Platform base</v>
      </c>
      <c r="E665" t="str">
        <v>Travel &amp; Transport</v>
      </c>
      <c r="F665" t="str">
        <v>Yellow car w/ a couple holding a multicoloured umbrella on a straight track</v>
      </c>
      <c r="G665" t="str">
        <v>Clockwork</v>
      </c>
      <c r="H665" t="str">
        <v>The car moves forward and turns around while umbrella rotates</v>
      </c>
      <c r="I665" t="str">
        <v>Tin</v>
      </c>
      <c r="J665" t="str">
        <v>31.5x6x10</v>
      </c>
      <c r="K665" t="str">
        <v>Marusan</v>
      </c>
      <c r="L665" t="str">
        <v>Excellent</v>
      </c>
      <c r="M665">
        <v>1955</v>
      </c>
      <c r="N665">
        <v>1960</v>
      </c>
      <c r="O665" t="str">
        <v>Excellent</v>
      </c>
      <c r="P665">
        <v>350</v>
      </c>
      <c r="Q665" t="str">
        <v>May 2026</v>
      </c>
      <c r="R665" t="str">
        <v>Gonçalo Rueda</v>
      </c>
      <c r="S665" t="str">
        <v>400-450 (2026) w/ boc</v>
      </c>
      <c r="T665" t="str">
        <v>3 (538)</v>
      </c>
      <c r="W665" t="str">
        <v>PG010095</v>
      </c>
      <c r="X665" t="str">
        <v>PG010096</v>
      </c>
      <c r="Y665" t="str">
        <v>PG010097</v>
      </c>
      <c r="Z665" t="str">
        <v>PG010098</v>
      </c>
    </row>
    <row r="666">
      <c r="A666">
        <v>665</v>
      </c>
      <c r="B666" t="str">
        <v>Chinese Circus Acrobats</v>
      </c>
      <c r="C666">
        <v>322</v>
      </c>
      <c r="D666" t="str">
        <v>People</v>
      </c>
      <c r="E666" t="str">
        <v>Circus &amp; Clowns</v>
      </c>
      <c r="F666" t="str">
        <v>Two chinesse, one making acrobacies</v>
      </c>
      <c r="G666" t="str">
        <v>Clockwork</v>
      </c>
      <c r="I666" t="str">
        <v>Tin</v>
      </c>
      <c r="K666" t="str">
        <v>Kellermann</v>
      </c>
      <c r="M666">
        <v>1930</v>
      </c>
      <c r="N666">
        <v>1935</v>
      </c>
      <c r="P666">
        <v>515.5</v>
      </c>
      <c r="Q666" t="str">
        <v>May2026</v>
      </c>
      <c r="R666" t="str">
        <v>Catawiki</v>
      </c>
      <c r="T666" t="str">
        <v>66 (206) 75 (69)</v>
      </c>
    </row>
    <row r="667">
      <c r="A667">
        <v>666</v>
      </c>
      <c r="D667" t="str">
        <v>Vans/Buses &amp;Trucks</v>
      </c>
      <c r="E667" t="str">
        <v>Travel &amp; Transport</v>
      </c>
      <c r="G667" t="str">
        <v>Clockwork</v>
      </c>
      <c r="I667" t="str">
        <v>Tin</v>
      </c>
      <c r="K667" t="str">
        <v>Arnold</v>
      </c>
      <c r="M667">
        <v>1940</v>
      </c>
      <c r="P667">
        <v>1112.5</v>
      </c>
      <c r="Q667" t="str">
        <v>June2026</v>
      </c>
      <c r="R667" t="str">
        <v>eBay</v>
      </c>
      <c r="S667" t="str">
        <v>1500-2500</v>
      </c>
      <c r="U667" t="str">
        <v>Very rare</v>
      </c>
    </row>
  </sheetData>
  <autoFilter ref="A1:Z666"/>
  <hyperlinks>
    <hyperlink ref="W2" r:id="rId1"/>
    <hyperlink ref="X2" r:id="rId2"/>
    <hyperlink ref="Y2" r:id="rId3"/>
    <hyperlink ref="W3" r:id="rId4"/>
    <hyperlink ref="X3" r:id="rId5"/>
    <hyperlink ref="W4" r:id="rId6"/>
    <hyperlink ref="X4" r:id="rId7"/>
    <hyperlink ref="Y4" r:id="rId8"/>
    <hyperlink ref="W5" r:id="rId9"/>
    <hyperlink ref="X5" r:id="rId10"/>
    <hyperlink ref="Y5" r:id="rId11"/>
    <hyperlink ref="W6" r:id="rId12"/>
    <hyperlink ref="X6" r:id="rId13"/>
    <hyperlink ref="Y6" r:id="rId14"/>
    <hyperlink ref="W7" r:id="rId15"/>
    <hyperlink ref="X7" r:id="rId16"/>
    <hyperlink ref="Y7" r:id="rId17"/>
    <hyperlink ref="W8" r:id="rId18"/>
    <hyperlink ref="X8" r:id="rId19"/>
    <hyperlink ref="W9" r:id="rId20"/>
    <hyperlink ref="X9" r:id="rId21"/>
    <hyperlink ref="Y9" r:id="rId22"/>
    <hyperlink ref="W10" r:id="rId23"/>
    <hyperlink ref="X10" r:id="rId24"/>
    <hyperlink ref="Y10" r:id="rId25"/>
    <hyperlink ref="W11" r:id="rId26"/>
    <hyperlink ref="X11" r:id="rId27"/>
    <hyperlink ref="W12" r:id="rId28"/>
    <hyperlink ref="X12" r:id="rId29"/>
    <hyperlink ref="W13" r:id="rId30"/>
    <hyperlink ref="X13" r:id="rId31"/>
    <hyperlink ref="W14" r:id="rId32"/>
    <hyperlink ref="X14" r:id="rId33"/>
    <hyperlink ref="Y14" r:id="rId34"/>
    <hyperlink ref="W15" r:id="rId35"/>
    <hyperlink ref="X15" r:id="rId36"/>
    <hyperlink ref="Y15" r:id="rId37"/>
    <hyperlink ref="Z15" r:id="rId38"/>
    <hyperlink ref="W16" r:id="rId39"/>
    <hyperlink ref="X16" r:id="rId40"/>
    <hyperlink ref="Y16" r:id="rId41"/>
    <hyperlink ref="Z16" r:id="rId42"/>
    <hyperlink ref="W17" r:id="rId43"/>
    <hyperlink ref="X17" r:id="rId44"/>
    <hyperlink ref="Y17" r:id="rId45"/>
    <hyperlink ref="W18" r:id="rId46"/>
    <hyperlink ref="X18" r:id="rId47"/>
    <hyperlink ref="Y18" r:id="rId48"/>
    <hyperlink ref="Z18" r:id="rId49"/>
    <hyperlink ref="W19" r:id="rId50"/>
    <hyperlink ref="X19" r:id="rId51"/>
    <hyperlink ref="Y19" r:id="rId52"/>
    <hyperlink ref="Z19" r:id="rId53"/>
    <hyperlink ref="W20" r:id="rId54"/>
    <hyperlink ref="X20" r:id="rId55"/>
    <hyperlink ref="W21" r:id="rId56"/>
    <hyperlink ref="X21" r:id="rId57"/>
    <hyperlink ref="Y21" r:id="rId58"/>
    <hyperlink ref="Z21" r:id="rId59"/>
    <hyperlink ref="W22" r:id="rId60"/>
    <hyperlink ref="X22" r:id="rId61"/>
    <hyperlink ref="Y22" r:id="rId62"/>
    <hyperlink ref="W23" r:id="rId63"/>
    <hyperlink ref="X23" r:id="rId64"/>
    <hyperlink ref="Y23" r:id="rId65"/>
    <hyperlink ref="Z23" r:id="rId66"/>
    <hyperlink ref="W24" r:id="rId67"/>
    <hyperlink ref="X24" r:id="rId68"/>
    <hyperlink ref="Y24" r:id="rId69"/>
    <hyperlink ref="Z24" r:id="rId70"/>
    <hyperlink ref="W25" r:id="rId71"/>
    <hyperlink ref="X25" r:id="rId72"/>
    <hyperlink ref="Y25" r:id="rId73"/>
    <hyperlink ref="W26" r:id="rId74"/>
    <hyperlink ref="X26" r:id="rId75"/>
    <hyperlink ref="Y26" r:id="rId76"/>
    <hyperlink ref="W27" r:id="rId77"/>
    <hyperlink ref="X27" r:id="rId78"/>
    <hyperlink ref="Y27" r:id="rId79"/>
    <hyperlink ref="Z27" r:id="rId80"/>
    <hyperlink ref="W28" r:id="rId81"/>
    <hyperlink ref="X28" r:id="rId82"/>
    <hyperlink ref="Y28" r:id="rId83"/>
    <hyperlink ref="W29" r:id="rId84"/>
    <hyperlink ref="X29" r:id="rId85"/>
    <hyperlink ref="Y29" r:id="rId86"/>
    <hyperlink ref="Z29" r:id="rId87"/>
    <hyperlink ref="W30" r:id="rId88"/>
    <hyperlink ref="W31" r:id="rId89"/>
    <hyperlink ref="X31" r:id="rId90"/>
    <hyperlink ref="Y31" r:id="rId91"/>
    <hyperlink ref="Z31" r:id="rId92"/>
    <hyperlink ref="W32" r:id="rId93"/>
    <hyperlink ref="X32" r:id="rId94"/>
    <hyperlink ref="Y32" r:id="rId95"/>
    <hyperlink ref="W33" r:id="rId96"/>
    <hyperlink ref="X33" r:id="rId97"/>
    <hyperlink ref="W34" r:id="rId98"/>
    <hyperlink ref="X34" r:id="rId99"/>
    <hyperlink ref="Y34" r:id="rId100"/>
    <hyperlink ref="W35" r:id="rId101"/>
    <hyperlink ref="X35" r:id="rId102"/>
    <hyperlink ref="W36" r:id="rId103"/>
    <hyperlink ref="X36" r:id="rId104"/>
    <hyperlink ref="Y36" r:id="rId105"/>
    <hyperlink ref="W37" r:id="rId106"/>
    <hyperlink ref="X37" r:id="rId107"/>
    <hyperlink ref="Y37" r:id="rId108"/>
    <hyperlink ref="W38" r:id="rId109"/>
    <hyperlink ref="X38" r:id="rId110"/>
    <hyperlink ref="W39" r:id="rId111"/>
    <hyperlink ref="X39" r:id="rId112"/>
    <hyperlink ref="Y39" r:id="rId113"/>
    <hyperlink ref="W40" r:id="rId114"/>
    <hyperlink ref="X40" r:id="rId115"/>
    <hyperlink ref="Y40" r:id="rId116"/>
    <hyperlink ref="W41" r:id="rId117"/>
    <hyperlink ref="X41" r:id="rId118"/>
    <hyperlink ref="W42" r:id="rId119"/>
    <hyperlink ref="X42" r:id="rId120"/>
    <hyperlink ref="W43" r:id="rId121"/>
    <hyperlink ref="W44" r:id="rId122"/>
    <hyperlink ref="X44" r:id="rId123"/>
    <hyperlink ref="W45" r:id="rId124"/>
    <hyperlink ref="X45" r:id="rId125"/>
    <hyperlink ref="Y45" r:id="rId126"/>
    <hyperlink ref="W46" r:id="rId127"/>
    <hyperlink ref="X46" r:id="rId128"/>
    <hyperlink ref="Y46" r:id="rId129"/>
    <hyperlink ref="W47" r:id="rId130"/>
    <hyperlink ref="X47" r:id="rId131"/>
    <hyperlink ref="Y47" r:id="rId132"/>
    <hyperlink ref="W48" r:id="rId133"/>
    <hyperlink ref="X48" r:id="rId134"/>
    <hyperlink ref="W49" r:id="rId135"/>
    <hyperlink ref="X49" r:id="rId136"/>
    <hyperlink ref="W50" r:id="rId137"/>
    <hyperlink ref="X50" r:id="rId138"/>
    <hyperlink ref="Y50" r:id="rId139"/>
    <hyperlink ref="W51" r:id="rId140"/>
    <hyperlink ref="X51" r:id="rId141"/>
    <hyperlink ref="Y51" r:id="rId142"/>
    <hyperlink ref="W52" r:id="rId143"/>
    <hyperlink ref="X52" r:id="rId144"/>
    <hyperlink ref="W53" r:id="rId145"/>
    <hyperlink ref="X53" r:id="rId146"/>
    <hyperlink ref="W54" r:id="rId147"/>
    <hyperlink ref="X54" r:id="rId148"/>
    <hyperlink ref="Y54" r:id="rId149"/>
    <hyperlink ref="W55" r:id="rId150"/>
    <hyperlink ref="X55" r:id="rId151"/>
    <hyperlink ref="Y55" r:id="rId152"/>
    <hyperlink ref="W56" r:id="rId153"/>
    <hyperlink ref="X56" r:id="rId154"/>
    <hyperlink ref="Y56" r:id="rId155"/>
    <hyperlink ref="W57" r:id="rId156"/>
    <hyperlink ref="X57" r:id="rId157"/>
    <hyperlink ref="Y57" r:id="rId158"/>
    <hyperlink ref="W58" r:id="rId159"/>
    <hyperlink ref="X58" r:id="rId160"/>
    <hyperlink ref="Y58" r:id="rId161"/>
    <hyperlink ref="W59" r:id="rId162"/>
    <hyperlink ref="X59" r:id="rId163"/>
    <hyperlink ref="W60" r:id="rId164"/>
    <hyperlink ref="X60" r:id="rId165"/>
    <hyperlink ref="W61" r:id="rId166"/>
    <hyperlink ref="W62" r:id="rId167"/>
    <hyperlink ref="W63" r:id="rId168"/>
    <hyperlink ref="W64" r:id="rId169"/>
    <hyperlink ref="X64" r:id="rId170"/>
    <hyperlink ref="Y64" r:id="rId171"/>
    <hyperlink ref="W65" r:id="rId172"/>
    <hyperlink ref="W66" r:id="rId173"/>
    <hyperlink ref="X66" r:id="rId174"/>
    <hyperlink ref="W67" r:id="rId175"/>
    <hyperlink ref="X67" r:id="rId176"/>
    <hyperlink ref="W68" r:id="rId177"/>
    <hyperlink ref="X68" r:id="rId178"/>
    <hyperlink ref="W69" r:id="rId179"/>
    <hyperlink ref="X69" r:id="rId180"/>
    <hyperlink ref="W70" r:id="rId181"/>
    <hyperlink ref="W71" r:id="rId182"/>
    <hyperlink ref="X71" r:id="rId183"/>
    <hyperlink ref="W72" r:id="rId184"/>
    <hyperlink ref="W73" r:id="rId185"/>
    <hyperlink ref="X73" r:id="rId186"/>
    <hyperlink ref="Y73" r:id="rId187"/>
    <hyperlink ref="W74" r:id="rId188"/>
    <hyperlink ref="X74" r:id="rId189"/>
    <hyperlink ref="Y74" r:id="rId190"/>
    <hyperlink ref="W75" r:id="rId191"/>
    <hyperlink ref="X75" r:id="rId192"/>
    <hyperlink ref="Y75" r:id="rId193"/>
    <hyperlink ref="W76" r:id="rId194"/>
    <hyperlink ref="X76" r:id="rId195"/>
    <hyperlink ref="W77" r:id="rId196"/>
    <hyperlink ref="X77" r:id="rId197"/>
    <hyperlink ref="Y77" r:id="rId198"/>
    <hyperlink ref="W78" r:id="rId199"/>
    <hyperlink ref="X78" r:id="rId200"/>
    <hyperlink ref="W79" r:id="rId201"/>
    <hyperlink ref="X79" r:id="rId202"/>
    <hyperlink ref="Y79" r:id="rId203"/>
    <hyperlink ref="W80" r:id="rId204"/>
    <hyperlink ref="X80" r:id="rId205"/>
    <hyperlink ref="Y80" r:id="rId206"/>
    <hyperlink ref="W81" r:id="rId207"/>
    <hyperlink ref="X81" r:id="rId208"/>
    <hyperlink ref="W82" r:id="rId209"/>
    <hyperlink ref="X82" r:id="rId210"/>
    <hyperlink ref="W83" r:id="rId211"/>
    <hyperlink ref="X83" r:id="rId212"/>
    <hyperlink ref="W84" r:id="rId213"/>
    <hyperlink ref="X84" r:id="rId214"/>
    <hyperlink ref="W85" r:id="rId215"/>
    <hyperlink ref="W86" r:id="rId216"/>
    <hyperlink ref="X86" r:id="rId217"/>
    <hyperlink ref="W87" r:id="rId218"/>
    <hyperlink ref="X87" r:id="rId219"/>
    <hyperlink ref="W88" r:id="rId220"/>
    <hyperlink ref="X88" r:id="rId221"/>
    <hyperlink ref="W89" r:id="rId222"/>
    <hyperlink ref="X89" r:id="rId223"/>
    <hyperlink ref="W90" r:id="rId224"/>
    <hyperlink ref="X90" r:id="rId225"/>
    <hyperlink ref="W91" r:id="rId226"/>
    <hyperlink ref="W92" r:id="rId227"/>
    <hyperlink ref="X92" r:id="rId228"/>
    <hyperlink ref="W93" r:id="rId229"/>
    <hyperlink ref="X93" r:id="rId230"/>
    <hyperlink ref="W94" r:id="rId231"/>
    <hyperlink ref="X94" r:id="rId232"/>
    <hyperlink ref="W95" r:id="rId233"/>
    <hyperlink ref="X95" r:id="rId234"/>
    <hyperlink ref="W96" r:id="rId235"/>
    <hyperlink ref="X96" r:id="rId236"/>
    <hyperlink ref="W97" r:id="rId237"/>
    <hyperlink ref="W99" r:id="rId238"/>
    <hyperlink ref="W100" r:id="rId239"/>
    <hyperlink ref="X100" r:id="rId240"/>
    <hyperlink ref="W101" r:id="rId241"/>
    <hyperlink ref="X101" r:id="rId242"/>
    <hyperlink ref="W102" r:id="rId243"/>
    <hyperlink ref="X102" r:id="rId244"/>
    <hyperlink ref="W103" r:id="rId245"/>
    <hyperlink ref="W104" r:id="rId246"/>
    <hyperlink ref="W105" r:id="rId247"/>
    <hyperlink ref="W106" r:id="rId248"/>
    <hyperlink ref="W107" r:id="rId249"/>
    <hyperlink ref="X107" r:id="rId250"/>
    <hyperlink ref="Y107" r:id="rId251"/>
    <hyperlink ref="Z107" r:id="rId252"/>
    <hyperlink ref="W108" r:id="rId253"/>
    <hyperlink ref="W109" r:id="rId254"/>
    <hyperlink ref="X109" r:id="rId255"/>
    <hyperlink ref="W110" r:id="rId256"/>
    <hyperlink ref="W111" r:id="rId257"/>
    <hyperlink ref="W112" r:id="rId258"/>
    <hyperlink ref="X112" r:id="rId259"/>
    <hyperlink ref="Y112" r:id="rId260"/>
    <hyperlink ref="W113" r:id="rId261"/>
    <hyperlink ref="W114" r:id="rId262"/>
    <hyperlink ref="W115" r:id="rId263"/>
    <hyperlink ref="X115" r:id="rId264"/>
    <hyperlink ref="W116" r:id="rId265"/>
    <hyperlink ref="X116" r:id="rId266"/>
    <hyperlink ref="W117" r:id="rId267"/>
    <hyperlink ref="X117" r:id="rId268"/>
    <hyperlink ref="W118" r:id="rId269"/>
    <hyperlink ref="X118" r:id="rId270"/>
    <hyperlink ref="Y118" r:id="rId271"/>
    <hyperlink ref="W119" r:id="rId272"/>
    <hyperlink ref="X119" r:id="rId273"/>
    <hyperlink ref="Y119" r:id="rId274"/>
    <hyperlink ref="W120" r:id="rId275"/>
    <hyperlink ref="X120" r:id="rId276"/>
    <hyperlink ref="W121" r:id="rId277"/>
    <hyperlink ref="X121" r:id="rId278"/>
    <hyperlink ref="Y121" r:id="rId279"/>
    <hyperlink ref="W122" r:id="rId280"/>
    <hyperlink ref="X122" r:id="rId281"/>
    <hyperlink ref="Y122" r:id="rId282"/>
    <hyperlink ref="W123" r:id="rId283"/>
    <hyperlink ref="X123" r:id="rId284"/>
    <hyperlink ref="W124" r:id="rId285"/>
    <hyperlink ref="X124" r:id="rId286"/>
    <hyperlink ref="W125" r:id="rId287"/>
    <hyperlink ref="X125" r:id="rId288"/>
    <hyperlink ref="W126" r:id="rId289"/>
    <hyperlink ref="X126" r:id="rId290"/>
    <hyperlink ref="Y126" r:id="rId291"/>
    <hyperlink ref="Z126" r:id="rId292"/>
    <hyperlink ref="W127" r:id="rId293"/>
    <hyperlink ref="X127" r:id="rId294"/>
    <hyperlink ref="W128" r:id="rId295"/>
    <hyperlink ref="W129" r:id="rId296"/>
    <hyperlink ref="X129" r:id="rId297"/>
    <hyperlink ref="Y129" r:id="rId298"/>
    <hyperlink ref="W130" r:id="rId299"/>
    <hyperlink ref="X130" r:id="rId300"/>
    <hyperlink ref="W131" r:id="rId301"/>
    <hyperlink ref="X131" r:id="rId302"/>
    <hyperlink ref="Y131" r:id="rId303"/>
    <hyperlink ref="Z131" r:id="rId304"/>
    <hyperlink ref="W132" r:id="rId305"/>
    <hyperlink ref="X132" r:id="rId306"/>
    <hyperlink ref="Y132" r:id="rId307"/>
    <hyperlink ref="Z132" r:id="rId308"/>
    <hyperlink ref="W133" r:id="rId309"/>
    <hyperlink ref="X133" r:id="rId310"/>
    <hyperlink ref="Z133" r:id="rId311"/>
    <hyperlink ref="W134" r:id="rId312"/>
    <hyperlink ref="X134" r:id="rId313"/>
    <hyperlink ref="W135" r:id="rId314"/>
    <hyperlink ref="X135" r:id="rId315"/>
    <hyperlink ref="Y135" r:id="rId316"/>
    <hyperlink ref="W136" r:id="rId317"/>
    <hyperlink ref="X136" r:id="rId318"/>
    <hyperlink ref="W137" r:id="rId319"/>
    <hyperlink ref="X137" r:id="rId320"/>
    <hyperlink ref="W138" r:id="rId321"/>
    <hyperlink ref="X138" r:id="rId322"/>
    <hyperlink ref="W139" r:id="rId323"/>
    <hyperlink ref="X139" r:id="rId324"/>
    <hyperlink ref="Y139" r:id="rId325"/>
    <hyperlink ref="W140" r:id="rId326"/>
    <hyperlink ref="X140" r:id="rId327"/>
    <hyperlink ref="Y140" r:id="rId328"/>
    <hyperlink ref="W141" r:id="rId329"/>
    <hyperlink ref="X141" r:id="rId330"/>
    <hyperlink ref="W142" r:id="rId331"/>
    <hyperlink ref="X142" r:id="rId332"/>
    <hyperlink ref="W143" r:id="rId333"/>
    <hyperlink ref="X143" r:id="rId334"/>
    <hyperlink ref="W144" r:id="rId335"/>
    <hyperlink ref="W145" r:id="rId336"/>
    <hyperlink ref="X145" r:id="rId337"/>
    <hyperlink ref="W146" r:id="rId338"/>
    <hyperlink ref="X146" r:id="rId339"/>
    <hyperlink ref="W147" r:id="rId340"/>
    <hyperlink ref="X147" r:id="rId341"/>
    <hyperlink ref="W148" r:id="rId342"/>
    <hyperlink ref="X148" r:id="rId343"/>
    <hyperlink ref="W149" r:id="rId344"/>
    <hyperlink ref="X149" r:id="rId345"/>
    <hyperlink ref="W150" r:id="rId346"/>
    <hyperlink ref="X150" r:id="rId347"/>
    <hyperlink ref="W151" r:id="rId348"/>
    <hyperlink ref="X151" r:id="rId349"/>
    <hyperlink ref="W152" r:id="rId350"/>
    <hyperlink ref="X152" r:id="rId351"/>
    <hyperlink ref="W153" r:id="rId352"/>
    <hyperlink ref="X153" r:id="rId353"/>
    <hyperlink ref="W154" r:id="rId354"/>
    <hyperlink ref="X154" r:id="rId355"/>
    <hyperlink ref="Y154" r:id="rId356"/>
    <hyperlink ref="W155" r:id="rId357"/>
    <hyperlink ref="X155" r:id="rId358"/>
    <hyperlink ref="Y155" r:id="rId359"/>
    <hyperlink ref="W156" r:id="rId360"/>
    <hyperlink ref="X156" r:id="rId361"/>
    <hyperlink ref="Y156" r:id="rId362"/>
    <hyperlink ref="W157" r:id="rId363"/>
    <hyperlink ref="X157" r:id="rId364"/>
    <hyperlink ref="Y157" r:id="rId365"/>
    <hyperlink ref="W158" r:id="rId366"/>
    <hyperlink ref="X158" r:id="rId367"/>
    <hyperlink ref="Y158" r:id="rId368"/>
    <hyperlink ref="W159" r:id="rId369"/>
    <hyperlink ref="X159" r:id="rId370"/>
    <hyperlink ref="W160" r:id="rId371"/>
    <hyperlink ref="X160" r:id="rId372"/>
    <hyperlink ref="W161" r:id="rId373"/>
    <hyperlink ref="X161" r:id="rId374"/>
    <hyperlink ref="W162" r:id="rId375"/>
    <hyperlink ref="W163" r:id="rId376"/>
    <hyperlink ref="X163" r:id="rId377"/>
    <hyperlink ref="Y163" r:id="rId378"/>
    <hyperlink ref="W164" r:id="rId379"/>
    <hyperlink ref="X164" r:id="rId380"/>
    <hyperlink ref="W165" r:id="rId381"/>
    <hyperlink ref="W166" r:id="rId382"/>
    <hyperlink ref="X166" r:id="rId383"/>
    <hyperlink ref="W167" r:id="rId384"/>
    <hyperlink ref="W168" r:id="rId385"/>
    <hyperlink ref="X168" r:id="rId386"/>
    <hyperlink ref="W169" r:id="rId387"/>
    <hyperlink ref="X169" r:id="rId388"/>
    <hyperlink ref="W170" r:id="rId389"/>
    <hyperlink ref="X170" r:id="rId390"/>
    <hyperlink ref="Y170" r:id="rId391"/>
    <hyperlink ref="W171" r:id="rId392"/>
    <hyperlink ref="X171" r:id="rId393"/>
    <hyperlink ref="W172" r:id="rId394"/>
    <hyperlink ref="X172" r:id="rId395"/>
    <hyperlink ref="W173" r:id="rId396"/>
    <hyperlink ref="W174" r:id="rId397"/>
    <hyperlink ref="X174" r:id="rId398"/>
    <hyperlink ref="W175" r:id="rId399"/>
    <hyperlink ref="X175" r:id="rId400"/>
    <hyperlink ref="W176" r:id="rId401"/>
    <hyperlink ref="X176" r:id="rId402"/>
    <hyperlink ref="W177" r:id="rId403"/>
    <hyperlink ref="X177" r:id="rId404"/>
    <hyperlink ref="W178" r:id="rId405"/>
    <hyperlink ref="X178" r:id="rId406"/>
    <hyperlink ref="W179" r:id="rId407"/>
    <hyperlink ref="X179" r:id="rId408"/>
    <hyperlink ref="W180" r:id="rId409"/>
    <hyperlink ref="X180" r:id="rId410"/>
    <hyperlink ref="Y180" r:id="rId411"/>
    <hyperlink ref="W181" r:id="rId412"/>
    <hyperlink ref="X181" r:id="rId413"/>
    <hyperlink ref="W182" r:id="rId414"/>
    <hyperlink ref="X182" r:id="rId415"/>
    <hyperlink ref="W183" r:id="rId416"/>
    <hyperlink ref="X183" r:id="rId417"/>
    <hyperlink ref="W184" r:id="rId418"/>
    <hyperlink ref="X184" r:id="rId419"/>
    <hyperlink ref="W185" r:id="rId420"/>
    <hyperlink ref="X185" r:id="rId421"/>
    <hyperlink ref="W186" r:id="rId422"/>
    <hyperlink ref="X186" r:id="rId423"/>
    <hyperlink ref="W187" r:id="rId424"/>
    <hyperlink ref="X187" r:id="rId425"/>
    <hyperlink ref="W188" r:id="rId426"/>
    <hyperlink ref="X188" r:id="rId427"/>
    <hyperlink ref="Y188" r:id="rId428"/>
    <hyperlink ref="W189" r:id="rId429"/>
    <hyperlink ref="X189" r:id="rId430"/>
    <hyperlink ref="W190" r:id="rId431"/>
    <hyperlink ref="X190" r:id="rId432"/>
    <hyperlink ref="W191" r:id="rId433"/>
    <hyperlink ref="X191" r:id="rId434"/>
    <hyperlink ref="W192" r:id="rId435"/>
    <hyperlink ref="X192" r:id="rId436"/>
    <hyperlink ref="W193" r:id="rId437"/>
    <hyperlink ref="X193" r:id="rId438"/>
    <hyperlink ref="Y193" r:id="rId439"/>
    <hyperlink ref="W194" r:id="rId440"/>
    <hyperlink ref="W195" r:id="rId441"/>
    <hyperlink ref="W196" r:id="rId442"/>
    <hyperlink ref="W197" r:id="rId443"/>
    <hyperlink ref="W198" r:id="rId444"/>
    <hyperlink ref="W199" r:id="rId445"/>
    <hyperlink ref="X199" r:id="rId446"/>
    <hyperlink ref="W200" r:id="rId447"/>
    <hyperlink ref="X200" r:id="rId448"/>
    <hyperlink ref="W201" r:id="rId449"/>
    <hyperlink ref="X201" r:id="rId450"/>
    <hyperlink ref="W202" r:id="rId451"/>
    <hyperlink ref="X202" r:id="rId452"/>
    <hyperlink ref="W203" r:id="rId453"/>
    <hyperlink ref="X203" r:id="rId454"/>
    <hyperlink ref="W204" r:id="rId455"/>
    <hyperlink ref="W205" r:id="rId456"/>
    <hyperlink ref="W206" r:id="rId457"/>
    <hyperlink ref="W208" r:id="rId458"/>
    <hyperlink ref="W209" r:id="rId459"/>
    <hyperlink ref="X209" r:id="rId460"/>
    <hyperlink ref="W210" r:id="rId461"/>
    <hyperlink ref="W211" r:id="rId462"/>
    <hyperlink ref="X211" r:id="rId463"/>
    <hyperlink ref="W212" r:id="rId464"/>
    <hyperlink ref="X212" r:id="rId465"/>
    <hyperlink ref="W213" r:id="rId466"/>
    <hyperlink ref="X213" r:id="rId467"/>
    <hyperlink ref="W214" r:id="rId468"/>
    <hyperlink ref="X214" r:id="rId469"/>
    <hyperlink ref="Y214" r:id="rId470"/>
    <hyperlink ref="W215" r:id="rId471"/>
    <hyperlink ref="X215" r:id="rId472"/>
    <hyperlink ref="Y215" r:id="rId473"/>
    <hyperlink ref="W216" r:id="rId474"/>
    <hyperlink ref="X216" r:id="rId475"/>
    <hyperlink ref="W217" r:id="rId476"/>
    <hyperlink ref="W218" r:id="rId477"/>
    <hyperlink ref="X218" r:id="rId478"/>
    <hyperlink ref="Y218" r:id="rId479"/>
    <hyperlink ref="W219" r:id="rId480"/>
    <hyperlink ref="X219" r:id="rId481"/>
    <hyperlink ref="W220" r:id="rId482"/>
    <hyperlink ref="X220" r:id="rId483"/>
    <hyperlink ref="W221" r:id="rId484"/>
    <hyperlink ref="X221" r:id="rId485"/>
    <hyperlink ref="W222" r:id="rId486"/>
    <hyperlink ref="X222" r:id="rId487"/>
    <hyperlink ref="W223" r:id="rId488"/>
    <hyperlink ref="X223" r:id="rId489"/>
    <hyperlink ref="W224" r:id="rId490"/>
    <hyperlink ref="X224" r:id="rId491"/>
    <hyperlink ref="W225" r:id="rId492"/>
    <hyperlink ref="W226" r:id="rId493"/>
    <hyperlink ref="X226" r:id="rId494"/>
    <hyperlink ref="W227" r:id="rId495"/>
    <hyperlink ref="X227" r:id="rId496"/>
    <hyperlink ref="Y227" r:id="rId497"/>
    <hyperlink ref="W228" r:id="rId498"/>
    <hyperlink ref="X228" r:id="rId499"/>
    <hyperlink ref="W229" r:id="rId500"/>
    <hyperlink ref="W230" r:id="rId501"/>
    <hyperlink ref="X230" r:id="rId502"/>
    <hyperlink ref="W231" r:id="rId503"/>
    <hyperlink ref="X231" r:id="rId504"/>
    <hyperlink ref="W232" r:id="rId505"/>
    <hyperlink ref="X232" r:id="rId506"/>
    <hyperlink ref="W233" r:id="rId507"/>
    <hyperlink ref="X233" r:id="rId508"/>
    <hyperlink ref="W234" r:id="rId509"/>
    <hyperlink ref="X234" r:id="rId510"/>
    <hyperlink ref="W235" r:id="rId511"/>
    <hyperlink ref="X235" r:id="rId512"/>
    <hyperlink ref="Y235" r:id="rId513"/>
    <hyperlink ref="W236" r:id="rId514"/>
    <hyperlink ref="X236" r:id="rId515"/>
    <hyperlink ref="W237" r:id="rId516"/>
    <hyperlink ref="X237" r:id="rId517"/>
    <hyperlink ref="Y237" r:id="rId518"/>
    <hyperlink ref="W238" r:id="rId519"/>
    <hyperlink ref="X238" r:id="rId520"/>
    <hyperlink ref="Y238" r:id="rId521"/>
    <hyperlink ref="W239" r:id="rId522"/>
    <hyperlink ref="X239" r:id="rId523"/>
    <hyperlink ref="Y239" r:id="rId524"/>
    <hyperlink ref="W240" r:id="rId525"/>
    <hyperlink ref="X240" r:id="rId526"/>
    <hyperlink ref="W241" r:id="rId527"/>
    <hyperlink ref="X241" r:id="rId528"/>
    <hyperlink ref="Y241" r:id="rId529"/>
    <hyperlink ref="W242" r:id="rId530"/>
    <hyperlink ref="X242" r:id="rId531"/>
    <hyperlink ref="W243" r:id="rId532"/>
    <hyperlink ref="X243" r:id="rId533"/>
    <hyperlink ref="W244" r:id="rId534"/>
    <hyperlink ref="X244" r:id="rId535"/>
    <hyperlink ref="W245" r:id="rId536"/>
    <hyperlink ref="X245" r:id="rId537"/>
    <hyperlink ref="W246" r:id="rId538"/>
    <hyperlink ref="X246" r:id="rId539"/>
    <hyperlink ref="W247" r:id="rId540"/>
    <hyperlink ref="X247" r:id="rId541"/>
    <hyperlink ref="W248" r:id="rId542"/>
    <hyperlink ref="X248" r:id="rId543"/>
    <hyperlink ref="Y248" r:id="rId544"/>
    <hyperlink ref="Z248" r:id="rId545"/>
    <hyperlink ref="W249" r:id="rId546"/>
    <hyperlink ref="X249" r:id="rId547"/>
    <hyperlink ref="Y249" r:id="rId548"/>
    <hyperlink ref="W250" r:id="rId549"/>
    <hyperlink ref="X250" r:id="rId550"/>
    <hyperlink ref="Y250" r:id="rId551"/>
    <hyperlink ref="W251" r:id="rId552"/>
    <hyperlink ref="X251" r:id="rId553"/>
    <hyperlink ref="Y251" r:id="rId554"/>
    <hyperlink ref="W252" r:id="rId555"/>
    <hyperlink ref="X252" r:id="rId556"/>
    <hyperlink ref="W253" r:id="rId557"/>
    <hyperlink ref="X253" r:id="rId558"/>
    <hyperlink ref="Y253" r:id="rId559"/>
    <hyperlink ref="W254" r:id="rId560"/>
    <hyperlink ref="X254" r:id="rId561"/>
    <hyperlink ref="Y254" r:id="rId562"/>
    <hyperlink ref="Z254" r:id="rId563"/>
    <hyperlink ref="W255" r:id="rId564"/>
    <hyperlink ref="X255" r:id="rId565"/>
    <hyperlink ref="Y255" r:id="rId566"/>
    <hyperlink ref="W256" r:id="rId567"/>
    <hyperlink ref="X256" r:id="rId568"/>
    <hyperlink ref="Y256" r:id="rId569"/>
    <hyperlink ref="W257" r:id="rId570"/>
    <hyperlink ref="W258" r:id="rId571"/>
    <hyperlink ref="X258" r:id="rId572"/>
    <hyperlink ref="W259" r:id="rId573"/>
    <hyperlink ref="X259" r:id="rId574"/>
    <hyperlink ref="W260" r:id="rId575"/>
    <hyperlink ref="X260" r:id="rId576"/>
    <hyperlink ref="Y260" r:id="rId577"/>
    <hyperlink ref="W261" r:id="rId578"/>
    <hyperlink ref="X261" r:id="rId579"/>
    <hyperlink ref="W262" r:id="rId580"/>
    <hyperlink ref="X262" r:id="rId581"/>
    <hyperlink ref="W263" r:id="rId582"/>
    <hyperlink ref="X263" r:id="rId583"/>
    <hyperlink ref="W264" r:id="rId584"/>
    <hyperlink ref="X264" r:id="rId585"/>
    <hyperlink ref="W265" r:id="rId586"/>
    <hyperlink ref="W266" r:id="rId587"/>
    <hyperlink ref="X266" r:id="rId588"/>
    <hyperlink ref="W267" r:id="rId589"/>
    <hyperlink ref="X267" r:id="rId590"/>
    <hyperlink ref="W268" r:id="rId591"/>
    <hyperlink ref="X268" r:id="rId592"/>
    <hyperlink ref="W269" r:id="rId593"/>
    <hyperlink ref="X269" r:id="rId594"/>
    <hyperlink ref="W270" r:id="rId595"/>
    <hyperlink ref="X270" r:id="rId596"/>
    <hyperlink ref="Y270" r:id="rId597"/>
    <hyperlink ref="W271" r:id="rId598"/>
    <hyperlink ref="W272" r:id="rId599"/>
    <hyperlink ref="X272" r:id="rId600"/>
    <hyperlink ref="W273" r:id="rId601"/>
    <hyperlink ref="X273" r:id="rId602"/>
    <hyperlink ref="W274" r:id="rId603"/>
    <hyperlink ref="X274" r:id="rId604"/>
    <hyperlink ref="W275" r:id="rId605"/>
    <hyperlink ref="X275" r:id="rId606"/>
    <hyperlink ref="W276" r:id="rId607"/>
    <hyperlink ref="W277" r:id="rId608"/>
    <hyperlink ref="W278" r:id="rId609"/>
    <hyperlink ref="W279" r:id="rId610"/>
    <hyperlink ref="W280" r:id="rId611"/>
    <hyperlink ref="W281" r:id="rId612"/>
    <hyperlink ref="X281" r:id="rId613"/>
    <hyperlink ref="W282" r:id="rId614"/>
    <hyperlink ref="X282" r:id="rId615"/>
    <hyperlink ref="W283" r:id="rId616"/>
    <hyperlink ref="W284" r:id="rId617"/>
    <hyperlink ref="X284" r:id="rId618"/>
    <hyperlink ref="W285" r:id="rId619"/>
    <hyperlink ref="W286" r:id="rId620"/>
    <hyperlink ref="X286" r:id="rId621"/>
    <hyperlink ref="Y286" r:id="rId622"/>
    <hyperlink ref="W287" r:id="rId623"/>
    <hyperlink ref="X287" r:id="rId624"/>
    <hyperlink ref="W288" r:id="rId625"/>
    <hyperlink ref="W289" r:id="rId626"/>
    <hyperlink ref="W290" r:id="rId627"/>
    <hyperlink ref="X290" r:id="rId628"/>
    <hyperlink ref="W291" r:id="rId629"/>
    <hyperlink ref="X291" r:id="rId630"/>
    <hyperlink ref="W292" r:id="rId631"/>
    <hyperlink ref="X292" r:id="rId632"/>
    <hyperlink ref="W293" r:id="rId633"/>
    <hyperlink ref="X293" r:id="rId634"/>
    <hyperlink ref="W294" r:id="rId635"/>
    <hyperlink ref="X294" r:id="rId636"/>
    <hyperlink ref="Y294" r:id="rId637"/>
    <hyperlink ref="W295" r:id="rId638"/>
    <hyperlink ref="X295" r:id="rId639"/>
    <hyperlink ref="W296" r:id="rId640"/>
    <hyperlink ref="X296" r:id="rId641"/>
    <hyperlink ref="W297" r:id="rId642"/>
    <hyperlink ref="X297" r:id="rId643"/>
    <hyperlink ref="W298" r:id="rId644"/>
    <hyperlink ref="X298" r:id="rId645"/>
    <hyperlink ref="W299" r:id="rId646"/>
    <hyperlink ref="X299" r:id="rId647"/>
    <hyperlink ref="W300" r:id="rId648"/>
    <hyperlink ref="X300" r:id="rId649"/>
    <hyperlink ref="W301" r:id="rId650"/>
    <hyperlink ref="X301" r:id="rId651"/>
    <hyperlink ref="W302" r:id="rId652"/>
    <hyperlink ref="X302" r:id="rId653"/>
    <hyperlink ref="W303" r:id="rId654"/>
    <hyperlink ref="X303" r:id="rId655"/>
    <hyperlink ref="Y303" r:id="rId656"/>
    <hyperlink ref="W304" r:id="rId657"/>
    <hyperlink ref="X304" r:id="rId658"/>
    <hyperlink ref="W305" r:id="rId659"/>
    <hyperlink ref="X305" r:id="rId660"/>
    <hyperlink ref="W306" r:id="rId661"/>
    <hyperlink ref="W307" r:id="rId662"/>
    <hyperlink ref="X307" r:id="rId663"/>
    <hyperlink ref="Y307" r:id="rId664"/>
    <hyperlink ref="W308" r:id="rId665"/>
    <hyperlink ref="X308" r:id="rId666"/>
    <hyperlink ref="Y308" r:id="rId667"/>
    <hyperlink ref="W309" r:id="rId668"/>
    <hyperlink ref="W310" r:id="rId669"/>
    <hyperlink ref="X310" r:id="rId670"/>
    <hyperlink ref="W311" r:id="rId671"/>
    <hyperlink ref="X311" r:id="rId672"/>
    <hyperlink ref="Y311" r:id="rId673"/>
    <hyperlink ref="W312" r:id="rId674"/>
    <hyperlink ref="X312" r:id="rId675"/>
    <hyperlink ref="W313" r:id="rId676"/>
    <hyperlink ref="X313" r:id="rId677"/>
    <hyperlink ref="W314" r:id="rId678"/>
    <hyperlink ref="W315" r:id="rId679"/>
    <hyperlink ref="X315" r:id="rId680"/>
    <hyperlink ref="Y315" r:id="rId681"/>
    <hyperlink ref="W316" r:id="rId682"/>
    <hyperlink ref="X316" r:id="rId683"/>
    <hyperlink ref="W317" r:id="rId684"/>
    <hyperlink ref="X317" r:id="rId685"/>
    <hyperlink ref="W318" r:id="rId686"/>
    <hyperlink ref="X318" r:id="rId687"/>
    <hyperlink ref="W319" r:id="rId688"/>
    <hyperlink ref="X319" r:id="rId689"/>
    <hyperlink ref="W320" r:id="rId690"/>
    <hyperlink ref="X320" r:id="rId691"/>
    <hyperlink ref="Y320" r:id="rId692"/>
    <hyperlink ref="W321" r:id="rId693"/>
    <hyperlink ref="X321" r:id="rId694"/>
    <hyperlink ref="Y321" r:id="rId695"/>
    <hyperlink ref="W322" r:id="rId696"/>
    <hyperlink ref="X322" r:id="rId697"/>
    <hyperlink ref="Y322" r:id="rId698"/>
    <hyperlink ref="W323" r:id="rId699"/>
    <hyperlink ref="X323" r:id="rId700"/>
    <hyperlink ref="W324" r:id="rId701"/>
    <hyperlink ref="X324" r:id="rId702"/>
    <hyperlink ref="W325" r:id="rId703"/>
    <hyperlink ref="X325" r:id="rId704"/>
    <hyperlink ref="W326" r:id="rId705"/>
    <hyperlink ref="X326" r:id="rId706"/>
    <hyperlink ref="W327" r:id="rId707"/>
    <hyperlink ref="W328" r:id="rId708"/>
    <hyperlink ref="X328" r:id="rId709"/>
    <hyperlink ref="W329" r:id="rId710"/>
    <hyperlink ref="W330" r:id="rId711"/>
    <hyperlink ref="X330" r:id="rId712"/>
    <hyperlink ref="Y330" r:id="rId713"/>
    <hyperlink ref="W331" r:id="rId714"/>
    <hyperlink ref="X331" r:id="rId715"/>
    <hyperlink ref="W332" r:id="rId716"/>
    <hyperlink ref="X332" r:id="rId717"/>
    <hyperlink ref="W333" r:id="rId718"/>
    <hyperlink ref="X333" r:id="rId719"/>
    <hyperlink ref="Y333" r:id="rId720"/>
    <hyperlink ref="W334" r:id="rId721"/>
    <hyperlink ref="X334" r:id="rId722"/>
    <hyperlink ref="W335" r:id="rId723"/>
    <hyperlink ref="X335" r:id="rId724"/>
    <hyperlink ref="W336" r:id="rId725"/>
    <hyperlink ref="X336" r:id="rId726"/>
    <hyperlink ref="W337" r:id="rId727"/>
    <hyperlink ref="X337" r:id="rId728"/>
    <hyperlink ref="W338" r:id="rId729"/>
    <hyperlink ref="X338" r:id="rId730"/>
    <hyperlink ref="W339" r:id="rId731"/>
    <hyperlink ref="X339" r:id="rId732"/>
    <hyperlink ref="Y339" r:id="rId733"/>
    <hyperlink ref="W340" r:id="rId734"/>
    <hyperlink ref="X340" r:id="rId735"/>
    <hyperlink ref="W341" r:id="rId736"/>
    <hyperlink ref="X341" r:id="rId737"/>
    <hyperlink ref="W342" r:id="rId738"/>
    <hyperlink ref="W343" r:id="rId739"/>
    <hyperlink ref="X343" r:id="rId740"/>
    <hyperlink ref="Y343" r:id="rId741"/>
    <hyperlink ref="W344" r:id="rId742"/>
    <hyperlink ref="X344" r:id="rId743"/>
    <hyperlink ref="W345" r:id="rId744"/>
    <hyperlink ref="X345" r:id="rId745"/>
    <hyperlink ref="W346" r:id="rId746"/>
    <hyperlink ref="X346" r:id="rId747"/>
    <hyperlink ref="Y346" r:id="rId748"/>
    <hyperlink ref="W347" r:id="rId749"/>
    <hyperlink ref="X347" r:id="rId750"/>
    <hyperlink ref="W348" r:id="rId751"/>
    <hyperlink ref="X348" r:id="rId752"/>
    <hyperlink ref="W349" r:id="rId753"/>
    <hyperlink ref="X349" r:id="rId754"/>
    <hyperlink ref="W350" r:id="rId755"/>
    <hyperlink ref="X350" r:id="rId756"/>
    <hyperlink ref="W351" r:id="rId757"/>
    <hyperlink ref="X351" r:id="rId758"/>
    <hyperlink ref="Y351" r:id="rId759"/>
    <hyperlink ref="W352" r:id="rId760"/>
    <hyperlink ref="X352" r:id="rId761"/>
    <hyperlink ref="W353" r:id="rId762"/>
    <hyperlink ref="X353" r:id="rId763"/>
    <hyperlink ref="W354" r:id="rId764"/>
    <hyperlink ref="X354" r:id="rId765"/>
    <hyperlink ref="W355" r:id="rId766"/>
    <hyperlink ref="X355" r:id="rId767"/>
    <hyperlink ref="Y355" r:id="rId768"/>
    <hyperlink ref="W356" r:id="rId769"/>
    <hyperlink ref="X356" r:id="rId770"/>
    <hyperlink ref="Y356" r:id="rId771"/>
    <hyperlink ref="W357" r:id="rId772"/>
    <hyperlink ref="X357" r:id="rId773"/>
    <hyperlink ref="W358" r:id="rId774"/>
    <hyperlink ref="X358" r:id="rId775"/>
    <hyperlink ref="W359" r:id="rId776"/>
    <hyperlink ref="X359" r:id="rId777"/>
    <hyperlink ref="W360" r:id="rId778"/>
    <hyperlink ref="X360" r:id="rId779"/>
    <hyperlink ref="W361" r:id="rId780"/>
    <hyperlink ref="X361" r:id="rId781"/>
    <hyperlink ref="W362" r:id="rId782"/>
    <hyperlink ref="X362" r:id="rId783"/>
    <hyperlink ref="Y362" r:id="rId784"/>
    <hyperlink ref="W363" r:id="rId785"/>
    <hyperlink ref="X363" r:id="rId786"/>
    <hyperlink ref="W364" r:id="rId787"/>
    <hyperlink ref="X364" r:id="rId788"/>
    <hyperlink ref="W365" r:id="rId789"/>
    <hyperlink ref="X365" r:id="rId790"/>
    <hyperlink ref="Y365" r:id="rId791"/>
    <hyperlink ref="W366" r:id="rId792"/>
    <hyperlink ref="X366" r:id="rId793"/>
    <hyperlink ref="W367" r:id="rId794"/>
    <hyperlink ref="X367" r:id="rId795"/>
    <hyperlink ref="Y367" r:id="rId796"/>
    <hyperlink ref="W368" r:id="rId797"/>
    <hyperlink ref="W369" r:id="rId798"/>
    <hyperlink ref="W370" r:id="rId799"/>
    <hyperlink ref="W371" r:id="rId800"/>
    <hyperlink ref="X371" r:id="rId801"/>
    <hyperlink ref="Y371" r:id="rId802"/>
    <hyperlink ref="W372" r:id="rId803"/>
    <hyperlink ref="X372" r:id="rId804"/>
    <hyperlink ref="Y372" r:id="rId805"/>
    <hyperlink ref="W373" r:id="rId806"/>
    <hyperlink ref="X373" r:id="rId807"/>
    <hyperlink ref="W374" r:id="rId808"/>
    <hyperlink ref="X374" r:id="rId809"/>
    <hyperlink ref="W375" r:id="rId810"/>
    <hyperlink ref="X375" r:id="rId811"/>
    <hyperlink ref="W376" r:id="rId812"/>
    <hyperlink ref="X376" r:id="rId813"/>
    <hyperlink ref="Y376" r:id="rId814"/>
    <hyperlink ref="W377" r:id="rId815"/>
    <hyperlink ref="W378" r:id="rId816"/>
    <hyperlink ref="W379" r:id="rId817"/>
    <hyperlink ref="X379" r:id="rId818"/>
    <hyperlink ref="W380" r:id="rId819"/>
    <hyperlink ref="X380" r:id="rId820"/>
    <hyperlink ref="Y380" r:id="rId821"/>
    <hyperlink ref="W381" r:id="rId822"/>
    <hyperlink ref="X381" r:id="rId823"/>
    <hyperlink ref="W382" r:id="rId824"/>
    <hyperlink ref="X382" r:id="rId825"/>
    <hyperlink ref="W383" r:id="rId826"/>
    <hyperlink ref="X383" r:id="rId827"/>
    <hyperlink ref="W384" r:id="rId828"/>
    <hyperlink ref="X384" r:id="rId829"/>
    <hyperlink ref="W385" r:id="rId830"/>
    <hyperlink ref="W386" r:id="rId831"/>
    <hyperlink ref="X386" r:id="rId832"/>
    <hyperlink ref="W387" r:id="rId833"/>
    <hyperlink ref="W388" r:id="rId834"/>
    <hyperlink ref="W389" r:id="rId835"/>
    <hyperlink ref="X389" r:id="rId836"/>
    <hyperlink ref="W390" r:id="rId837"/>
    <hyperlink ref="X390" r:id="rId838"/>
    <hyperlink ref="W391" r:id="rId839"/>
    <hyperlink ref="X391" r:id="rId840"/>
    <hyperlink ref="Y391" r:id="rId841"/>
    <hyperlink ref="W392" r:id="rId842"/>
    <hyperlink ref="W393" r:id="rId843"/>
    <hyperlink ref="W394" r:id="rId844"/>
    <hyperlink ref="X394" r:id="rId845"/>
    <hyperlink ref="Y394" r:id="rId846"/>
    <hyperlink ref="W395" r:id="rId847"/>
    <hyperlink ref="X395" r:id="rId848"/>
    <hyperlink ref="Y395" r:id="rId849"/>
    <hyperlink ref="Z395" r:id="rId850"/>
    <hyperlink ref="W396" r:id="rId851"/>
    <hyperlink ref="X396" r:id="rId852"/>
    <hyperlink ref="Y396" r:id="rId853"/>
    <hyperlink ref="W397" r:id="rId854"/>
    <hyperlink ref="X397" r:id="rId855"/>
    <hyperlink ref="W398" r:id="rId856"/>
    <hyperlink ref="X398" r:id="rId857"/>
    <hyperlink ref="W399" r:id="rId858"/>
    <hyperlink ref="X399" r:id="rId859"/>
    <hyperlink ref="W400" r:id="rId860"/>
    <hyperlink ref="X400" r:id="rId861"/>
    <hyperlink ref="W401" r:id="rId862"/>
    <hyperlink ref="X401" r:id="rId863"/>
    <hyperlink ref="W402" r:id="rId864"/>
    <hyperlink ref="W403" r:id="rId865"/>
    <hyperlink ref="X403" r:id="rId866"/>
    <hyperlink ref="W404" r:id="rId867"/>
    <hyperlink ref="X404" r:id="rId868"/>
    <hyperlink ref="W405" r:id="rId869"/>
    <hyperlink ref="X405" r:id="rId870"/>
    <hyperlink ref="W406" r:id="rId871"/>
    <hyperlink ref="X406" r:id="rId872"/>
    <hyperlink ref="W407" r:id="rId873"/>
    <hyperlink ref="W408" r:id="rId874"/>
    <hyperlink ref="X408" r:id="rId875"/>
    <hyperlink ref="W409" r:id="rId876"/>
    <hyperlink ref="X409" r:id="rId877"/>
    <hyperlink ref="W410" r:id="rId878"/>
    <hyperlink ref="U411" r:id="rId879"/>
    <hyperlink ref="W411" r:id="rId880"/>
    <hyperlink ref="X411" r:id="rId881"/>
    <hyperlink ref="W412" r:id="rId882"/>
    <hyperlink ref="W413" r:id="rId883"/>
    <hyperlink ref="X413" r:id="rId884"/>
    <hyperlink ref="W414" r:id="rId885"/>
    <hyperlink ref="X414" r:id="rId886"/>
    <hyperlink ref="W415" r:id="rId887"/>
    <hyperlink ref="X415" r:id="rId888"/>
    <hyperlink ref="W416" r:id="rId889"/>
    <hyperlink ref="X416" r:id="rId890"/>
    <hyperlink ref="Y416" r:id="rId891"/>
    <hyperlink ref="W417" r:id="rId892"/>
    <hyperlink ref="X417" r:id="rId893"/>
    <hyperlink ref="Y417" r:id="rId894"/>
    <hyperlink ref="W418" r:id="rId895"/>
    <hyperlink ref="W419" r:id="rId896"/>
    <hyperlink ref="X419" r:id="rId897"/>
    <hyperlink ref="W420" r:id="rId898"/>
    <hyperlink ref="W421" r:id="rId899"/>
    <hyperlink ref="X421" r:id="rId900"/>
    <hyperlink ref="W422" r:id="rId901"/>
    <hyperlink ref="X422" r:id="rId902"/>
    <hyperlink ref="W423" r:id="rId903"/>
    <hyperlink ref="W424" r:id="rId904"/>
    <hyperlink ref="W425" r:id="rId905"/>
    <hyperlink ref="W426" r:id="rId906"/>
    <hyperlink ref="X426" r:id="rId907"/>
    <hyperlink ref="W427" r:id="rId908"/>
    <hyperlink ref="W428" r:id="rId909"/>
    <hyperlink ref="X428" r:id="rId910"/>
    <hyperlink ref="W429" r:id="rId911"/>
    <hyperlink ref="X429" r:id="rId912"/>
    <hyperlink ref="W430" r:id="rId913"/>
    <hyperlink ref="X430" r:id="rId914"/>
    <hyperlink ref="W431" r:id="rId915"/>
    <hyperlink ref="X431" r:id="rId916"/>
    <hyperlink ref="Y431" r:id="rId917"/>
    <hyperlink ref="W432" r:id="rId918"/>
    <hyperlink ref="X432" r:id="rId919"/>
    <hyperlink ref="W433" r:id="rId920"/>
    <hyperlink ref="X433" r:id="rId921"/>
    <hyperlink ref="W434" r:id="rId922"/>
    <hyperlink ref="X434" r:id="rId923"/>
    <hyperlink ref="Y434" r:id="rId924"/>
    <hyperlink ref="W435" r:id="rId925"/>
    <hyperlink ref="W436" r:id="rId926"/>
    <hyperlink ref="X436" r:id="rId927"/>
    <hyperlink ref="W437" r:id="rId928"/>
    <hyperlink ref="X437" r:id="rId929"/>
    <hyperlink ref="W438" r:id="rId930"/>
    <hyperlink ref="X438" r:id="rId931"/>
    <hyperlink ref="Y438" r:id="rId932"/>
    <hyperlink ref="W439" r:id="rId933"/>
    <hyperlink ref="X439" r:id="rId934"/>
    <hyperlink ref="Y439" r:id="rId935"/>
    <hyperlink ref="W440" r:id="rId936"/>
    <hyperlink ref="X440" r:id="rId937"/>
    <hyperlink ref="Y440" r:id="rId938"/>
    <hyperlink ref="W441" r:id="rId939"/>
    <hyperlink ref="W442" r:id="rId940"/>
    <hyperlink ref="X442" r:id="rId941"/>
    <hyperlink ref="W443" r:id="rId942"/>
    <hyperlink ref="W444" r:id="rId943"/>
    <hyperlink ref="W445" r:id="rId944"/>
    <hyperlink ref="W446" r:id="rId945"/>
    <hyperlink ref="W447" r:id="rId946"/>
    <hyperlink ref="W448" r:id="rId947"/>
    <hyperlink ref="X448" r:id="rId948"/>
    <hyperlink ref="W449" r:id="rId949"/>
    <hyperlink ref="X449" r:id="rId950"/>
    <hyperlink ref="W450" r:id="rId951"/>
    <hyperlink ref="X450" r:id="rId952"/>
    <hyperlink ref="W451" r:id="rId953"/>
    <hyperlink ref="X451" r:id="rId954"/>
    <hyperlink ref="W452" r:id="rId955"/>
    <hyperlink ref="W453" r:id="rId956"/>
    <hyperlink ref="X453" r:id="rId957"/>
    <hyperlink ref="W454" r:id="rId958"/>
    <hyperlink ref="X454" r:id="rId959"/>
    <hyperlink ref="W455" r:id="rId960"/>
    <hyperlink ref="X455" r:id="rId961"/>
    <hyperlink ref="W456" r:id="rId962"/>
    <hyperlink ref="X456" r:id="rId963"/>
    <hyperlink ref="Y456" r:id="rId964"/>
    <hyperlink ref="W457" r:id="rId965"/>
    <hyperlink ref="X457" r:id="rId966"/>
    <hyperlink ref="Y457" r:id="rId967"/>
    <hyperlink ref="W458" r:id="rId968"/>
    <hyperlink ref="X458" r:id="rId969"/>
    <hyperlink ref="Y458" r:id="rId970"/>
    <hyperlink ref="W459" r:id="rId971"/>
    <hyperlink ref="X459" r:id="rId972"/>
    <hyperlink ref="Y459" r:id="rId973"/>
    <hyperlink ref="W460" r:id="rId974"/>
    <hyperlink ref="X460" r:id="rId975"/>
    <hyperlink ref="W461" r:id="rId976"/>
    <hyperlink ref="X461" r:id="rId977"/>
    <hyperlink ref="W462" r:id="rId978"/>
    <hyperlink ref="X462" r:id="rId979"/>
    <hyperlink ref="W463" r:id="rId980"/>
    <hyperlink ref="X463" r:id="rId981"/>
    <hyperlink ref="Y463" r:id="rId982"/>
    <hyperlink ref="W464" r:id="rId983"/>
    <hyperlink ref="X464" r:id="rId984"/>
    <hyperlink ref="W465" r:id="rId985"/>
    <hyperlink ref="X465" r:id="rId986"/>
    <hyperlink ref="Y465" r:id="rId987"/>
    <hyperlink ref="Z465" r:id="rId988"/>
    <hyperlink ref="W466" r:id="rId989"/>
    <hyperlink ref="X466" r:id="rId990"/>
    <hyperlink ref="W467" r:id="rId991"/>
    <hyperlink ref="X467" r:id="rId992"/>
    <hyperlink ref="Y467" r:id="rId993"/>
    <hyperlink ref="W468" r:id="rId994"/>
    <hyperlink ref="X468" r:id="rId995"/>
    <hyperlink ref="Y468" r:id="rId996"/>
    <hyperlink ref="W469" r:id="rId997"/>
    <hyperlink ref="X469" r:id="rId998"/>
    <hyperlink ref="Y469" r:id="rId999"/>
    <hyperlink ref="W470" r:id="rId1000"/>
    <hyperlink ref="W471" r:id="rId1001"/>
    <hyperlink ref="X471" r:id="rId1002"/>
    <hyperlink ref="W472" r:id="rId1003"/>
    <hyperlink ref="X472" r:id="rId1004"/>
    <hyperlink ref="Y472" r:id="rId1005"/>
    <hyperlink ref="W473" r:id="rId1006"/>
    <hyperlink ref="X473" r:id="rId1007"/>
    <hyperlink ref="W474" r:id="rId1008"/>
    <hyperlink ref="X474" r:id="rId1009"/>
    <hyperlink ref="Y474" r:id="rId1010"/>
    <hyperlink ref="W475" r:id="rId1011"/>
    <hyperlink ref="X475" r:id="rId1012"/>
    <hyperlink ref="W476" r:id="rId1013"/>
    <hyperlink ref="X476" r:id="rId1014"/>
    <hyperlink ref="Y476" r:id="rId1015"/>
    <hyperlink ref="W477" r:id="rId1016"/>
    <hyperlink ref="X477" r:id="rId1017"/>
    <hyperlink ref="Y477" r:id="rId1018"/>
    <hyperlink ref="W478" r:id="rId1019"/>
    <hyperlink ref="X478" r:id="rId1020"/>
    <hyperlink ref="W479" r:id="rId1021"/>
    <hyperlink ref="X479" r:id="rId1022"/>
    <hyperlink ref="W480" r:id="rId1023"/>
    <hyperlink ref="X480" r:id="rId1024"/>
    <hyperlink ref="W481" r:id="rId1025"/>
    <hyperlink ref="X481" r:id="rId1026"/>
    <hyperlink ref="Y481" r:id="rId1027"/>
    <hyperlink ref="W482" r:id="rId1028"/>
    <hyperlink ref="X482" r:id="rId1029"/>
    <hyperlink ref="W483" r:id="rId1030"/>
    <hyperlink ref="X483" r:id="rId1031"/>
    <hyperlink ref="Y483" r:id="rId1032"/>
    <hyperlink ref="W484" r:id="rId1033"/>
    <hyperlink ref="W485" r:id="rId1034"/>
    <hyperlink ref="X485" r:id="rId1035"/>
    <hyperlink ref="W486" r:id="rId1036"/>
    <hyperlink ref="X486" r:id="rId1037"/>
    <hyperlink ref="W487" r:id="rId1038"/>
    <hyperlink ref="X487" r:id="rId1039"/>
    <hyperlink ref="W488" r:id="rId1040"/>
    <hyperlink ref="W489" r:id="rId1041"/>
    <hyperlink ref="W490" r:id="rId1042"/>
    <hyperlink ref="X490" r:id="rId1043"/>
    <hyperlink ref="W491" r:id="rId1044"/>
    <hyperlink ref="X491" r:id="rId1045"/>
    <hyperlink ref="Y491" r:id="rId1046"/>
    <hyperlink ref="Z491" r:id="rId1047"/>
    <hyperlink ref="W492" r:id="rId1048"/>
    <hyperlink ref="X492" r:id="rId1049"/>
    <hyperlink ref="W493" r:id="rId1050"/>
    <hyperlink ref="X493" r:id="rId1051"/>
    <hyperlink ref="Y493" r:id="rId1052"/>
    <hyperlink ref="W494" r:id="rId1053"/>
    <hyperlink ref="X494" r:id="rId1054"/>
    <hyperlink ref="W495" r:id="rId1055"/>
    <hyperlink ref="X495" r:id="rId1056"/>
    <hyperlink ref="Y495" r:id="rId1057"/>
    <hyperlink ref="W496" r:id="rId1058"/>
    <hyperlink ref="X496" r:id="rId1059"/>
    <hyperlink ref="W497" r:id="rId1060"/>
    <hyperlink ref="X497" r:id="rId1061"/>
    <hyperlink ref="Y497" r:id="rId1062"/>
    <hyperlink ref="W498" r:id="rId1063"/>
    <hyperlink ref="X498" r:id="rId1064"/>
    <hyperlink ref="Y498" r:id="rId1065"/>
    <hyperlink ref="Z498" r:id="rId1066"/>
    <hyperlink ref="W499" r:id="rId1067"/>
    <hyperlink ref="W500" r:id="rId1068"/>
    <hyperlink ref="X500" r:id="rId1069"/>
    <hyperlink ref="Y500" r:id="rId1070"/>
    <hyperlink ref="W501" r:id="rId1071"/>
    <hyperlink ref="X501" r:id="rId1072"/>
    <hyperlink ref="Y501" r:id="rId1073"/>
    <hyperlink ref="Z501" r:id="rId1074"/>
    <hyperlink ref="W502" r:id="rId1075"/>
    <hyperlink ref="X502" r:id="rId1076"/>
    <hyperlink ref="W503" r:id="rId1077"/>
    <hyperlink ref="X503" r:id="rId1078"/>
    <hyperlink ref="Y503" r:id="rId1079"/>
    <hyperlink ref="W504" r:id="rId1080"/>
    <hyperlink ref="X504" r:id="rId1081"/>
    <hyperlink ref="W505" r:id="rId1082"/>
    <hyperlink ref="X505" r:id="rId1083"/>
    <hyperlink ref="W506" r:id="rId1084"/>
    <hyperlink ref="X506" r:id="rId1085"/>
    <hyperlink ref="Y506" r:id="rId1086"/>
    <hyperlink ref="W507" r:id="rId1087"/>
    <hyperlink ref="W508" r:id="rId1088"/>
    <hyperlink ref="W509" r:id="rId1089"/>
    <hyperlink ref="X509" r:id="rId1090"/>
    <hyperlink ref="Y509" r:id="rId1091"/>
    <hyperlink ref="W510" r:id="rId1092"/>
    <hyperlink ref="W511" r:id="rId1093"/>
    <hyperlink ref="X511" r:id="rId1094"/>
    <hyperlink ref="W512" r:id="rId1095"/>
    <hyperlink ref="X512" r:id="rId1096"/>
    <hyperlink ref="W513" r:id="rId1097"/>
    <hyperlink ref="X513" r:id="rId1098"/>
    <hyperlink ref="W514" r:id="rId1099"/>
    <hyperlink ref="X514" r:id="rId1100"/>
    <hyperlink ref="Y514" r:id="rId1101"/>
    <hyperlink ref="W515" r:id="rId1102"/>
    <hyperlink ref="X515" r:id="rId1103"/>
    <hyperlink ref="Y515" r:id="rId1104"/>
    <hyperlink ref="W516" r:id="rId1105"/>
    <hyperlink ref="X516" r:id="rId1106"/>
    <hyperlink ref="Y516" r:id="rId1107"/>
    <hyperlink ref="W517" r:id="rId1108"/>
    <hyperlink ref="X517" r:id="rId1109"/>
    <hyperlink ref="W518" r:id="rId1110"/>
    <hyperlink ref="X518" r:id="rId1111"/>
    <hyperlink ref="Y518" r:id="rId1112"/>
    <hyperlink ref="W519" r:id="rId1113"/>
    <hyperlink ref="X519" r:id="rId1114"/>
    <hyperlink ref="Y519" r:id="rId1115"/>
    <hyperlink ref="W520" r:id="rId1116"/>
    <hyperlink ref="X520" r:id="rId1117"/>
    <hyperlink ref="W521" r:id="rId1118"/>
    <hyperlink ref="X521" r:id="rId1119"/>
    <hyperlink ref="W522" r:id="rId1120"/>
    <hyperlink ref="X522" r:id="rId1121"/>
    <hyperlink ref="W523" r:id="rId1122"/>
    <hyperlink ref="X523" r:id="rId1123"/>
    <hyperlink ref="W524" r:id="rId1124"/>
    <hyperlink ref="W525" r:id="rId1125"/>
    <hyperlink ref="W526" r:id="rId1126"/>
    <hyperlink ref="W527" r:id="rId1127"/>
    <hyperlink ref="W528" r:id="rId1128"/>
    <hyperlink ref="W529" r:id="rId1129"/>
    <hyperlink ref="W530" r:id="rId1130"/>
    <hyperlink ref="W531" r:id="rId1131"/>
    <hyperlink ref="W532" r:id="rId1132"/>
    <hyperlink ref="W533" r:id="rId1133"/>
    <hyperlink ref="W534" r:id="rId1134"/>
    <hyperlink ref="W535" r:id="rId1135"/>
    <hyperlink ref="W536" r:id="rId1136"/>
    <hyperlink ref="W537" r:id="rId1137"/>
    <hyperlink ref="W538" r:id="rId1138"/>
    <hyperlink ref="X538" r:id="rId1139"/>
    <hyperlink ref="W539" r:id="rId1140"/>
    <hyperlink ref="X539" r:id="rId1141"/>
    <hyperlink ref="W540" r:id="rId1142"/>
    <hyperlink ref="X540" r:id="rId1143"/>
    <hyperlink ref="Y540" r:id="rId1144"/>
    <hyperlink ref="W541" r:id="rId1145"/>
    <hyperlink ref="X541" r:id="rId1146"/>
    <hyperlink ref="W542" r:id="rId1147"/>
    <hyperlink ref="X542" r:id="rId1148"/>
    <hyperlink ref="Y542" r:id="rId1149"/>
    <hyperlink ref="W543" r:id="rId1150"/>
    <hyperlink ref="W544" r:id="rId1151"/>
    <hyperlink ref="W545" r:id="rId1152"/>
    <hyperlink ref="W546" r:id="rId1153"/>
    <hyperlink ref="W547" r:id="rId1154"/>
    <hyperlink ref="X547" r:id="rId1155"/>
    <hyperlink ref="W548" r:id="rId1156"/>
    <hyperlink ref="W549" r:id="rId1157"/>
    <hyperlink ref="W550" r:id="rId1158"/>
    <hyperlink ref="W551" r:id="rId1159"/>
    <hyperlink ref="W552" r:id="rId1160"/>
    <hyperlink ref="W553" r:id="rId1161"/>
    <hyperlink ref="W554" r:id="rId1162"/>
    <hyperlink ref="W555" r:id="rId1163"/>
    <hyperlink ref="X555" r:id="rId1164"/>
    <hyperlink ref="Y555" r:id="rId1165"/>
    <hyperlink ref="W556" r:id="rId1166"/>
    <hyperlink ref="X556" r:id="rId1167"/>
    <hyperlink ref="Y556" r:id="rId1168"/>
    <hyperlink ref="W557" r:id="rId1169"/>
    <hyperlink ref="W558" r:id="rId1170"/>
    <hyperlink ref="W559" r:id="rId1171"/>
    <hyperlink ref="X559" r:id="rId1172"/>
    <hyperlink ref="W560" r:id="rId1173"/>
    <hyperlink ref="W561" r:id="rId1174"/>
    <hyperlink ref="X561" r:id="rId1175"/>
    <hyperlink ref="W562" r:id="rId1176"/>
    <hyperlink ref="X562" r:id="rId1177"/>
    <hyperlink ref="W563" r:id="rId1178"/>
    <hyperlink ref="W564" r:id="rId1179"/>
    <hyperlink ref="X564" r:id="rId1180"/>
    <hyperlink ref="Y564" r:id="rId1181"/>
    <hyperlink ref="W565" r:id="rId1182"/>
    <hyperlink ref="X565" r:id="rId1183"/>
    <hyperlink ref="Y565" r:id="rId1184"/>
    <hyperlink ref="W566" r:id="rId1185"/>
    <hyperlink ref="X566" r:id="rId1186"/>
    <hyperlink ref="Y566" r:id="rId1187"/>
    <hyperlink ref="W567" r:id="rId1188"/>
    <hyperlink ref="X567" r:id="rId1189"/>
    <hyperlink ref="W568" r:id="rId1190"/>
    <hyperlink ref="X568" r:id="rId1191"/>
    <hyperlink ref="Y568" r:id="rId1192"/>
    <hyperlink ref="W569" r:id="rId1193"/>
    <hyperlink ref="X569" r:id="rId1194"/>
    <hyperlink ref="Y569" r:id="rId1195"/>
    <hyperlink ref="W570" r:id="rId1196"/>
    <hyperlink ref="X570" r:id="rId1197"/>
    <hyperlink ref="W571" r:id="rId1198"/>
    <hyperlink ref="X571" r:id="rId1199"/>
    <hyperlink ref="W572" r:id="rId1200"/>
    <hyperlink ref="X572" r:id="rId1201"/>
    <hyperlink ref="W573" r:id="rId1202"/>
    <hyperlink ref="X573" r:id="rId1203"/>
    <hyperlink ref="Y573" r:id="rId1204"/>
    <hyperlink ref="W574" r:id="rId1205"/>
    <hyperlink ref="X574" r:id="rId1206"/>
    <hyperlink ref="Y574" r:id="rId1207"/>
    <hyperlink ref="W575" r:id="rId1208"/>
    <hyperlink ref="X575" r:id="rId1209"/>
    <hyperlink ref="W576" r:id="rId1210"/>
    <hyperlink ref="W577" r:id="rId1211"/>
    <hyperlink ref="X577" r:id="rId1212"/>
    <hyperlink ref="W578" r:id="rId1213"/>
    <hyperlink ref="X578" r:id="rId1214"/>
    <hyperlink ref="Y578" r:id="rId1215"/>
    <hyperlink ref="W579" r:id="rId1216"/>
    <hyperlink ref="X579" r:id="rId1217"/>
    <hyperlink ref="Y579" r:id="rId1218"/>
    <hyperlink ref="W580" r:id="rId1219"/>
    <hyperlink ref="X580" r:id="rId1220"/>
    <hyperlink ref="W581" r:id="rId1221"/>
    <hyperlink ref="X581" r:id="rId1222"/>
    <hyperlink ref="W582" r:id="rId1223"/>
    <hyperlink ref="X582" r:id="rId1224"/>
    <hyperlink ref="W583" r:id="rId1225"/>
    <hyperlink ref="X583" r:id="rId1226"/>
    <hyperlink ref="W584" r:id="rId1227"/>
    <hyperlink ref="X584" r:id="rId1228"/>
    <hyperlink ref="Y584" r:id="rId1229"/>
    <hyperlink ref="W585" r:id="rId1230"/>
    <hyperlink ref="X585" r:id="rId1231"/>
    <hyperlink ref="W586" r:id="rId1232"/>
    <hyperlink ref="W587" r:id="rId1233"/>
    <hyperlink ref="X587" r:id="rId1234"/>
    <hyperlink ref="W588" r:id="rId1235"/>
    <hyperlink ref="X588" r:id="rId1236"/>
    <hyperlink ref="W589" r:id="rId1237"/>
    <hyperlink ref="X589" r:id="rId1238"/>
    <hyperlink ref="W590" r:id="rId1239"/>
    <hyperlink ref="X590" r:id="rId1240"/>
    <hyperlink ref="W591" r:id="rId1241"/>
    <hyperlink ref="X591" r:id="rId1242"/>
    <hyperlink ref="W592" r:id="rId1243"/>
    <hyperlink ref="X592" r:id="rId1244"/>
    <hyperlink ref="W593" r:id="rId1245"/>
    <hyperlink ref="X593" r:id="rId1246"/>
    <hyperlink ref="Y593" r:id="rId1247"/>
    <hyperlink ref="Z593" r:id="rId1248"/>
    <hyperlink ref="W594" r:id="rId1249"/>
    <hyperlink ref="X594" r:id="rId1250"/>
    <hyperlink ref="Y594" r:id="rId1251"/>
    <hyperlink ref="W595" r:id="rId1252"/>
    <hyperlink ref="W596" r:id="rId1253"/>
    <hyperlink ref="X596" r:id="rId1254"/>
    <hyperlink ref="W597" r:id="rId1255"/>
    <hyperlink ref="X597" r:id="rId1256"/>
    <hyperlink ref="Y597" r:id="rId1257"/>
    <hyperlink ref="W598" r:id="rId1258"/>
    <hyperlink ref="W599" r:id="rId1259"/>
    <hyperlink ref="X599" r:id="rId1260"/>
    <hyperlink ref="W600" r:id="rId1261"/>
    <hyperlink ref="X600" r:id="rId1262"/>
    <hyperlink ref="W601" r:id="rId1263"/>
    <hyperlink ref="W602" r:id="rId1264"/>
    <hyperlink ref="W603" r:id="rId1265"/>
    <hyperlink ref="W604" r:id="rId1266"/>
    <hyperlink ref="X604" r:id="rId1267"/>
    <hyperlink ref="W605" r:id="rId1268"/>
    <hyperlink ref="X605" r:id="rId1269"/>
    <hyperlink ref="W606" r:id="rId1270"/>
    <hyperlink ref="X606" r:id="rId1271"/>
    <hyperlink ref="W607" r:id="rId1272"/>
    <hyperlink ref="W608" r:id="rId1273"/>
    <hyperlink ref="X608" r:id="rId1274"/>
    <hyperlink ref="W609" r:id="rId1275"/>
    <hyperlink ref="X609" r:id="rId1276"/>
    <hyperlink ref="Y609" r:id="rId1277"/>
    <hyperlink ref="W610" r:id="rId1278"/>
    <hyperlink ref="W611" r:id="rId1279"/>
    <hyperlink ref="W612" r:id="rId1280"/>
    <hyperlink ref="W613" r:id="rId1281"/>
    <hyperlink ref="X613" r:id="rId1282"/>
    <hyperlink ref="Y613" r:id="rId1283"/>
    <hyperlink ref="W614" r:id="rId1284"/>
    <hyperlink ref="X614" r:id="rId1285"/>
    <hyperlink ref="W615" r:id="rId1286"/>
    <hyperlink ref="X615" r:id="rId1287"/>
    <hyperlink ref="W616" r:id="rId1288"/>
    <hyperlink ref="X616" r:id="rId1289"/>
    <hyperlink ref="Y616" r:id="rId1290"/>
    <hyperlink ref="W617" r:id="rId1291"/>
    <hyperlink ref="W618" r:id="rId1292"/>
    <hyperlink ref="W619" r:id="rId1293"/>
    <hyperlink ref="W620" r:id="rId1294"/>
    <hyperlink ref="W621" r:id="rId1295"/>
    <hyperlink ref="W622" r:id="rId1296"/>
    <hyperlink ref="W623" r:id="rId1297"/>
    <hyperlink ref="X623" r:id="rId1298"/>
    <hyperlink ref="W624" r:id="rId1299"/>
    <hyperlink ref="X624" r:id="rId1300"/>
    <hyperlink ref="W625" r:id="rId1301"/>
    <hyperlink ref="W626" r:id="rId1302"/>
    <hyperlink ref="W627" r:id="rId1303"/>
    <hyperlink ref="W628" r:id="rId1304"/>
    <hyperlink ref="W629" r:id="rId1305"/>
    <hyperlink ref="W630" r:id="rId1306"/>
    <hyperlink ref="W631" r:id="rId1307"/>
    <hyperlink ref="W632" r:id="rId1308"/>
    <hyperlink ref="W633" r:id="rId1309"/>
    <hyperlink ref="W634" r:id="rId1310"/>
    <hyperlink ref="W635" r:id="rId1311"/>
    <hyperlink ref="W636" r:id="rId1312"/>
    <hyperlink ref="X636" r:id="rId1313"/>
    <hyperlink ref="W637" r:id="rId1314"/>
    <hyperlink ref="W638" r:id="rId1315"/>
    <hyperlink ref="W639" r:id="rId1316"/>
    <hyperlink ref="W640" r:id="rId1317"/>
    <hyperlink ref="W641" r:id="rId1318"/>
    <hyperlink ref="W642" r:id="rId1319"/>
    <hyperlink ref="W643" r:id="rId1320"/>
    <hyperlink ref="W644" r:id="rId1321"/>
    <hyperlink ref="W645" r:id="rId1322"/>
    <hyperlink ref="W646" r:id="rId1323"/>
    <hyperlink ref="W647" r:id="rId1324"/>
    <hyperlink ref="W648" r:id="rId1325"/>
    <hyperlink ref="W649" r:id="rId1326"/>
    <hyperlink ref="W650" r:id="rId1327"/>
    <hyperlink ref="W651" r:id="rId1328"/>
    <hyperlink ref="W652" r:id="rId1329"/>
    <hyperlink ref="W653" r:id="rId1330"/>
    <hyperlink ref="W654" r:id="rId1331"/>
    <hyperlink ref="W655" r:id="rId1332"/>
    <hyperlink ref="W656" r:id="rId1333"/>
    <hyperlink ref="W657" r:id="rId1334"/>
    <hyperlink ref="W658" r:id="rId1335"/>
    <hyperlink ref="W659" r:id="rId1336"/>
    <hyperlink ref="W660" r:id="rId1337"/>
    <hyperlink ref="X660" r:id="rId1338"/>
    <hyperlink ref="Y660" r:id="rId1339"/>
    <hyperlink ref="W661" r:id="rId1340"/>
    <hyperlink ref="X661" r:id="rId1341"/>
    <hyperlink ref="Y661" r:id="rId1342"/>
    <hyperlink ref="Z661" r:id="rId1343"/>
    <hyperlink ref="W662" r:id="rId1344"/>
    <hyperlink ref="X662" r:id="rId1345"/>
    <hyperlink ref="Y662" r:id="rId1346"/>
    <hyperlink ref="W663" r:id="rId1347"/>
    <hyperlink ref="W664" r:id="rId1348"/>
    <hyperlink ref="X664" r:id="rId1349"/>
    <hyperlink ref="W665" r:id="rId1350"/>
    <hyperlink ref="X665" r:id="rId1351"/>
    <hyperlink ref="Y665" r:id="rId1352"/>
    <hyperlink ref="Z665" r:id="rId1353"/>
  </hyperlinks>
  <pageMargins left="0.7" right="0.7" top="0.75" bottom="0.75" header="0.3" footer="0.3"/>
  <ignoredErrors>
    <ignoredError numberStoredAsText="1" sqref="A1:AC711"/>
  </ignoredErrors>
</worksheet>
</file>

<file path=xl/worksheets/sheet2.xml><?xml version="1.0" encoding="utf-8"?>
<worksheet xmlns="http://schemas.openxmlformats.org/spreadsheetml/2006/main" xmlns:r="http://schemas.openxmlformats.org/officeDocument/2006/relationships">
  <dimension ref="A1:H143"/>
  <sheetViews>
    <sheetView workbookViewId="0" rightToLeft="0"/>
  </sheetViews>
  <sheetData>
    <row r="1">
      <c r="A1" t="str">
        <v>No.</v>
      </c>
      <c r="B1" t="str">
        <v>Title</v>
      </c>
      <c r="C1" t="str">
        <v>Author(s)</v>
      </c>
      <c r="D1" t="str">
        <v>Year</v>
      </c>
      <c r="E1" t="str">
        <v>Publisher</v>
      </c>
      <c r="F1" t="str">
        <v>City/Country</v>
      </c>
      <c r="G1" t="str">
        <v xml:space="preserve">Pages with our toys </v>
      </c>
      <c r="H1" t="str">
        <v>Obs.</v>
      </c>
    </row>
    <row r="2">
      <c r="A2">
        <v>1</v>
      </c>
      <c r="B2" t="str">
        <v>"Technofix" History and Products</v>
      </c>
      <c r="C2" t="str">
        <v>Dieter Warnecke</v>
      </c>
      <c r="D2">
        <v>1993</v>
      </c>
      <c r="E2" t="str">
        <v>Verlag Puppen &amp; Spielzeug</v>
      </c>
      <c r="F2" t="str">
        <v>Duisburg /Germany</v>
      </c>
      <c r="G2" t="str">
        <v>17, 30, 31, 33, 41, 42, 44, 70, 71, 72, 73, 74, 75, 76, 77, 78, 79, 80, 81, 82, 83, 84, 85, 86, 87, 88, 89, 90, 91, 92, 93, 94, 95, 96, 97, 98</v>
      </c>
    </row>
    <row r="3">
      <c r="A3">
        <v>2</v>
      </c>
      <c r="B3" t="str">
        <v>100 Years Carl Toys</v>
      </c>
      <c r="C3" t="str">
        <v>Dieter Warnecke</v>
      </c>
      <c r="D3">
        <v>2008</v>
      </c>
      <c r="E3" t="str">
        <v>Kerschensteiner Verlag</v>
      </c>
      <c r="F3" t="str">
        <v>Lappersdorf /Germany</v>
      </c>
      <c r="G3" t="str">
        <v>33, 37, 41, 44, 47, 48, 56, 60, 64, 70, 78, 79, 97, 99, 121, 138, 147, 149, 151, 158, 163, 168</v>
      </c>
    </row>
    <row r="4">
      <c r="A4">
        <v>3</v>
      </c>
      <c r="B4" t="str">
        <v>1000 Tin Toys</v>
      </c>
      <c r="C4" t="str">
        <v>Teruhisa Kitahara, Yukio Shimizu</v>
      </c>
      <c r="D4">
        <v>1996</v>
      </c>
      <c r="E4" t="str">
        <v>Taschen</v>
      </c>
      <c r="F4" t="str">
        <v>Koln /Germany</v>
      </c>
      <c r="G4" t="str">
        <v>168, 197, 200, 271, 272, 308, 309, 364, 368, 370, 382, 383, 384, 386, 389, 405, 414, 418, 423, 428, 429, 430, 431, 435, 436, 441, 443, 445, 518, 534, 602, 682, 683, 693</v>
      </c>
    </row>
    <row r="5">
      <c r="A5">
        <v>4</v>
      </c>
      <c r="B5" t="str">
        <v>2ª Mostra del Giocatolo d'Epoca e sua Cultura</v>
      </c>
      <c r="D5">
        <v>1991</v>
      </c>
      <c r="F5" t="str">
        <v>Firenze /Italy</v>
      </c>
      <c r="G5" t="str">
        <v>49, 55, 58, 66</v>
      </c>
    </row>
    <row r="6">
      <c r="A6">
        <v>141</v>
      </c>
      <c r="B6" t="str">
        <v>A Arte de Fabricar Brinquedos em Portugal - O Brinquedo de Plástico</v>
      </c>
      <c r="C6" t="str">
        <v>António Jorge Nunes Ribeiro, Américo Jacinto de Sousa Marques, Carlos Aníbal Marques de Magalhães, Victor José Ferreira Martins</v>
      </c>
      <c r="D6">
        <v>2025</v>
      </c>
      <c r="E6" t="str">
        <v>Junta de Freguesia de Alfena</v>
      </c>
      <c r="F6" t="str">
        <v>Portugal</v>
      </c>
      <c r="G6" t="str">
        <v>54, 73, 114, 126, 130, 134, 137, 140, 207, 212, 320</v>
      </c>
    </row>
    <row r="7">
      <c r="A7">
        <v>140</v>
      </c>
      <c r="B7" t="str">
        <v>A Arte de Fabricar Brinquedos em Portugal - O Contributo de Alfena e Ermesinde</v>
      </c>
      <c r="C7" t="str">
        <v>António Jorge Nunes Ribeiro, Américo Jacinto de Sousa Marques, Carlos Aníbal Marques de Magalhães</v>
      </c>
      <c r="D7">
        <v>2025</v>
      </c>
      <c r="E7" t="str">
        <v>Junta de Freguesia de Alfena</v>
      </c>
      <c r="F7" t="str">
        <v>Portugal</v>
      </c>
      <c r="G7" t="str">
        <v>34, 152, 158, 159</v>
      </c>
    </row>
    <row r="8">
      <c r="A8">
        <v>5</v>
      </c>
      <c r="B8" t="str">
        <v>A Century of Toys from the London Toy &amp; Doll Museum</v>
      </c>
      <c r="D8">
        <v>1982</v>
      </c>
      <c r="E8" t="str">
        <v>Michael Egley International Pty Ltd</v>
      </c>
      <c r="F8" t="str">
        <v>UK</v>
      </c>
      <c r="G8" t="str">
        <v>23, 56, 59, 65</v>
      </c>
    </row>
    <row r="9">
      <c r="A9">
        <v>6</v>
      </c>
      <c r="B9" t="str">
        <v>American Clockwork Toys 1862-1900</v>
      </c>
      <c r="C9" t="str">
        <v>Blair Whitton</v>
      </c>
      <c r="D9">
        <v>1981</v>
      </c>
      <c r="E9" t="str">
        <v>Schiffer Publishing Co.</v>
      </c>
      <c r="F9" t="str">
        <v>Exton, Penn / USA</v>
      </c>
    </row>
    <row r="10">
      <c r="A10">
        <v>7</v>
      </c>
      <c r="B10" t="str">
        <v>American Tin-Litho Toys</v>
      </c>
      <c r="C10" t="str">
        <v>Lisa Kerr</v>
      </c>
      <c r="D10">
        <v>1995</v>
      </c>
      <c r="E10" t="str">
        <v>Collectors Press</v>
      </c>
      <c r="F10" t="str">
        <v>Portland, OR /USA</v>
      </c>
      <c r="G10" t="str">
        <v>89, 90, 94, 97, 105, 132</v>
      </c>
    </row>
    <row r="11">
      <c r="A11">
        <v>8</v>
      </c>
      <c r="B11" t="str">
        <v>Antique Motorcycle Toys</v>
      </c>
      <c r="C11" t="str">
        <v>Richard Bertoia</v>
      </c>
      <c r="D11">
        <v>1999</v>
      </c>
      <c r="E11" t="str">
        <v>Schiffer Publishing Co.</v>
      </c>
      <c r="F11" t="str">
        <v>Atglen, Penn / USA</v>
      </c>
      <c r="G11" t="str">
        <v>10, 11, 12, 19, 20, 21, 22, 34, 53, 68, 78, 79, 80, 86, 87, 90, 102, 114, 115, 118, 121, 129, 130, 158</v>
      </c>
    </row>
    <row r="12">
      <c r="A12">
        <v>9</v>
      </c>
      <c r="B12" t="str">
        <v>Antique Toys and Their Background</v>
      </c>
      <c r="C12" t="str">
        <v>Gwen White</v>
      </c>
      <c r="D12">
        <v>1971</v>
      </c>
      <c r="E12" t="str">
        <v>Chancellor Press</v>
      </c>
      <c r="F12" t="str">
        <v>London /UK</v>
      </c>
    </row>
    <row r="13">
      <c r="A13">
        <v>10</v>
      </c>
      <c r="B13" t="str">
        <v>Arnold The Toys from 1906 until 1965</v>
      </c>
      <c r="C13" t="str">
        <v>Ulrich Schweizer</v>
      </c>
      <c r="D13">
        <v>2014</v>
      </c>
      <c r="E13" t="str">
        <v>Tin-and-Toys Verlag</v>
      </c>
      <c r="F13" t="str">
        <v>Germany</v>
      </c>
      <c r="G13" t="str">
        <v>14, 15, 55, 59, 62, 63, 64, 65, 77, 79, 82, 85, 86, 87, 89, 90, 91, 92, 93, 94, 95, 96, 101, 115, 119, 120, 122, 199, 201, 202, 204, 206, 209</v>
      </c>
    </row>
    <row r="14">
      <c r="A14">
        <v>11</v>
      </c>
      <c r="B14" t="str">
        <v>Au Plaisir des Jouets</v>
      </c>
      <c r="C14" t="str">
        <v>Claude Duneton</v>
      </c>
      <c r="D14">
        <v>2005</v>
      </c>
      <c r="E14" t="str">
        <v>Editions Hoebeke</v>
      </c>
      <c r="F14" t="str">
        <v>Paris /France</v>
      </c>
      <c r="G14" t="str">
        <v>117, 135</v>
      </c>
    </row>
    <row r="15">
      <c r="A15">
        <v>12</v>
      </c>
      <c r="B15" t="str">
        <v>Autocars &amp; Autobus</v>
      </c>
      <c r="C15" t="str">
        <v>Mick Duprat et Philippe Moro</v>
      </c>
      <c r="D15">
        <v>1995</v>
      </c>
      <c r="E15" t="str">
        <v>Editions Retroviseur</v>
      </c>
      <c r="F15" t="str">
        <v>Paris / France</v>
      </c>
      <c r="G15" t="str">
        <v>97, 106, 123, 156, 168, 173, 237, 238</v>
      </c>
    </row>
    <row r="16">
      <c r="A16">
        <v>13</v>
      </c>
      <c r="B16" t="str">
        <v>Automata &amp; Mechanical Toys</v>
      </c>
      <c r="C16" t="str">
        <v>Mary Hillier</v>
      </c>
      <c r="D16">
        <v>1988</v>
      </c>
      <c r="E16" t="str">
        <v>Bloomsbury Books</v>
      </c>
      <c r="F16" t="str">
        <v>London /UK</v>
      </c>
      <c r="G16" t="str">
        <v>66, 104, 165, 173, 177, 180, 183, 184, 190, 191, 192</v>
      </c>
    </row>
    <row r="17">
      <c r="A17">
        <v>14</v>
      </c>
      <c r="B17" t="str">
        <v>Avions Jouets 1945-1970</v>
      </c>
      <c r="C17" t="str">
        <v>Frédéric Marchand</v>
      </c>
      <c r="D17">
        <v>2004</v>
      </c>
      <c r="E17" t="str">
        <v>Éditions Langlaude</v>
      </c>
      <c r="F17" t="str">
        <v>Paris /France</v>
      </c>
      <c r="G17" t="str">
        <v>83, 92, 96, 127, 128, 145, 164, 165, 166, 187, 190, 192, 204, 205, 207</v>
      </c>
    </row>
    <row r="18">
      <c r="A18">
        <v>15</v>
      </c>
      <c r="B18" t="str">
        <v>Bateux Jouets 1850-1950</v>
      </c>
      <c r="C18" t="str">
        <v>Didier Frémond, Annie Madet-Vache, Alain Niderlinder</v>
      </c>
      <c r="D18">
        <v>2007</v>
      </c>
      <c r="E18" t="str">
        <v>Musée National de la Marine/Éditions du Chêne</v>
      </c>
      <c r="F18" t="str">
        <v>France</v>
      </c>
      <c r="G18" t="str">
        <v>94, 95, 139</v>
      </c>
    </row>
    <row r="19">
      <c r="A19">
        <v>16</v>
      </c>
      <c r="B19" t="str">
        <v>Batman Collected</v>
      </c>
      <c r="C19" t="str">
        <v>Chip Kidd and Geoff Spear</v>
      </c>
      <c r="D19">
        <v>1996</v>
      </c>
      <c r="E19" t="str">
        <v>Bulfinch Press</v>
      </c>
      <c r="F19" t="str">
        <v>Boston / USA</v>
      </c>
      <c r="G19" t="str">
        <v>221, 258, 265</v>
      </c>
    </row>
    <row r="20">
      <c r="A20">
        <v>17</v>
      </c>
      <c r="B20" t="str">
        <v>Battery Toys</v>
      </c>
      <c r="C20" t="str">
        <v>Brian Moran</v>
      </c>
      <c r="D20">
        <v>1984</v>
      </c>
      <c r="E20" t="str">
        <v>Schiffer Publishing Co.</v>
      </c>
      <c r="F20" t="str">
        <v>Exton, Penn / USA</v>
      </c>
      <c r="G20" t="str">
        <v>21, 22, 24, 25, 26, 27, 28, 30, 31, 32, 33, 34, 35, 37, 39, 40, 41, 43, 44, 45, 47, 48, 52, 53, 54, 57, 58, 59, 60, 61, 62, 63, 64, 65, 66, 67, 69, 72, 77, 81, 82, 85, 89, 93, 120, 122, 123, 126, 148, 159</v>
      </c>
    </row>
    <row r="21">
      <c r="A21">
        <v>18</v>
      </c>
      <c r="B21" t="str">
        <v>Bleschspielzeu Patente Band eins: 1878-1915</v>
      </c>
      <c r="C21" t="str">
        <v>Marianne und Jurgen Cieslik</v>
      </c>
      <c r="D21">
        <v>1977</v>
      </c>
      <c r="E21" t="str">
        <v>Marianne Cieslik Verlag</v>
      </c>
      <c r="F21" t="str">
        <v>Bad Honnef-Rhondorf /Germany</v>
      </c>
      <c r="G21" t="str">
        <v>83815, 161258, 163741, 208991</v>
      </c>
    </row>
    <row r="22">
      <c r="A22">
        <v>19</v>
      </c>
      <c r="B22" t="str">
        <v>Bleschspielzeu Patente Band zwei: 19168-1940</v>
      </c>
      <c r="C22" t="str">
        <v>Marianne und Jurgen Cieslik</v>
      </c>
      <c r="D22">
        <v>1979</v>
      </c>
      <c r="E22" t="str">
        <v>Marianne Cieslik Verlag</v>
      </c>
      <c r="F22" t="str">
        <v>Bad Honnef-Rhondorf /Germany</v>
      </c>
      <c r="G22" t="str">
        <v>452613, 512859, 578371, 615960, 648815, 660005, 667884, 673967, 689028, 692402</v>
      </c>
    </row>
    <row r="23">
      <c r="A23">
        <v>20</v>
      </c>
      <c r="B23" t="str">
        <v>Bleschspielzeug Autos Motorrader</v>
      </c>
      <c r="C23" t="str">
        <v>Rudger Huber</v>
      </c>
      <c r="D23">
        <v>1982</v>
      </c>
      <c r="E23" t="str">
        <v>Battenberg Verlag</v>
      </c>
      <c r="F23" t="str">
        <v>Munchen/Germany</v>
      </c>
      <c r="G23" t="str">
        <v>36, 37, 38, 39, 40, 41, 42, 43, 44, 46, 49, 50, 57, 61, 64, 66, 70, 72, 74, 90, 95, 107, 110, 113, 129, 132, 133, 134, 153, 158, 159, 162, 165, 167, 169, 174, 184, 193, 196, 198, 200</v>
      </c>
    </row>
    <row r="24">
      <c r="A24">
        <v>21</v>
      </c>
      <c r="B24" t="str">
        <v>Bleschspielzeug Importe</v>
      </c>
      <c r="C24" t="str">
        <v>Dieter Warnecke</v>
      </c>
      <c r="D24">
        <v>1993</v>
      </c>
      <c r="E24" t="str">
        <v>Battenberg Verlag</v>
      </c>
      <c r="F24" t="str">
        <v>Augsburg /Germany</v>
      </c>
      <c r="G24" t="str">
        <v>2, 13, 14, 15, 16, 36, 39, 55, 56, 57, 58, 59, 60, 61, 62, 63, 65, 67, 68, 69, 73, 74, 79, 80, 82, 84, 85, 97, 104, 107, 112, 116</v>
      </c>
    </row>
    <row r="25">
      <c r="A25">
        <v>22</v>
      </c>
      <c r="B25" t="str">
        <v>Bleschspielzeug in Wirtschaftswunder-Land</v>
      </c>
      <c r="C25" t="str">
        <v>Gerhard G. Walter</v>
      </c>
      <c r="D25">
        <v>1996</v>
      </c>
      <c r="E25" t="str">
        <v>Brigit S.Walter</v>
      </c>
      <c r="F25" t="str">
        <v>Ettlingen /Germany</v>
      </c>
      <c r="G25" t="str">
        <v>22, 31, 35, 36, 37, 38, 47, 48, 50, 52, 54, 55, 56, 60, 64, 71, 72, 74, 77, 78, 79, 80, 82, 85, 87, 88, 96, 97, 98, 99, 101, 102, 103, 105, 107, 108, 109, 110, 111, 113, 115, 116, 132, 152, 179, 186, 187, 188, 189, 190, 191,192, 193, 195, 199, 201, 203, 207, 209, 216, 218, 222, 223, 225, 227, 228, 230, 231, 232, 233, 234, 235, 237, 238, 241, 245, , 246, 248, 249, 250, 251, 252, 253, 254, 256, 257, 258, 260, 261, 263, 264, 265, 266, 267, 269, 270, 271, 272, 273, 276, 277, 278, 285, 287, 288, 290, 292, 293, 294, 295, 296, 297, 298</v>
      </c>
    </row>
    <row r="26">
      <c r="A26">
        <v>139</v>
      </c>
      <c r="B26" t="str">
        <v>Brinquedo Tradicional Português - Uma História a Descobrir no Concelho de Valongo</v>
      </c>
      <c r="C26" t="str">
        <v>Sandra Rodrigues</v>
      </c>
      <c r="D26">
        <v>2024</v>
      </c>
      <c r="E26" t="str">
        <v>Município de Valongo</v>
      </c>
      <c r="F26" t="str">
        <v>Portugal</v>
      </c>
      <c r="G26" t="str">
        <v>120, 121, 122</v>
      </c>
    </row>
    <row r="27">
      <c r="A27">
        <v>23</v>
      </c>
      <c r="B27" t="str">
        <v>Brinquedos OSUL (1) (catalogue)</v>
      </c>
      <c r="D27">
        <v>1955</v>
      </c>
      <c r="F27" t="str">
        <v>Espinho /Portugal</v>
      </c>
    </row>
    <row r="28">
      <c r="A28">
        <v>24</v>
      </c>
      <c r="B28" t="str">
        <v>Brinquedos OSUL (2) (catalogue)</v>
      </c>
      <c r="F28" t="str">
        <v>Espinho /Portugal</v>
      </c>
    </row>
    <row r="29">
      <c r="A29">
        <v>25</v>
      </c>
      <c r="B29" t="str">
        <v>Carocha Miniaturas</v>
      </c>
      <c r="C29" t="str">
        <v xml:space="preserve">Raul Empis Constâncio </v>
      </c>
      <c r="D29">
        <v>2001</v>
      </c>
      <c r="E29" t="str">
        <v>Siva</v>
      </c>
      <c r="F29" t="str">
        <v>Portugal</v>
      </c>
      <c r="G29">
        <v>17</v>
      </c>
    </row>
    <row r="30">
      <c r="A30">
        <v>26</v>
      </c>
      <c r="B30" t="str">
        <v>Carriages Cars and Cycles</v>
      </c>
      <c r="C30" t="str">
        <v>Jac and Frédéric Remise</v>
      </c>
      <c r="D30">
        <v>1984</v>
      </c>
      <c r="E30" t="str">
        <v xml:space="preserve">Édita </v>
      </c>
      <c r="F30" t="str">
        <v>Lausanne /Switzerland</v>
      </c>
      <c r="G30" t="str">
        <v>39, 40, 222</v>
      </c>
    </row>
    <row r="31">
      <c r="A31">
        <v>27</v>
      </c>
      <c r="B31" t="str">
        <v>CHRISTIE'S World of Automotive Toys</v>
      </c>
      <c r="C31" t="str">
        <v>Mike and Sue Richardson</v>
      </c>
      <c r="D31">
        <v>1998</v>
      </c>
      <c r="E31" t="str">
        <v>MBI Publishing Co.</v>
      </c>
      <c r="F31" t="str">
        <v>Osceola, WI /USA</v>
      </c>
      <c r="G31" t="str">
        <v>61, 66, 112, 113, 139</v>
      </c>
    </row>
    <row r="32">
      <c r="A32">
        <v>28</v>
      </c>
      <c r="B32" t="str">
        <v>Collecting Star Wars  Toys</v>
      </c>
      <c r="C32" t="str">
        <v>Jeffrey B Snyder</v>
      </c>
      <c r="D32">
        <v>1998</v>
      </c>
      <c r="E32" t="str">
        <v>Schiffer Publishing Co.</v>
      </c>
      <c r="F32" t="str">
        <v>Atglen, Penn / USA</v>
      </c>
      <c r="G32" t="str">
        <v>6, 32, 33, 41, 77, 78, 79, 80, 82, 93, 94, 100, 101, 109, 110</v>
      </c>
    </row>
    <row r="33">
      <c r="A33">
        <v>29</v>
      </c>
      <c r="B33" t="str">
        <v xml:space="preserve">Collecting the Tin Toy Car </v>
      </c>
      <c r="C33" t="str">
        <v>Dale Kelly</v>
      </c>
      <c r="D33">
        <v>1984</v>
      </c>
      <c r="E33" t="str">
        <v>New Cavendish Books</v>
      </c>
      <c r="F33" t="str">
        <v>London /UK</v>
      </c>
      <c r="G33" t="str">
        <v>11, 42,  146, 160, 162, 167, 179, 185, 192, 195</v>
      </c>
    </row>
    <row r="34">
      <c r="A34">
        <v>30</v>
      </c>
      <c r="B34" t="str">
        <v>Collecting Tin Toys</v>
      </c>
      <c r="C34" t="str">
        <v>Jack Tempest</v>
      </c>
      <c r="D34">
        <v>1985</v>
      </c>
      <c r="E34" t="str">
        <v>William Collins Sons &amp; Co. Ltd</v>
      </c>
      <c r="G34" t="str">
        <v>7, 9, 13, 18, 26, 28, 31, 48, 50, 56, 57, 78, 79, 81, 82, 84, 90, 91, 93, 102, 110, 119, 126, 129, 135</v>
      </c>
    </row>
    <row r="35">
      <c r="A35">
        <v>31</v>
      </c>
      <c r="B35" t="str">
        <v>Collecting Toy Airplanes</v>
      </c>
      <c r="C35" t="str">
        <v>Ron Smith</v>
      </c>
      <c r="D35">
        <v>1995</v>
      </c>
      <c r="E35" t="str">
        <v>Books Americana</v>
      </c>
      <c r="F35" t="str">
        <v>Florence, AL /USA</v>
      </c>
      <c r="G35" t="str">
        <v>99, 120, 131, 133, 162, 171</v>
      </c>
    </row>
    <row r="36">
      <c r="A36">
        <v>32</v>
      </c>
      <c r="B36" t="str">
        <v>Collecting Toys A Collector's Identification &amp; Value Guide (4th ed)</v>
      </c>
      <c r="C36" t="str">
        <v>Richard O'Brien</v>
      </c>
      <c r="D36">
        <v>1985</v>
      </c>
      <c r="E36" t="str">
        <v>Books Americana</v>
      </c>
      <c r="F36" t="str">
        <v>Florence, AL /USA</v>
      </c>
      <c r="G36" t="str">
        <v>131, 133, 144, 145, 149, 150, 152, 153, 155, 156, 157, 159, 162, 163, 166, 169, 170, 173, 188j, 188l, 188m, 188n, 276, 282, 286, , 361</v>
      </c>
    </row>
    <row r="37">
      <c r="A37">
        <v>33</v>
      </c>
      <c r="B37" t="str">
        <v>Collecting Toys A Collector's Identification &amp; Value Guide (5th ed)</v>
      </c>
      <c r="C37" t="str">
        <v>Richard O'Brien</v>
      </c>
      <c r="D37">
        <v>1990</v>
      </c>
      <c r="E37" t="str">
        <v>Books Americana</v>
      </c>
      <c r="F37" t="str">
        <v>Florence, AL /USA</v>
      </c>
      <c r="G37" t="str">
        <v>110, 181, 188, 189, 193, 194, 200, 201, 209, 210, 211, 213, 214, 215, 217, 219, 220, 222, 224, 225, 226, 227, 230, 231, 232, 234, 237, 239, 240, 243, 328, 330, 334, 335, 363, 370, 373, 379, 397, 455, 473, 474</v>
      </c>
    </row>
    <row r="38">
      <c r="A38">
        <v>34</v>
      </c>
      <c r="B38" t="str">
        <v>Collecting Toys for Fun and Profit</v>
      </c>
      <c r="C38" t="str">
        <v>William C Ketchum Jr.</v>
      </c>
      <c r="D38">
        <v>1985</v>
      </c>
      <c r="E38" t="str">
        <v>HPBooks</v>
      </c>
      <c r="F38" t="str">
        <v>Tucson, AZ / USA</v>
      </c>
      <c r="G38" t="str">
        <v>7, 24, 33, 74, 75</v>
      </c>
    </row>
    <row r="39">
      <c r="A39">
        <v>35</v>
      </c>
      <c r="B39" t="str">
        <v>Collector's Guide to Battery Toys</v>
      </c>
      <c r="C39" t="str">
        <v>Don Hultzman</v>
      </c>
      <c r="D39">
        <v>2002</v>
      </c>
      <c r="E39" t="str">
        <v>Collectors Books /Schroeder Publishing Co. Inc</v>
      </c>
      <c r="F39" t="str">
        <v>Paducah, KY /USA</v>
      </c>
      <c r="G39" t="str">
        <v>16, 19, 20, 26, 27, 28, 29, 33, 34, 36, 37, 38, 39, 44, 45, 51, 53, 55, 56, 57, 62, 63, 64, 66, 68, 69, 72, 74, 75, 76, 80, 82, 83, 85, 87, 88, 89, 91, 92, 93, 94, 95, 96, 97, 98, 100, 101, 102, 103, 105, 111, 115, 117, 118, 119, 120, 121, 122, 123, 124, 130, 132, 133, 137, 139, 141, 147, 149, 150, 151, 157, 158, 162, 163, 166, 168, 169, 174, 177, 179, 180, 181, 184, 185, 186, 185, 190, 191, 196, 197, 199, 200, 201, 206</v>
      </c>
    </row>
    <row r="40">
      <c r="A40">
        <v>36</v>
      </c>
      <c r="B40" t="str">
        <v>Collector's Guide to Toys, Games &amp; Puzzles</v>
      </c>
      <c r="C40" t="str">
        <v>Harry L Rinker</v>
      </c>
      <c r="D40">
        <v>1991</v>
      </c>
      <c r="E40" t="str">
        <v>Wallace-Homestead Book Company</v>
      </c>
      <c r="F40" t="str">
        <v>Radnor, PA /USA</v>
      </c>
      <c r="G40" t="str">
        <v>22b, 22h, 34, 67, 118, 119, 121</v>
      </c>
    </row>
    <row r="41">
      <c r="A41">
        <v>37</v>
      </c>
      <c r="B41" t="str">
        <v>Collector's Guide to TV Toys and Memorablia</v>
      </c>
      <c r="C41" t="str">
        <v>Greg Davis and Bill Morgan</v>
      </c>
      <c r="D41">
        <v>1999</v>
      </c>
      <c r="E41" t="str">
        <v>Collectors Books /Schroeder Publishing Co. Inc</v>
      </c>
      <c r="F41" t="str">
        <v>Paducah, KY /USA</v>
      </c>
    </row>
    <row r="42">
      <c r="A42">
        <v>38</v>
      </c>
      <c r="B42" t="str">
        <v>DDR Spielzeug</v>
      </c>
      <c r="C42" t="str">
        <v>Bernd Havenstein</v>
      </c>
      <c r="E42" t="str">
        <v>KOMET Verlag GmbH</v>
      </c>
      <c r="F42" t="str">
        <v>Koln /Germany</v>
      </c>
    </row>
    <row r="43">
      <c r="A43">
        <v>39</v>
      </c>
      <c r="B43" t="str">
        <v>Des Jouets et des Hommes</v>
      </c>
      <c r="D43">
        <v>2011</v>
      </c>
      <c r="E43" t="str">
        <v xml:space="preserve"> Éditions de la Rmn-Grand Palais</v>
      </c>
      <c r="F43" t="str">
        <v>Paris / France</v>
      </c>
      <c r="G43" t="str">
        <v xml:space="preserve">49, 72, 130, 131,132, 133, 134, 137, 199, 221, 228, 232, 234, 289, 298, 308 </v>
      </c>
    </row>
    <row r="44">
      <c r="A44">
        <v>40</v>
      </c>
      <c r="B44" t="str">
        <v>Die Welt Aus Blech</v>
      </c>
      <c r="D44">
        <v>1981</v>
      </c>
      <c r="E44" t="str">
        <v>Verlag Philipp Von Zabern</v>
      </c>
      <c r="F44" t="str">
        <v>Mainz em Rhein /Germany</v>
      </c>
      <c r="G44" t="str">
        <v xml:space="preserve">6, 45, 49, 50, 53, 54, 68, 98, 113, 114, 118, 121, 124, 127 </v>
      </c>
    </row>
    <row r="45">
      <c r="A45">
        <v>41</v>
      </c>
      <c r="B45" t="str">
        <v>Distler The Toys from 1903 until 1967</v>
      </c>
      <c r="C45" t="str">
        <v>Ulrich Schweizer</v>
      </c>
      <c r="D45">
        <v>2017</v>
      </c>
      <c r="E45" t="str">
        <v>Tin-and-Toys Verlag</v>
      </c>
      <c r="F45" t="str">
        <v>Germany</v>
      </c>
      <c r="G45" t="str">
        <v>45, 75, 77, 78, 81, 154, 155, 166, 167, 175</v>
      </c>
    </row>
    <row r="46">
      <c r="A46">
        <v>42</v>
      </c>
      <c r="B46" t="str">
        <v>Fire Fighting Toys 1940s-1990s</v>
      </c>
      <c r="C46" t="str">
        <v>James G Piatti and Sandra Frost Piatti</v>
      </c>
      <c r="D46">
        <v>2005</v>
      </c>
      <c r="E46" t="str">
        <v>Schiffer Publishing Co.</v>
      </c>
      <c r="F46" t="str">
        <v>Atglen, Penn / USA</v>
      </c>
      <c r="G46">
        <v>64</v>
      </c>
    </row>
    <row r="47">
      <c r="A47">
        <v>43</v>
      </c>
      <c r="B47" t="str">
        <v>Future Toys</v>
      </c>
      <c r="C47" t="str">
        <v>Antoni Emchowicz &amp; Paul Nunneley</v>
      </c>
      <c r="D47">
        <v>1999</v>
      </c>
      <c r="E47" t="str">
        <v>New Cavendish Books</v>
      </c>
      <c r="F47" t="str">
        <v>London /UK</v>
      </c>
      <c r="G47" t="str">
        <v>31, 42, 84, 106, 107, 111, 116, 117, 118, 119, 124, 125, 126, 127, 132, 135, 141, 144, 153, 158, 161, 172, 174, 178, 179, 185, 192, 196, 199, 223</v>
      </c>
    </row>
    <row r="48">
      <c r="A48">
        <v>44</v>
      </c>
      <c r="B48" t="str">
        <v>Gama Georg Adam Mangold Furth</v>
      </c>
      <c r="C48" t="str">
        <v>Regine Franzke</v>
      </c>
      <c r="D48">
        <v>1996</v>
      </c>
      <c r="E48" t="str">
        <v>W Tummels Buchdruckerei und Verlag GmbH</v>
      </c>
      <c r="F48" t="str">
        <v>Nurnberg /Germany</v>
      </c>
      <c r="G48" t="str">
        <v>21, 28, 31, 32, 92, 119, 125</v>
      </c>
    </row>
    <row r="49">
      <c r="A49">
        <v>45</v>
      </c>
      <c r="B49" t="str">
        <v>Gama The Toys from 1946 until 1968</v>
      </c>
      <c r="C49" t="str">
        <v>Ulrich Schweizer</v>
      </c>
      <c r="D49">
        <v>2012</v>
      </c>
      <c r="E49" t="str">
        <v>Tin-and-Toys Verlag</v>
      </c>
      <c r="F49" t="str">
        <v>Germany</v>
      </c>
      <c r="G49" t="str">
        <v>18, 21, 22, 40, 45, 81, 87, 91, 92, 94, 124, 125</v>
      </c>
    </row>
    <row r="50">
      <c r="A50">
        <v>46</v>
      </c>
      <c r="B50" t="str">
        <v>German Tin Toys after 1945</v>
      </c>
      <c r="C50" t="str">
        <v>Alfred Kraus, Dominique Kunze</v>
      </c>
      <c r="D50">
        <v>1998</v>
      </c>
      <c r="E50" t="str">
        <v>Bella-Verlag</v>
      </c>
      <c r="F50" t="str">
        <v>Mannheim /Germany</v>
      </c>
      <c r="G50" t="str">
        <v xml:space="preserve">11, 14, 15, 16, 17, 30, 31, 32, 33, 34, 36, 45, 47, 49, 51, 52, , 54, 55, 56, 59, 61, 62, 65, 68, 69, 71, 72, 74, 77, 78, 79, 82, 95, 99, 100, 104, 105, 106, 111, 114, 116, 117, 118, 119, 120, 128, 132, 133, 134, 137, 144, 145, 152, 153, 159, 161, 166, 168, 178, 180, 186, 187, 188, 189, 191, 194, 196, 197, 202, 203, , 204, 205, 215, 216, 217, 224, 225, 230, 231, 233, 234, 235, 236, 250, 251, 253, 254, 255, 256, 257, 258, 264, 273, 278, 282, 284, 290, 292, 293 </v>
      </c>
    </row>
    <row r="51">
      <c r="A51">
        <v>47</v>
      </c>
      <c r="B51" t="str">
        <v>Gescha &amp; Strenco</v>
      </c>
      <c r="C51" t="str">
        <v>Wolfgang Rothenberger, Christian Gartner</v>
      </c>
      <c r="D51">
        <v>1998</v>
      </c>
      <c r="E51" t="str">
        <v>Verlag Christian Gartner</v>
      </c>
      <c r="F51" t="str">
        <v>Koln /Germany</v>
      </c>
      <c r="G51" t="str">
        <v>21, 25, 29, 30, 32, 35, 36, 41, 42, 45, 55, 67, 75, 77, 87, 97, 98</v>
      </c>
    </row>
    <row r="52">
      <c r="A52">
        <v>48</v>
      </c>
      <c r="B52" t="str">
        <v>Giocattoli Italiani in Metallo 1908-1955</v>
      </c>
      <c r="C52" t="str">
        <v>Guido Cecere e Dario Cimorelli</v>
      </c>
      <c r="D52">
        <v>1992</v>
      </c>
      <c r="E52" t="str">
        <v>Electa</v>
      </c>
      <c r="F52" t="str">
        <v>Milano /Italy</v>
      </c>
      <c r="G52" t="str">
        <v>42, 119, 162</v>
      </c>
    </row>
    <row r="53">
      <c r="A53">
        <v>50</v>
      </c>
      <c r="B53" t="str">
        <v>Greenberg's Guide to Marx Toys vol.1</v>
      </c>
      <c r="C53" t="str">
        <v>Maxine  A Pinsky</v>
      </c>
      <c r="D53">
        <v>1988</v>
      </c>
      <c r="E53" t="str">
        <v>Greenberg Publishing Co.</v>
      </c>
      <c r="F53" t="str">
        <v>Sykesville MD /USA</v>
      </c>
      <c r="G53" t="str">
        <v>13, 50, 66, 74, 83, 89, 99</v>
      </c>
    </row>
    <row r="54">
      <c r="A54">
        <v>49</v>
      </c>
      <c r="B54" t="str">
        <v>Greenberg's Guide to Marx Toys vol.2</v>
      </c>
      <c r="C54" t="str">
        <v>Maxine  A Pinsky</v>
      </c>
      <c r="D54">
        <v>1990</v>
      </c>
      <c r="E54" t="str">
        <v>Greenberg Publishing Co.</v>
      </c>
      <c r="F54" t="str">
        <v>Sykesville MD /USA</v>
      </c>
      <c r="G54" t="str">
        <v>33, 117, 125</v>
      </c>
    </row>
    <row r="55">
      <c r="A55">
        <v>51</v>
      </c>
      <c r="B55" t="str">
        <v>Japanese Toys</v>
      </c>
      <c r="C55" t="str">
        <v>William C Gallagher</v>
      </c>
      <c r="D55">
        <v>2000</v>
      </c>
      <c r="E55" t="str">
        <v>Schiffer Publishing Co.</v>
      </c>
      <c r="F55" t="str">
        <v>Atglen, Penn / USA</v>
      </c>
      <c r="G55" t="str">
        <v xml:space="preserve">22, 48, 49, 51, 59, 62, 65, 67, 69, 71, 72, 73, 74, 77, 80, 82, 91, 97, 104, 107, 109, 110, 117, 125, 129, 141, 148, 155, 169, 170, 183, 188, 192 </v>
      </c>
    </row>
    <row r="56">
      <c r="A56">
        <v>52</v>
      </c>
      <c r="B56" t="str">
        <v>Jocs &amp; Joguetes</v>
      </c>
      <c r="D56">
        <v>1998</v>
      </c>
      <c r="E56" t="str">
        <v>Triangle Postals SL</v>
      </c>
      <c r="F56" t="str">
        <v>Sant Lluis, Menorca /Spain</v>
      </c>
      <c r="G56" t="str">
        <v>58, 60, 65, 66, 67, 120, 130, 138, 144</v>
      </c>
    </row>
    <row r="57">
      <c r="A57">
        <v>53</v>
      </c>
      <c r="B57" t="str">
        <v>Jouef La Passion des Jouets</v>
      </c>
      <c r="C57" t="str">
        <v>Daniel Bonnet, Patrick Broguière, Thierry Delcourt, Christian Fausser</v>
      </c>
      <c r="D57">
        <v>2006</v>
      </c>
      <c r="E57" t="str">
        <v>Du May, E-T-A-I</v>
      </c>
      <c r="F57" t="str">
        <v>Boulogne-Billancourt/ France</v>
      </c>
      <c r="G57" t="str">
        <v>9, 12, 16, 131</v>
      </c>
    </row>
    <row r="58">
      <c r="A58">
        <v>54</v>
      </c>
      <c r="B58" t="str">
        <v>Jouets Mécaniques Métalliques</v>
      </c>
      <c r="C58" t="str">
        <v>Christiane Sigel</v>
      </c>
      <c r="D58">
        <v>1993</v>
      </c>
      <c r="E58" t="str">
        <v>Musées de la Ville de Strasbourg</v>
      </c>
      <c r="F58" t="str">
        <v>Strasbourg / France</v>
      </c>
      <c r="G58" t="str">
        <v>76, 115, 117, 118, 123, 125, 126, 127, 128, 131, 133, 134, 137, 139, 141, 142, 143, 146, 155, 158, 163, 178, 183, 185, 186, 213, 225, 232, 259, 260, 262</v>
      </c>
    </row>
    <row r="59">
      <c r="A59">
        <v>55</v>
      </c>
      <c r="B59" t="str">
        <v>Joustra</v>
      </c>
      <c r="C59" t="str">
        <v>Nicolas Léonard</v>
      </c>
      <c r="D59">
        <v>2003</v>
      </c>
      <c r="E59" t="str">
        <v>Du May</v>
      </c>
      <c r="F59" t="str">
        <v>Boulogne- Billacourt / França</v>
      </c>
      <c r="G59" t="str">
        <v>5, 15, 17, 18, 19, 20, 21, 23, 24, 25,26, 32, 33, 34, 35, 42, 43, 44, 70, 71, 160, 161, 191, 233</v>
      </c>
    </row>
    <row r="60">
      <c r="A60">
        <v>56</v>
      </c>
      <c r="B60" t="str">
        <v>La Joguina A Catalunya</v>
      </c>
      <c r="C60" t="str">
        <v>J Corredor-Matheos</v>
      </c>
      <c r="D60">
        <v>1981</v>
      </c>
      <c r="E60" t="str">
        <v>Ediciones 62 s.a.</v>
      </c>
      <c r="F60" t="str">
        <v>Barcelona /Spain</v>
      </c>
      <c r="G60" t="str">
        <v>109, 133, 158</v>
      </c>
    </row>
    <row r="61">
      <c r="A61">
        <v>57</v>
      </c>
      <c r="B61" t="str">
        <v>Le Cirque et Le Jouet</v>
      </c>
      <c r="C61" t="str">
        <v>Monica Burckhardt</v>
      </c>
      <c r="D61">
        <v>1984</v>
      </c>
      <c r="E61" t="str">
        <v>Musée des Artes Décoratifs /Flammarion</v>
      </c>
      <c r="F61" t="str">
        <v>Paris /France</v>
      </c>
      <c r="G61" t="str">
        <v>15, 37, 38, 39, 40, 41, 42, 43, 44, 45, 50, 75, 76, 81, 83, 84, 85, 91</v>
      </c>
    </row>
    <row r="62">
      <c r="A62">
        <v>58</v>
      </c>
      <c r="B62" t="str">
        <v>Le Guidargus des Jouets de Collection</v>
      </c>
      <c r="C62" t="str">
        <v>FrançoisTheimer</v>
      </c>
      <c r="D62">
        <v>1990</v>
      </c>
      <c r="E62" t="str">
        <v>Les Éditions de l'Amateur</v>
      </c>
      <c r="F62" t="str">
        <v>Montholon / France</v>
      </c>
      <c r="G62" t="str">
        <v>112, 126, 176, 177</v>
      </c>
    </row>
    <row r="63">
      <c r="A63">
        <v>59</v>
      </c>
      <c r="B63" t="str">
        <v>Lehmann Toys</v>
      </c>
      <c r="C63" t="str">
        <v>Jurgen &amp; Marianne Cieslik</v>
      </c>
      <c r="D63">
        <v>1981</v>
      </c>
      <c r="E63" t="str">
        <v>New Cavendish Books</v>
      </c>
      <c r="F63" t="str">
        <v>London /UK</v>
      </c>
      <c r="G63" t="str">
        <v>15, 54, 57, 58, 59, 60, 61, 62, 64, 65, 66, 117, 118, 119, 121, 123, 124, 125, 139, 140, 154, 162, 175, 181, 183, 193, 194, 195, 196, 197, 198, 200, 201, 202, 206, 207, 208, 209, 210</v>
      </c>
    </row>
    <row r="64">
      <c r="A64">
        <v>60</v>
      </c>
      <c r="B64" t="str">
        <v>Les Jouets Anciens</v>
      </c>
      <c r="C64" t="str">
        <v>Clive Lamming</v>
      </c>
      <c r="D64">
        <v>1985</v>
      </c>
      <c r="E64" t="str">
        <v>Editions Atlas</v>
      </c>
      <c r="F64" t="str">
        <v>Paris / France</v>
      </c>
      <c r="G64" t="str">
        <v>48, 49, 97, 122, 206</v>
      </c>
    </row>
    <row r="65">
      <c r="A65">
        <v>61</v>
      </c>
      <c r="B65" t="str">
        <v>Les Jouets C. Rossignol</v>
      </c>
      <c r="C65" t="str">
        <v>Mick Duprat</v>
      </c>
      <c r="D65">
        <v>1998</v>
      </c>
      <c r="E65" t="str">
        <v>Massin Editeur</v>
      </c>
      <c r="F65" t="str">
        <v>Paris / France</v>
      </c>
    </row>
    <row r="66">
      <c r="A66">
        <v>62</v>
      </c>
      <c r="B66" t="str">
        <v>Les Jouets Japonais</v>
      </c>
      <c r="C66" t="str">
        <v>Jacky Broutin</v>
      </c>
      <c r="D66">
        <v>1982</v>
      </c>
      <c r="E66" t="str">
        <v>Anamorphose</v>
      </c>
      <c r="F66" t="str">
        <v>Avrigny / France</v>
      </c>
      <c r="G66" t="str">
        <v>11, 12, 21, 24, 25, 26, 27, 29, 32, 35, 36, 37, 38, 45, 50, 60, 88, 102, 105, 106, 109, 125, 126, 127, 131, 133, 135</v>
      </c>
    </row>
    <row r="67">
      <c r="A67">
        <v>63</v>
      </c>
      <c r="B67" t="str">
        <v>Les Jouets Mechaniques 1860-1960</v>
      </c>
      <c r="C67" t="str">
        <v>Pierre Marie Favelac</v>
      </c>
      <c r="D67">
        <v>2000</v>
      </c>
      <c r="E67" t="str">
        <v>Ch. Massin</v>
      </c>
      <c r="F67" t="str">
        <v>Paris / France</v>
      </c>
      <c r="G67" t="str">
        <v>12, 16, 23, 24, 25, 27, 28, 31, 35</v>
      </c>
    </row>
    <row r="68">
      <c r="A68">
        <v>64</v>
      </c>
      <c r="B68" t="str">
        <v>Les Robots de Pierre Cornette de Saint Cyr</v>
      </c>
      <c r="C68" t="str">
        <v>Stéphane Calvo</v>
      </c>
      <c r="D68">
        <v>2008</v>
      </c>
      <c r="E68" t="str">
        <v>Éditions du Chêne - Hachette-Livre</v>
      </c>
      <c r="F68" t="str">
        <v>France</v>
      </c>
      <c r="G68" t="str">
        <v>34, 35, 60, 61, 62, 122, 123, 138, 149</v>
      </c>
    </row>
    <row r="69">
      <c r="A69">
        <v>65</v>
      </c>
      <c r="B69" t="str">
        <v>Lexicon  Blech Spielzeug</v>
      </c>
      <c r="C69" t="str">
        <v>Kurt Harrer</v>
      </c>
      <c r="D69">
        <v>1989</v>
      </c>
      <c r="E69" t="str">
        <v>Alba Publikation Alf Teleoken GmbH + Co. KG</v>
      </c>
      <c r="F69" t="str">
        <v>Dusseldorf /Germany</v>
      </c>
      <c r="G69" t="str">
        <v>13, 41, 51, 82, 85, 91</v>
      </c>
    </row>
    <row r="70">
      <c r="A70">
        <v>66</v>
      </c>
      <c r="B70" t="str">
        <v>Lexicon der Deutschen Blechspielzeug-Industrie</v>
      </c>
      <c r="C70" t="str">
        <v>Jurgen &amp; Marianne Cieslik</v>
      </c>
      <c r="D70">
        <v>2014</v>
      </c>
      <c r="E70" t="str">
        <v>Verlag Marianne Cieslik</v>
      </c>
      <c r="F70" t="str">
        <v>Germany</v>
      </c>
      <c r="G70" t="str">
        <v>18, 26, 27, 28, 31,32, 46, 47, 74, 75, 80, 84, 104, 111, 112, 128, 129, 130, 131, 132, 135, 137, 159, 170, 172, 173, 175, 179, 185, 194, 195, 199, 200, 201, 203, 205, 206, 207, 208, 214, 215, 230, 231, 232, 233, 234, 235, 236, 240, 241, 245, 250, 283, 284, 285, 288, 322, 328, 348, 364, 373, 374, 375, 376, 377, 378, 385, 388, 389, 390, 392, 394, 396, 397, 398, 399, 409, 423, 426, 448, 467, 469, 474, 482</v>
      </c>
    </row>
    <row r="71">
      <c r="A71">
        <v>67</v>
      </c>
      <c r="B71" t="str">
        <v>Marx Toys: Robots, Space &amp; Comic Characters</v>
      </c>
      <c r="C71" t="str">
        <v>Maxine  A Pinsky</v>
      </c>
      <c r="D71">
        <v>1996</v>
      </c>
      <c r="E71" t="str">
        <v>Schiffer Publishing Co.</v>
      </c>
      <c r="F71" t="str">
        <v>Atglen, Penn / USA</v>
      </c>
      <c r="G71" t="str">
        <v>35, 57, 68, 85, 92, 124, 131, 139, 140, 148</v>
      </c>
    </row>
    <row r="72">
      <c r="A72">
        <v>68</v>
      </c>
      <c r="B72" t="str">
        <v>Mechanical Clowns on Tour</v>
      </c>
      <c r="C72" t="str">
        <v>Reinhold Blechner</v>
      </c>
      <c r="D72">
        <v>1994</v>
      </c>
      <c r="E72" t="str">
        <v>Verlag Puppen &amp; Spielzeug</v>
      </c>
      <c r="F72" t="str">
        <v>Duisburg /Germany</v>
      </c>
      <c r="G72" t="str">
        <v>12, 13, 18, 21, 34, 37, 40, 42, 50, 57, 58, 59, 60, 61, 63, 64, 68, 70, 83</v>
      </c>
    </row>
    <row r="73">
      <c r="A73">
        <v>69</v>
      </c>
      <c r="B73" t="str">
        <v>Mechanical Tin Toys in Colour</v>
      </c>
      <c r="C73" t="str">
        <v>Arno Weltens</v>
      </c>
      <c r="D73">
        <v>1977</v>
      </c>
      <c r="E73" t="str">
        <v>Blandford Press</v>
      </c>
      <c r="F73" t="str">
        <v>Poole /UK</v>
      </c>
      <c r="G73" t="str">
        <v>56, 57, 59, 73, 80, 85, 87, 88, 96, 104, 110, 120, 124</v>
      </c>
    </row>
    <row r="74">
      <c r="A74">
        <v>70</v>
      </c>
      <c r="B74" t="str">
        <v>Mechanical Toys</v>
      </c>
      <c r="C74" t="str">
        <v>Charles Bartholomew</v>
      </c>
      <c r="D74">
        <v>1979</v>
      </c>
      <c r="E74" t="str">
        <v>Chartweil Books Inc.</v>
      </c>
      <c r="F74" t="str">
        <v>Secausus, NJ /USA</v>
      </c>
      <c r="G74" t="str">
        <v>25, 49, 50, 51, 66, 94, 99, 119, 131, 134, 135, 139, 141, 145, 147</v>
      </c>
    </row>
    <row r="75">
      <c r="A75">
        <v>71</v>
      </c>
      <c r="B75" t="str">
        <v>Mechanical Toys How Old Toys Work</v>
      </c>
      <c r="C75" t="str">
        <v>Athelstan and Kathleen Spillhaus</v>
      </c>
      <c r="D75">
        <v>1989</v>
      </c>
      <c r="E75" t="str">
        <v>Robert Hale Ltd.</v>
      </c>
      <c r="F75" t="str">
        <v>London /UK</v>
      </c>
      <c r="G75" t="str">
        <v>20, 30, 36, 44, 46, 65, 79, 80, 82, 96, 116</v>
      </c>
    </row>
    <row r="76">
      <c r="A76">
        <v>72</v>
      </c>
      <c r="B76" t="str">
        <v>Mechanisches Bleschspielzeug</v>
      </c>
      <c r="C76" t="str">
        <v>Ludger Spielberg</v>
      </c>
      <c r="D76">
        <v>1999</v>
      </c>
      <c r="E76" t="str">
        <v>Deutscher Kunstverlag GmbH</v>
      </c>
      <c r="F76" t="str">
        <v>Munchen Berlin/Germany</v>
      </c>
      <c r="G76" t="str">
        <v>27, 28, 29, 37, 42, 43, 59, 60, 64, 65, 76, 78, 79, 83, 98, 113, 118, 119, 120, 122, 130, 133,134, 136, 137, 142, 146, 147, 149</v>
      </c>
    </row>
    <row r="77">
      <c r="A77">
        <v>73</v>
      </c>
      <c r="B77" t="str">
        <v>Mes Rêves en Jouets Le Cirque</v>
      </c>
      <c r="C77" t="str">
        <v>Sylvie et Gilles Legrand, Brigitte Chamousset</v>
      </c>
      <c r="D77">
        <v>2000</v>
      </c>
      <c r="E77" t="str">
        <v>Jet Réalisations</v>
      </c>
      <c r="F77" t="str">
        <v>Paris /France</v>
      </c>
      <c r="G77" t="str">
        <v>3, 12, 19, 21, 22, 23, 25, 29, 31, 35, 39, 43, 45, 48, 49, 52, 54, 58. 63, 64, 68, 69, 75, 83, 84, 85, 86, 88, 90, 92, 93, 94, 95, 97, 106, 109, 110, 111, 122, 124</v>
      </c>
    </row>
    <row r="78">
      <c r="A78">
        <v>74</v>
      </c>
      <c r="B78" t="str">
        <v>Metal Toys</v>
      </c>
      <c r="C78" t="str">
        <v>Judith Miller</v>
      </c>
      <c r="D78">
        <v>2006</v>
      </c>
      <c r="E78" t="str">
        <v>Dorling Kindersley Ltd</v>
      </c>
      <c r="F78" t="str">
        <v>London /UK</v>
      </c>
      <c r="G78" t="str">
        <v>11, 17, 23, 67, 81, 85, 99, 129</v>
      </c>
    </row>
    <row r="79">
      <c r="A79">
        <v>75</v>
      </c>
      <c r="B79" t="str">
        <v>Metal Toys from Nuremberg</v>
      </c>
      <c r="C79" t="str">
        <v>Gerhard Walter</v>
      </c>
      <c r="D79">
        <v>1992</v>
      </c>
      <c r="E79" t="str">
        <v>Schiffer Publishing Co.</v>
      </c>
      <c r="F79" t="str">
        <v>Atglen, Penn / USA</v>
      </c>
      <c r="G79" t="str">
        <v>43, 50, 55, 61, 63, 67, 70, 74, 75, 133</v>
      </c>
    </row>
    <row r="80">
      <c r="A80">
        <v>76</v>
      </c>
      <c r="B80" t="str">
        <v>Miller's Toys &amp; Games Antiques Checklist</v>
      </c>
      <c r="D80">
        <v>1995</v>
      </c>
      <c r="E80" t="str">
        <v>Miller's /Reed Consumer Books Ltd</v>
      </c>
      <c r="F80" t="str">
        <v>London /UK</v>
      </c>
      <c r="G80" t="str">
        <v>72, 73, 132, 134, 135, 137, 139, 164, 165</v>
      </c>
    </row>
    <row r="81">
      <c r="A81">
        <v>77</v>
      </c>
      <c r="B81" t="str">
        <v>Miller's Toys &amp; Games Buyer's Guide</v>
      </c>
      <c r="C81" t="str">
        <v>Anna Sanderson (ed.)</v>
      </c>
      <c r="D81">
        <v>2004</v>
      </c>
      <c r="E81" t="str">
        <v>Miller's Publications</v>
      </c>
      <c r="F81" t="str">
        <v>Tenterden /UK</v>
      </c>
      <c r="G81" t="str">
        <v>58, 59, 64, 108, 109, 111, 112, 115, 116, 119, 149, 150, 208, 209, 210, 212, 220, 221, 222, 228</v>
      </c>
    </row>
    <row r="82">
      <c r="A82">
        <v>78</v>
      </c>
      <c r="B82" t="str">
        <v>Modern Toys from Japan</v>
      </c>
      <c r="C82" t="str">
        <v>William C Gallagher</v>
      </c>
      <c r="D82">
        <v>2005</v>
      </c>
      <c r="E82" t="str">
        <v>Schiffer Publishing Co.</v>
      </c>
      <c r="F82" t="str">
        <v>Atglen, Penn / USA</v>
      </c>
      <c r="G82" t="str">
        <v>12, 42, 45, 48, 52, 62, 67, 68, 80, 93, 97, 100, 107, 110, 116, 118, 119, 130, 136, 163, 164, 171, 172, 173, 175, 176, 177, 180, 189, 191, 197, 199, 200, 201, 202, 203, 204, , 209, 240, 253</v>
      </c>
    </row>
    <row r="83">
      <c r="A83">
        <v>79</v>
      </c>
      <c r="B83" t="str">
        <v>Money Boxes</v>
      </c>
      <c r="C83" t="str">
        <v>Constance Eileen King</v>
      </c>
      <c r="D83">
        <v>1983</v>
      </c>
      <c r="E83" t="str">
        <v>Lutterworth Press</v>
      </c>
      <c r="F83" t="str">
        <v>Guilford /UK</v>
      </c>
    </row>
    <row r="84">
      <c r="A84">
        <v>80</v>
      </c>
      <c r="B84" t="str">
        <v>Motorcycle Toys Antique and Contemporary</v>
      </c>
      <c r="C84" t="str">
        <v>Sally Gibson-Downs and Christine Gentry</v>
      </c>
      <c r="D84">
        <v>1995</v>
      </c>
      <c r="E84" t="str">
        <v>Collectors Books /Schroeder Publishing Co. Inc</v>
      </c>
      <c r="F84" t="str">
        <v>Paducah, KY /USA</v>
      </c>
      <c r="G84" t="str">
        <v>48, 49, 57, 61, 64, 69, 70, 75, 77, 79, 93, 101, 103, 106, 108, 110, 112</v>
      </c>
    </row>
    <row r="85">
      <c r="A85">
        <v>81</v>
      </c>
      <c r="B85" t="str">
        <v>Nos Jouets 70.80</v>
      </c>
      <c r="C85" t="str">
        <v>Sébastien Carletti, Vincent Dubost</v>
      </c>
      <c r="D85">
        <v>2008</v>
      </c>
      <c r="E85" t="str">
        <v>Éditions Hors-Collection</v>
      </c>
      <c r="F85" t="str">
        <v>France</v>
      </c>
      <c r="G85" t="str">
        <v>54, 77, 132, 134</v>
      </c>
    </row>
    <row r="86">
      <c r="A86">
        <v>82</v>
      </c>
      <c r="B86" t="str">
        <v>Nostalgic Tin Toys Vol.1</v>
      </c>
      <c r="C86" t="str">
        <v>Toyoji Takayama (ed.)</v>
      </c>
      <c r="D86">
        <v>1989</v>
      </c>
      <c r="E86" t="str">
        <v>Kyoto Shoin Co. Ltd</v>
      </c>
      <c r="F86" t="str">
        <v>Kyoto /Japan</v>
      </c>
      <c r="G86" t="str">
        <v>40, 65, 79, 88, 108</v>
      </c>
    </row>
    <row r="87">
      <c r="A87">
        <v>83</v>
      </c>
      <c r="B87" t="str">
        <v>Nostalgic Tin Toys Vol.3</v>
      </c>
      <c r="C87" t="str">
        <v>Toyoji Takayama (ed.)</v>
      </c>
      <c r="D87">
        <v>1989</v>
      </c>
      <c r="E87" t="str">
        <v>Kyoto Shoin Co. Ltd</v>
      </c>
      <c r="F87" t="str">
        <v>Kyoto /Japan</v>
      </c>
      <c r="G87" t="str">
        <v>10, 14, 17, 98, 100, 102</v>
      </c>
    </row>
    <row r="88">
      <c r="A88">
        <v>84</v>
      </c>
      <c r="B88" t="str">
        <v>O Brinquedo em Portugal</v>
      </c>
      <c r="C88" t="str">
        <v>Carlos Anjos e João Arbués Moreira</v>
      </c>
      <c r="D88">
        <v>1997</v>
      </c>
      <c r="E88" t="str">
        <v xml:space="preserve">Livraria Civilização </v>
      </c>
      <c r="F88" t="str">
        <v>Porto / Portugal</v>
      </c>
      <c r="G88" t="str">
        <v>48, 53, 54</v>
      </c>
    </row>
    <row r="89">
      <c r="A89">
        <v>85</v>
      </c>
      <c r="B89" t="str">
        <v>O Brinquedo Português</v>
      </c>
      <c r="C89" t="str">
        <v>Madalena Braz Teixeira, Carlos Barroco</v>
      </c>
      <c r="D89">
        <v>1987</v>
      </c>
      <c r="E89" t="str">
        <v>Bertrand Editora</v>
      </c>
      <c r="F89" t="str">
        <v>Lisbon/ Portugal</v>
      </c>
    </row>
    <row r="90">
      <c r="A90">
        <v>86</v>
      </c>
      <c r="B90" t="str">
        <v>Optical Toys</v>
      </c>
      <c r="C90" t="str">
        <v>Basil Harley</v>
      </c>
      <c r="D90">
        <v>1988</v>
      </c>
      <c r="E90" t="str">
        <v>Shire Publications Ltd</v>
      </c>
      <c r="F90" t="str">
        <v>Aylesbury /UK</v>
      </c>
    </row>
    <row r="91">
      <c r="A91">
        <v>87</v>
      </c>
      <c r="B91" t="str">
        <v>Paya Coop SCL (catalogue)</v>
      </c>
      <c r="F91" t="str">
        <v>Spain</v>
      </c>
    </row>
    <row r="92">
      <c r="A92">
        <v>88</v>
      </c>
      <c r="B92" t="str">
        <v>Phillips Colectors Guides Tin Toys</v>
      </c>
      <c r="C92" t="str">
        <v>Nigel Mynheer</v>
      </c>
      <c r="D92">
        <v>1988</v>
      </c>
      <c r="E92" t="str">
        <v>Dunestyle Publishing Ltd</v>
      </c>
      <c r="F92" t="str">
        <v>London /UK</v>
      </c>
      <c r="G92" t="str">
        <v>15, 27, 29, 43, 45, 58, 59, 62, 63, 82, 83, 86, 88, 91</v>
      </c>
    </row>
    <row r="93">
      <c r="A93">
        <v>89</v>
      </c>
      <c r="B93" t="str">
        <v>Post-War Tin Toys</v>
      </c>
      <c r="C93" t="str">
        <v>Jack Tempest</v>
      </c>
      <c r="D93">
        <v>1991</v>
      </c>
      <c r="E93" t="str">
        <v>The Apple Press</v>
      </c>
      <c r="F93" t="str">
        <v>London /UK</v>
      </c>
      <c r="G93" t="str">
        <v>2, 8, 9, 12, 16, 17, 22, 23, 24, 25, 26, 27, 28, 29, 31, 32, 36, 38, 39, 41, 43, 45, 47, 48, 52, 53, 66, 67, 72, 76, 77, 79, 80, 81, 84, 90, 91, 92, 94, 102, 103104, 105, 111, 113</v>
      </c>
    </row>
    <row r="94">
      <c r="A94">
        <v>90</v>
      </c>
      <c r="B94" t="str">
        <v>Quando èramos Ninos</v>
      </c>
      <c r="D94">
        <v>1984</v>
      </c>
      <c r="F94" t="str">
        <v>Madrid /Spain</v>
      </c>
      <c r="G94" t="str">
        <v>27, 40, 46</v>
      </c>
    </row>
    <row r="95">
      <c r="A95">
        <v>139</v>
      </c>
      <c r="B95" t="str">
        <v>S. Gunthermann Vol.1 Transport Toys from 1877 until 1939</v>
      </c>
      <c r="C95" t="str">
        <v>Ulrich Schweizer</v>
      </c>
      <c r="D95">
        <v>2022</v>
      </c>
      <c r="E95" t="str">
        <v>Tin-and-Toys Verlag</v>
      </c>
      <c r="F95" t="str">
        <v>Germany</v>
      </c>
      <c r="G95">
        <v>164</v>
      </c>
    </row>
    <row r="96">
      <c r="A96">
        <v>91</v>
      </c>
      <c r="B96" t="str">
        <v>Schroeder's Collectible Toys Antique to Modern Price Guide (6th ed)</v>
      </c>
      <c r="C96" t="str">
        <v>Sharon and Bob Huxford (eds)</v>
      </c>
      <c r="D96">
        <v>2000</v>
      </c>
      <c r="E96" t="str">
        <v>Collector Books, Schroeder Publishing Co., Inc</v>
      </c>
      <c r="F96" t="str">
        <v>Paducah, KY /USA</v>
      </c>
      <c r="G96" t="str">
        <v>52,  56, 146, 291, 301, 398, 463</v>
      </c>
    </row>
    <row r="97">
      <c r="A97">
        <v>92</v>
      </c>
      <c r="B97" t="str">
        <v>Schuco (catalogue)</v>
      </c>
      <c r="C97" t="str">
        <v>Rudger Huber</v>
      </c>
      <c r="D97">
        <v>1995</v>
      </c>
      <c r="E97" t="str">
        <v>Battenberg Verlag</v>
      </c>
      <c r="F97" t="str">
        <v>Augsburg /Germany</v>
      </c>
      <c r="G97" t="str">
        <v>90, 96, 103, 120, 125, 132, 133, 134, 143, 145, 147, 154, 179, 180, 191, 196, 200, 204, 211, 217, 219, 220, 222, 238, 244, 267, 268, 302, 380, 430, 441</v>
      </c>
    </row>
    <row r="98">
      <c r="A98">
        <v>93</v>
      </c>
      <c r="B98" t="str">
        <v>Schuco Classic Tin Toys</v>
      </c>
      <c r="C98" t="str">
        <v>Chris Knox</v>
      </c>
      <c r="D98">
        <v>2002</v>
      </c>
      <c r="E98" t="str">
        <v>Krause Publications</v>
      </c>
      <c r="F98" t="str">
        <v>Iola, WI /USA</v>
      </c>
      <c r="G98" t="str">
        <v>9, 17, 21, 28, 32, 44, 56, 71, 74, 99, 106, 114, 116</v>
      </c>
    </row>
    <row r="99">
      <c r="A99">
        <v>94</v>
      </c>
      <c r="B99" t="str">
        <v>Schweinekutsche und Ganseliesel</v>
      </c>
      <c r="C99" t="str">
        <v>Hans Schulte-Kellinghaus</v>
      </c>
      <c r="E99" t="str">
        <v>Borch-Druck + Verlag KG</v>
      </c>
      <c r="F99" t="str">
        <v>Hilden /Germany</v>
      </c>
      <c r="G99" t="str">
        <v>51, 53, 56, 65, 66, 106, 109, 147, 149, 178</v>
      </c>
    </row>
    <row r="100">
      <c r="A100">
        <v>95</v>
      </c>
      <c r="B100" t="str">
        <v>Sci-Fi &amp; Fantasy Collectibles</v>
      </c>
      <c r="C100" t="str">
        <v>Phil Ellis</v>
      </c>
      <c r="D100">
        <v>2003</v>
      </c>
      <c r="E100" t="str">
        <v>Octopus Publishing Group Ltd.</v>
      </c>
      <c r="F100" t="str">
        <v>London /UK</v>
      </c>
      <c r="G100" t="str">
        <v>12, 52, 76</v>
      </c>
    </row>
    <row r="101">
      <c r="A101">
        <v>96</v>
      </c>
      <c r="B101" t="str">
        <v>Souvenirs d'Enfance</v>
      </c>
      <c r="C101" t="str">
        <v>François Bertin</v>
      </c>
      <c r="D101">
        <v>2007</v>
      </c>
      <c r="E101" t="str">
        <v>Éditions Ouest-France</v>
      </c>
      <c r="F101" t="str">
        <v>Rennes /France</v>
      </c>
      <c r="G101">
        <v>73</v>
      </c>
    </row>
    <row r="102">
      <c r="A102">
        <v>97</v>
      </c>
      <c r="B102" t="str">
        <v>Space Toys of the Sixties</v>
      </c>
      <c r="C102" t="str">
        <v>James H Gillan</v>
      </c>
      <c r="D102">
        <v>1999</v>
      </c>
      <c r="E102" t="str">
        <v>CG Publishing Ltd</v>
      </c>
      <c r="F102" t="str">
        <v>London /UK</v>
      </c>
    </row>
    <row r="103">
      <c r="A103">
        <v>98</v>
      </c>
      <c r="B103" t="str">
        <v>Spielzeug aus dem 20. Jahrhundert</v>
      </c>
      <c r="C103" t="str">
        <v>James Opie, Duncan Chilcott, Julia Harris</v>
      </c>
      <c r="D103">
        <v>1995</v>
      </c>
      <c r="E103" t="str">
        <v>Karl Muller Verlag</v>
      </c>
      <c r="F103" t="str">
        <v>Erlangen /Germany</v>
      </c>
      <c r="G103" t="str">
        <v>32, 36</v>
      </c>
    </row>
    <row r="104">
      <c r="A104">
        <v>99</v>
      </c>
      <c r="B104" t="str">
        <v>Star Wars: 1000 Collectibles</v>
      </c>
      <c r="C104" t="str">
        <v>Stephen J Sansweet with Anne Neumann</v>
      </c>
      <c r="D104">
        <v>2009</v>
      </c>
      <c r="E104" t="str">
        <v>Abrams</v>
      </c>
      <c r="F104" t="str">
        <v>New York, NY /USA</v>
      </c>
      <c r="G104" t="str">
        <v>29, 30, 147</v>
      </c>
    </row>
    <row r="105">
      <c r="A105">
        <v>100</v>
      </c>
      <c r="B105" t="str">
        <v>The All-Colour Directory of Metal Toys</v>
      </c>
      <c r="C105" t="str">
        <v>Gordon Gardiner and Richard O'Neill</v>
      </c>
      <c r="D105">
        <v>1984</v>
      </c>
      <c r="E105" t="str">
        <v>Salamander Books</v>
      </c>
      <c r="F105" t="str">
        <v>London / UK</v>
      </c>
      <c r="G105" t="str">
        <v>16, 19, 21, 22, 23, 24, 25, 74, 79, 81, 82, 136, 139, 177</v>
      </c>
    </row>
    <row r="106">
      <c r="A106">
        <v>101</v>
      </c>
      <c r="B106" t="str">
        <v>The Art of the Tin Toy</v>
      </c>
      <c r="C106" t="str">
        <v>David Pressland</v>
      </c>
      <c r="D106">
        <v>1976</v>
      </c>
      <c r="E106" t="str">
        <v>New Cavendish Books</v>
      </c>
      <c r="F106" t="str">
        <v>London / UK</v>
      </c>
      <c r="G106" t="str">
        <v>46, 50, 53, 58, 68, 141, 146, 149, 150, 201, 202, 205, 206, 207, 208, 209, 210, 211, 212, 213, 215, 216, 217, 218, 219</v>
      </c>
    </row>
    <row r="107">
      <c r="A107">
        <v>102</v>
      </c>
      <c r="B107" t="str">
        <v>The Bank Book</v>
      </c>
      <c r="C107" t="str">
        <v>Bill Norman</v>
      </c>
      <c r="D107">
        <v>1984</v>
      </c>
      <c r="E107" t="str">
        <v>Accent Studios</v>
      </c>
      <c r="F107" t="str">
        <v>Dan Diego CA /USA</v>
      </c>
      <c r="G107" t="str">
        <v>50, 77, 114, 118</v>
      </c>
    </row>
    <row r="108">
      <c r="A108">
        <v>103</v>
      </c>
      <c r="B108" t="str">
        <v>The Big Book of Tin Toy Cars</v>
      </c>
      <c r="C108" t="str">
        <v>Ron Smith &amp; William C. Gallagher</v>
      </c>
      <c r="D108">
        <v>2004</v>
      </c>
      <c r="E108" t="str">
        <v>Schiffer Publishing Co.</v>
      </c>
      <c r="F108" t="str">
        <v>Atglen, Penn / USA</v>
      </c>
      <c r="G108" t="str">
        <v>64, 76, 83, 108, 110, 147, 148, 150, 154, 178, 181</v>
      </c>
    </row>
    <row r="109">
      <c r="A109">
        <v>104</v>
      </c>
      <c r="B109" t="str">
        <v>The Collector's All-Colour Guide to Transport Toys</v>
      </c>
      <c r="C109" t="str">
        <v>Gordon Gardiner &amp; Richard O'Neill</v>
      </c>
      <c r="D109">
        <v>1985</v>
      </c>
      <c r="E109" t="str">
        <v>Salamander Books</v>
      </c>
      <c r="F109" t="str">
        <v>London / UK</v>
      </c>
      <c r="G109" t="str">
        <v>32, 56, 59, 114, 116, 117</v>
      </c>
    </row>
    <row r="110">
      <c r="A110">
        <v>105</v>
      </c>
      <c r="B110" t="str">
        <v>The Collector's Encyclopedia of Disneyana</v>
      </c>
      <c r="C110" t="str">
        <v>David Longest and Michael Stern</v>
      </c>
      <c r="D110">
        <v>1992</v>
      </c>
      <c r="E110" t="str">
        <v>Collectors Books /Schroeder Publishing Co. Inc</v>
      </c>
      <c r="F110" t="str">
        <v>Paducah, KY /USA</v>
      </c>
      <c r="G110" t="str">
        <v>163, 191, 196, 204</v>
      </c>
    </row>
    <row r="111">
      <c r="A111">
        <v>106</v>
      </c>
      <c r="B111" t="str">
        <v>The Dream Machines</v>
      </c>
      <c r="C111" t="str">
        <v>Gerhard G Walter</v>
      </c>
      <c r="D111">
        <v>1996</v>
      </c>
      <c r="E111" t="str">
        <v>New Cavendish Books</v>
      </c>
      <c r="F111" t="str">
        <v>London /UK</v>
      </c>
      <c r="G111" t="str">
        <v>29, 46, 50, 51, 61, 63, 71, 75, 80, 84, 88, 95, 96, 99, 100, 102, 105, 109, 110, 111, 112, 118, 129, 134,140, 141, 145, 146, 147, 149, 150, 151, 152, 154, 156, 157, 159, 160(?), 161, 162, 163, 164, 165, 169, 171, 172, 174, 175, 176, 177, 178, 179, 180, 181</v>
      </c>
    </row>
    <row r="112">
      <c r="A112">
        <v>107</v>
      </c>
      <c r="B112" t="str">
        <v>The Encyclopedia of Toys</v>
      </c>
      <c r="C112" t="str">
        <v>Constance Eileen King</v>
      </c>
      <c r="D112">
        <v>1978</v>
      </c>
      <c r="E112" t="str">
        <v>Robert Hale Ltd.</v>
      </c>
      <c r="F112" t="str">
        <v>London / UK</v>
      </c>
      <c r="G112" t="str">
        <v>93, 167, 168, 173, 183, 188, 189, 190</v>
      </c>
    </row>
    <row r="113">
      <c r="A113">
        <v>108</v>
      </c>
      <c r="B113" t="str">
        <v>The Guide to Mechanical Toy Collecting</v>
      </c>
      <c r="C113" t="str">
        <v>Martyn L Schorr</v>
      </c>
      <c r="D113">
        <v>1979</v>
      </c>
      <c r="E113" t="str">
        <v>Performance Media</v>
      </c>
      <c r="F113" t="str">
        <v>Haworth, NJ /USA</v>
      </c>
      <c r="G113" t="str">
        <v>18, 19, 20, 21, 26, 28, 29, 34, 35, 37, 40, 41, 42, 44, 46, 49, 52, 54, 57, 58, 60, 61, 62, 64</v>
      </c>
    </row>
    <row r="114">
      <c r="A114">
        <v>109</v>
      </c>
      <c r="B114" t="str">
        <v>The History of Toys - From Spinning Tops to Robots</v>
      </c>
      <c r="C114" t="str">
        <v>Deborah Jaffé</v>
      </c>
      <c r="D114">
        <v>2006</v>
      </c>
      <c r="E114" t="str">
        <v>Sutton Publishing Ltd</v>
      </c>
      <c r="F114" t="str">
        <v>Thrupp/ UK</v>
      </c>
      <c r="G114" t="str">
        <v>41, 194, 227, 260</v>
      </c>
    </row>
    <row r="115">
      <c r="A115">
        <v>110</v>
      </c>
      <c r="B115" t="str">
        <v>The Illustrated Directory of Toys</v>
      </c>
      <c r="C115" t="str">
        <v>Wallace &amp; Wexler</v>
      </c>
      <c r="D115">
        <v>2007</v>
      </c>
      <c r="E115" t="str">
        <v>Collin Gower Enterprises Ltd</v>
      </c>
      <c r="F115" t="str">
        <v>Leeds /UK</v>
      </c>
      <c r="G115" t="str">
        <v>309, 387, 508, 509, 642, 643, 644, 648, 649, 658, 659</v>
      </c>
    </row>
    <row r="116">
      <c r="A116">
        <v>111</v>
      </c>
      <c r="B116" t="str">
        <v>The Minic Book</v>
      </c>
      <c r="C116" t="str">
        <v>Peter Bartok</v>
      </c>
      <c r="D116">
        <v>1987</v>
      </c>
      <c r="E116" t="str">
        <v>New Cavendish Books</v>
      </c>
      <c r="F116" t="str">
        <v>London /UK</v>
      </c>
      <c r="G116" t="str">
        <v>105, 118, 119, 121, 142</v>
      </c>
    </row>
    <row r="117">
      <c r="A117">
        <v>112</v>
      </c>
      <c r="B117" t="str">
        <v>The Penny Bank Book</v>
      </c>
      <c r="C117" t="str">
        <v>Andy and Susan Moore</v>
      </c>
      <c r="D117">
        <v>1984</v>
      </c>
      <c r="E117" t="str">
        <v>Schiffer Publishing Co.</v>
      </c>
      <c r="F117" t="str">
        <v>Exton, Penn / USA</v>
      </c>
      <c r="G117" t="str">
        <v>42, 61, 77, 102, 107</v>
      </c>
    </row>
    <row r="118">
      <c r="A118">
        <v>113</v>
      </c>
      <c r="B118" t="str">
        <v>The Price Guide to Metal Toys</v>
      </c>
      <c r="C118" t="str">
        <v>Gordon Gardiner and Alistair Morris</v>
      </c>
      <c r="D118">
        <v>1980</v>
      </c>
      <c r="E118" t="str">
        <v>Antique Collector's Club</v>
      </c>
      <c r="F118" t="str">
        <v>Woodbridge /UK</v>
      </c>
      <c r="G118" t="str">
        <v>73, 75, 76, 78, 80, 82, 84, 85, 87, 88, 90, 94, 95, 127, 133</v>
      </c>
    </row>
    <row r="119">
      <c r="A119">
        <v>114</v>
      </c>
      <c r="B119" t="str">
        <v>The Tin Toy Museum Part-1</v>
      </c>
      <c r="C119" t="str">
        <v>Toyoji Takayama</v>
      </c>
      <c r="D119">
        <v>1987</v>
      </c>
      <c r="E119" t="str">
        <v>Kyoto Shoin Co. Ltd</v>
      </c>
      <c r="F119" t="str">
        <v>Kyoto /Japan</v>
      </c>
      <c r="G119" t="str">
        <v>6, 9, 10, 17, 24, 25, 29, 35, 72, 142, 195, 292, 324</v>
      </c>
    </row>
    <row r="120">
      <c r="A120">
        <v>115</v>
      </c>
      <c r="B120" t="str">
        <v>The Tin Toy Museum Part-2</v>
      </c>
      <c r="C120" t="str">
        <v>Toyoji Takayama</v>
      </c>
      <c r="D120">
        <v>1987</v>
      </c>
      <c r="E120" t="str">
        <v>Kyoto Shoin Co. Ltd</v>
      </c>
      <c r="F120" t="str">
        <v>Kyoto /Japan</v>
      </c>
      <c r="G120" t="str">
        <v>1, 2, 6, 7, 8, 13, 16, 18, 21, 22, 23, 24, 25, 27, 2829, 30, 32, 35, 44, 45, 49, 52, 166, 176, 180, 181, 189, 183, 192, 198, 219, 232, 233, 239</v>
      </c>
    </row>
    <row r="121">
      <c r="A121">
        <v>116</v>
      </c>
      <c r="B121" t="str">
        <v>The Tin Toy Museum Part-3</v>
      </c>
      <c r="C121" t="str">
        <v>Toyoji Takayama</v>
      </c>
      <c r="D121">
        <v>1987</v>
      </c>
      <c r="E121" t="str">
        <v>Kyoto Shoin Co. Ltd</v>
      </c>
      <c r="F121" t="str">
        <v>Kyoto /Japan</v>
      </c>
      <c r="G121" t="str">
        <v>2, 10, 11, 12, 124, 183, 200, 210, 243, 253, 357, 363</v>
      </c>
    </row>
    <row r="122">
      <c r="A122">
        <v>117</v>
      </c>
      <c r="B122" t="str">
        <v>The Unauthorized Batman Collector's Guide</v>
      </c>
      <c r="C122" t="str">
        <v>Alan J Porter</v>
      </c>
      <c r="D122">
        <v>1998</v>
      </c>
      <c r="E122" t="str">
        <v>Schiffer Publishing Co.</v>
      </c>
      <c r="F122" t="str">
        <v>Atglen, Penn / USA</v>
      </c>
      <c r="G122" t="str">
        <v>62, 67, 70, 85, 93</v>
      </c>
    </row>
    <row r="123">
      <c r="A123">
        <v>118</v>
      </c>
      <c r="B123" t="str">
        <v>Tin Toys 1945-1975</v>
      </c>
      <c r="C123" t="str">
        <v>Michael Buhler</v>
      </c>
      <c r="D123">
        <v>1978</v>
      </c>
      <c r="E123" t="str">
        <v>Bergstrom+Boyle Books Ltd</v>
      </c>
      <c r="F123" t="str">
        <v>London /UK</v>
      </c>
      <c r="G123" t="str">
        <v>1, 2, 14, 15, 20, 24, 25, 27, 28, 32, 34, 35, 36, 39, 40, 42, 43, 46, 50, 51, 52, 53, 56, 58, 59, 60, 71, 78, 80, 86, 89, 90, 91, 95, 102</v>
      </c>
    </row>
    <row r="124">
      <c r="A124">
        <v>119</v>
      </c>
      <c r="B124" t="str">
        <v>Tinplate Toys from Schuco, Bing &amp; Other Companies</v>
      </c>
      <c r="C124" t="str">
        <v>Jurgen Franzke (ed.)</v>
      </c>
      <c r="D124">
        <v>1995</v>
      </c>
      <c r="E124" t="str">
        <v>Schiffer Publishing Co.</v>
      </c>
      <c r="F124" t="str">
        <v>Atglen, Penn / USA</v>
      </c>
      <c r="G124" t="str">
        <v>17, 19, 20, 21, 23, 28, 29, 35, 68, 69, 75, 86, 87, 93, 99, 103, 105</v>
      </c>
    </row>
    <row r="125">
      <c r="A125">
        <v>120</v>
      </c>
      <c r="B125" t="str">
        <v>Tipp &amp; Co.</v>
      </c>
      <c r="C125" t="str">
        <v>Rudger Huber</v>
      </c>
      <c r="D125">
        <v>2003</v>
      </c>
      <c r="E125" t="str">
        <v>W Tummels Buchdruckerei und Verlag GmbH</v>
      </c>
      <c r="F125" t="str">
        <v>Nurnberg /Germany</v>
      </c>
      <c r="G125" t="str">
        <v>57, 81, 82, 93, 94, 97, 137</v>
      </c>
    </row>
    <row r="126">
      <c r="A126">
        <v>121</v>
      </c>
      <c r="B126" t="str">
        <v>Toy Autos 1890-1939</v>
      </c>
      <c r="C126" t="str">
        <v>Peter Ottenheimer</v>
      </c>
      <c r="D126">
        <v>1987</v>
      </c>
      <c r="E126" t="str">
        <v>Victor Gollancz Ltd</v>
      </c>
      <c r="F126" t="str">
        <v>London /UK</v>
      </c>
      <c r="G126" t="str">
        <v>24, 81, 108</v>
      </c>
    </row>
    <row r="127">
      <c r="A127">
        <v>122</v>
      </c>
      <c r="B127" t="str">
        <v>Toy Boats</v>
      </c>
      <c r="C127" t="str">
        <v>Basil Harley</v>
      </c>
      <c r="D127">
        <v>1987</v>
      </c>
      <c r="E127" t="str">
        <v>Shire Publications Ltd</v>
      </c>
      <c r="F127" t="str">
        <v>Aylesbury /UK</v>
      </c>
      <c r="G127">
        <v>28</v>
      </c>
    </row>
    <row r="128">
      <c r="A128">
        <v>123</v>
      </c>
      <c r="B128" t="str">
        <v>Toy Cars of Japan and Hong Kong</v>
      </c>
      <c r="C128" t="str">
        <v>Andrew G Ralston</v>
      </c>
      <c r="D128">
        <v>2001</v>
      </c>
      <c r="E128" t="str">
        <v>Schiffer Publishing Co.</v>
      </c>
      <c r="F128" t="str">
        <v>Atglen, Penn / USA</v>
      </c>
    </row>
    <row r="129">
      <c r="A129">
        <v>124</v>
      </c>
      <c r="B129" t="str">
        <v>Toys &amp; Prices 1999 (6th edition)</v>
      </c>
      <c r="C129" t="str">
        <v>Sharon Korbeck (ed)</v>
      </c>
      <c r="D129">
        <v>1998</v>
      </c>
      <c r="E129" t="str">
        <v>Krause Publications</v>
      </c>
      <c r="F129" t="str">
        <v>Iola, WI /USA</v>
      </c>
      <c r="G129" t="str">
        <v>187, 190, 449, 604, 616, 638, 641, 653, 655, 829</v>
      </c>
    </row>
    <row r="130">
      <c r="A130">
        <v>125</v>
      </c>
      <c r="B130" t="str">
        <v>Toys Antique &amp; Collectible</v>
      </c>
      <c r="C130" t="str">
        <v>David Longest</v>
      </c>
      <c r="D130">
        <v>1992</v>
      </c>
      <c r="E130" t="str">
        <v>Collector Books, Schroeder Publishing Co., Inc</v>
      </c>
      <c r="F130" t="str">
        <v>Paducah, KY /USA</v>
      </c>
      <c r="G130" t="str">
        <v>21, 27, 57, 81, 88, 96, 157, 158, 164, 165, 196, 199, 225, 228, 230, 231, 233, 234, 235</v>
      </c>
    </row>
    <row r="131">
      <c r="A131">
        <v>126</v>
      </c>
      <c r="B131" t="str">
        <v>Toys from Occupied Japan</v>
      </c>
      <c r="C131" t="str">
        <v>Anthony R Marsella</v>
      </c>
      <c r="D131">
        <v>1995</v>
      </c>
      <c r="E131" t="str">
        <v>Schiffer Publishing Co.</v>
      </c>
      <c r="F131" t="str">
        <v>Atglen, Penn / USA</v>
      </c>
      <c r="G131" t="str">
        <v>79, 84, 90, 112</v>
      </c>
    </row>
    <row r="132">
      <c r="A132">
        <v>127</v>
      </c>
      <c r="B132" t="str">
        <v>Toys from the Sixties - A Pictorial Guide</v>
      </c>
      <c r="C132" t="str">
        <v>Bill Bruegman</v>
      </c>
      <c r="D132">
        <v>1996</v>
      </c>
      <c r="E132" t="str">
        <v>Toy Scouts Inc</v>
      </c>
      <c r="F132" t="str">
        <v>Akron, OH /USA</v>
      </c>
      <c r="G132" t="str">
        <v>80, 87, 106</v>
      </c>
    </row>
    <row r="133">
      <c r="A133">
        <v>128</v>
      </c>
      <c r="B133" t="str">
        <v>Toys*Dolls*Automata* Marks &amp; Labels</v>
      </c>
      <c r="C133" t="str">
        <v>Gwen White</v>
      </c>
      <c r="D133">
        <v>1975</v>
      </c>
      <c r="E133" t="str">
        <v>B T Batsford Ltd</v>
      </c>
      <c r="F133" t="str">
        <v>London /UK</v>
      </c>
      <c r="G133">
        <v>2</v>
      </c>
    </row>
    <row r="134">
      <c r="A134">
        <v>129</v>
      </c>
      <c r="B134" t="str">
        <v>Tri-ang Toys 1937/8 (catalogue)</v>
      </c>
      <c r="D134">
        <v>1988</v>
      </c>
      <c r="E134" t="str">
        <v>New Cavendish Books</v>
      </c>
      <c r="F134" t="str">
        <v>London /UK</v>
      </c>
      <c r="G134">
        <v>65</v>
      </c>
    </row>
    <row r="135">
      <c r="A135">
        <v>130</v>
      </c>
      <c r="B135" t="str">
        <v>Trodler &amp; Sammeln Bleschspielzeug</v>
      </c>
      <c r="D135">
        <v>1995</v>
      </c>
      <c r="E135" t="str">
        <v>Gemi Verlags GmBH</v>
      </c>
      <c r="F135" t="str">
        <v>Reicherthausen /Germany</v>
      </c>
      <c r="G135" t="str">
        <v>14, 21, 25, 38, 42, 43, 66, 67, 70, 71, 72, 74, 83, 86, 87, 88, 89, 90, 91, 92, 93, 94, 95, 96, 97, 99, 100, 101, 103, 116, 118, 119, 120, 121, 126, 127, 128, 129, 130, 131, 136, 137, 144, 152, 159, 163, 166, 167, 180, 182, 183, 184, 185, 186</v>
      </c>
    </row>
    <row r="136">
      <c r="A136">
        <v>131</v>
      </c>
      <c r="B136" t="str">
        <v>TV and Film Toys and Ephemera</v>
      </c>
      <c r="C136" t="str">
        <v>Arthur Ward</v>
      </c>
      <c r="D136">
        <v>2007</v>
      </c>
      <c r="E136" t="str">
        <v>The Crowood Press Ltd</v>
      </c>
      <c r="F136" t="str">
        <v>Ramsbury /UK</v>
      </c>
      <c r="G136" t="str">
        <v>139, 162</v>
      </c>
    </row>
    <row r="137">
      <c r="A137">
        <v>132</v>
      </c>
      <c r="B137" t="str">
        <v>Vintage Toys Robots and Space Toys</v>
      </c>
      <c r="C137" t="str">
        <v>Jim Bunte, Dave Hallman, Heinz Mueller</v>
      </c>
      <c r="D137">
        <v>1999</v>
      </c>
      <c r="E137" t="str">
        <v>Antique Trader Books /Krause Publications</v>
      </c>
      <c r="F137" t="str">
        <v>Iola, WI /USA</v>
      </c>
      <c r="G137" t="str">
        <v>24, 27, 29, 35, 38, 50, 53, 75, 87, 94, 96, 105, 107, 108, 109, 114, 118, 125, 127, 130, 131, 133, 136, 137, 139, 142, 145</v>
      </c>
    </row>
    <row r="138">
      <c r="A138">
        <v>133</v>
      </c>
      <c r="B138" t="str">
        <v>Wind-Ups: Robots</v>
      </c>
      <c r="C138" t="str">
        <v>Teruhisa Kitahara</v>
      </c>
      <c r="D138">
        <v>1985</v>
      </c>
      <c r="E138" t="str">
        <v>Chronicle Books</v>
      </c>
      <c r="F138" t="str">
        <v>San Francisco, CA /USA</v>
      </c>
      <c r="G138" t="str">
        <v>40, 69, 75, 76, 77, 89</v>
      </c>
    </row>
    <row r="139">
      <c r="A139">
        <v>134</v>
      </c>
      <c r="B139" t="str">
        <v>Wind-Ups: Tin Toy Dreams</v>
      </c>
      <c r="C139" t="str">
        <v>Teruhisa Kitahara</v>
      </c>
      <c r="D139">
        <v>1985</v>
      </c>
      <c r="E139" t="str">
        <v>Chronicle Books</v>
      </c>
      <c r="F139" t="str">
        <v>San Francisco, CA /USA</v>
      </c>
      <c r="G139" t="str">
        <v>25, 37, 39, 51, 52, 53, 55, 69, 77, 78, 79, 83, 84, 96</v>
      </c>
    </row>
    <row r="140">
      <c r="A140">
        <v>135</v>
      </c>
      <c r="B140" t="str">
        <v>Yesterday of Toys - Celluloids</v>
      </c>
      <c r="C140" t="str">
        <v>Teruhisa Kitahara (ed.)</v>
      </c>
      <c r="D140">
        <v>1988</v>
      </c>
      <c r="E140" t="str">
        <v>Graphic-sha Publishing Co. Ltd</v>
      </c>
      <c r="F140" t="str">
        <v>Tokyo / Japan</v>
      </c>
      <c r="G140">
        <v>21</v>
      </c>
    </row>
    <row r="141">
      <c r="A141">
        <v>136</v>
      </c>
      <c r="B141" t="str">
        <v>Yesterday of Toys - SF &amp; Robots</v>
      </c>
      <c r="C141" t="str">
        <v>Teruhisa Kitahara (ed.)</v>
      </c>
      <c r="D141">
        <v>1988</v>
      </c>
      <c r="E141" t="str">
        <v>Graphic-sha Publishing Co. Ltd</v>
      </c>
      <c r="F141" t="str">
        <v>Tokyo / Japan</v>
      </c>
      <c r="G141" t="str">
        <v>47, 63, 66, 73, 91</v>
      </c>
    </row>
    <row r="142">
      <c r="A142">
        <v>137</v>
      </c>
      <c r="B142" t="str">
        <v>Yesterday of Toys - Tin Toy Variety</v>
      </c>
      <c r="C142" t="str">
        <v>Teruhisa Kitahara (ed.)</v>
      </c>
      <c r="D142">
        <v>1988</v>
      </c>
      <c r="E142" t="str">
        <v>Graphic-sha Publishing Co. Ltd</v>
      </c>
      <c r="F142" t="str">
        <v>Tokyo / Japan</v>
      </c>
      <c r="G142" t="str">
        <v>43, 45, 46, 47, 48, 55, 57, 66, 98</v>
      </c>
    </row>
    <row r="143">
      <c r="A143">
        <v>138</v>
      </c>
      <c r="B143" t="str">
        <v>Youpi, C'est Jeudi</v>
      </c>
      <c r="C143" t="str">
        <v>François Bertin</v>
      </c>
      <c r="D143">
        <v>2001</v>
      </c>
      <c r="E143" t="str">
        <v>Éditions Ouest-France</v>
      </c>
      <c r="F143" t="str">
        <v>France</v>
      </c>
      <c r="G143" t="str">
        <v>20, 24, 36, 40, 41, 44, 61, 72, 87, 108, 118, 119, 132, 133, 134, 135, 137</v>
      </c>
    </row>
  </sheetData>
  <pageMargins left="0.7" right="0.7" top="0.75" bottom="0.75" header="0.3" footer="0.3"/>
  <ignoredErrors>
    <ignoredError numberStoredAsText="1" sqref="A1:H143"/>
  </ignoredErrors>
</worksheet>
</file>

<file path=xl/worksheets/sheet3.xml><?xml version="1.0" encoding="utf-8"?>
<worksheet xmlns="http://schemas.openxmlformats.org/spreadsheetml/2006/main" xmlns:r="http://schemas.openxmlformats.org/officeDocument/2006/relationships">
  <dimension ref="A1:L179"/>
  <sheetViews>
    <sheetView workbookViewId="0" rightToLeft="0"/>
  </sheetViews>
  <sheetData>
    <row r="1">
      <c r="A1" t="str">
        <v>Logo     (ex: CKO)</v>
      </c>
      <c r="B1" t="str">
        <v>Trademark                     (ex: Kellermann)</v>
      </c>
      <c r="C1" t="str">
        <v>Manufacturer                                              (ex: Georg Kellermann &amp; Co.)</v>
      </c>
      <c r="D1" t="str">
        <v>Address/Town</v>
      </c>
      <c r="E1" t="str">
        <v>Country</v>
      </c>
      <c r="F1" t="str">
        <v>Start activity</v>
      </c>
      <c r="G1" t="str">
        <v>End acitivity</v>
      </c>
      <c r="H1" t="str">
        <v>Founder</v>
      </c>
      <c r="I1" t="str">
        <v>History</v>
      </c>
      <c r="J1" t="str">
        <v>Type of toys manufactured</v>
      </c>
      <c r="K1" t="str">
        <v>Bibliography</v>
      </c>
    </row>
    <row r="2">
      <c r="A2" t="str">
        <v>AIRFIX</v>
      </c>
      <c r="B2" t="str">
        <v>Airfix</v>
      </c>
      <c r="E2" t="str">
        <v>England</v>
      </c>
    </row>
    <row r="3">
      <c r="A3" t="str">
        <v>ABN</v>
      </c>
      <c r="B3" t="str">
        <v>Albersdorfer &amp; Bergmann</v>
      </c>
      <c r="E3" t="str">
        <v>Germany</v>
      </c>
    </row>
    <row r="4">
      <c r="A4" t="str">
        <v>ALCO</v>
      </c>
      <c r="B4" t="str">
        <v>ALCO</v>
      </c>
      <c r="E4" t="str">
        <v>Japan</v>
      </c>
    </row>
    <row r="5">
      <c r="A5" t="str">
        <v>SIO in circle</v>
      </c>
      <c r="B5" t="str">
        <v>Aliança</v>
      </c>
      <c r="C5" t="str">
        <v>Sociedade de Indústria de Ourivesaria, later Fábrica de Brinquedos de Alfena, with trademark "Aliança"</v>
      </c>
      <c r="D5" t="str">
        <v xml:space="preserve">Alfena </v>
      </c>
      <c r="E5" t="str">
        <v>Portugal</v>
      </c>
    </row>
    <row r="6">
      <c r="A6" t="str">
        <v>Alps</v>
      </c>
      <c r="B6" t="str">
        <v>Alps</v>
      </c>
      <c r="C6" t="str">
        <v>Alps Shoji Co. Ltd</v>
      </c>
      <c r="E6" t="str">
        <v>Japan</v>
      </c>
      <c r="I6" t="str">
        <v>founded after WWII by a former employee of Kuramochi</v>
      </c>
    </row>
    <row r="7">
      <c r="A7" t="str">
        <v>AML</v>
      </c>
      <c r="B7" t="str">
        <v>AML</v>
      </c>
      <c r="C7" t="str">
        <v>Armindo Moreira Lopes</v>
      </c>
      <c r="E7" t="str">
        <v>Portugal</v>
      </c>
    </row>
    <row r="8">
      <c r="A8" t="str">
        <v>Arnold</v>
      </c>
      <c r="B8" t="str">
        <v>Arnold</v>
      </c>
      <c r="C8" t="str">
        <v>Karl Arnold GmbH &amp; Co. KG</v>
      </c>
    </row>
    <row r="9">
      <c r="A9" t="str">
        <v>ATC</v>
      </c>
      <c r="B9" t="str">
        <v>Asahi</v>
      </c>
      <c r="C9" t="str">
        <v>Asahi Gangu Sesakusho</v>
      </c>
    </row>
    <row r="10">
      <c r="A10" t="str">
        <v>A-1</v>
      </c>
      <c r="B10" t="str">
        <v>Asakusa</v>
      </c>
      <c r="C10" t="str">
        <v>Asakusa Toy, Ltd</v>
      </c>
    </row>
    <row r="11">
      <c r="A11" t="str">
        <v>B</v>
      </c>
      <c r="B11" t="str">
        <v>Baldwin</v>
      </c>
      <c r="C11" t="str">
        <v xml:space="preserve">Baldwin Manufacturing Co. </v>
      </c>
      <c r="D11" t="str">
        <v>Brooklyn, NY</v>
      </c>
    </row>
    <row r="12">
      <c r="A12" t="str">
        <v>BC</v>
      </c>
      <c r="B12" t="str">
        <v>Bandai</v>
      </c>
      <c r="C12" t="str">
        <v>Bandai</v>
      </c>
    </row>
    <row r="13">
      <c r="A13" t="str">
        <v>Baquelite Liz</v>
      </c>
      <c r="B13" t="str">
        <v>Baquelite Liz</v>
      </c>
      <c r="C13" t="str">
        <v>Baquelite Liz, Lda</v>
      </c>
      <c r="E13" t="str">
        <v>Portugal</v>
      </c>
    </row>
    <row r="14">
      <c r="A14" t="str">
        <v>B</v>
      </c>
      <c r="B14" t="str">
        <v>Bell</v>
      </c>
      <c r="C14" t="str">
        <v>Vittorio Belloni</v>
      </c>
      <c r="D14" t="str">
        <v>Milan</v>
      </c>
      <c r="E14" t="str">
        <v>Italy</v>
      </c>
      <c r="F14">
        <v>1919</v>
      </c>
      <c r="G14">
        <v>1980</v>
      </c>
      <c r="H14" t="str">
        <v>Vittorio Belloni</v>
      </c>
      <c r="I14" t="str">
        <v>Production was interrupted in 1943-1946</v>
      </c>
      <c r="J14" t="str">
        <v>clockwork toys</v>
      </c>
      <c r="K14">
        <v>48</v>
      </c>
    </row>
    <row r="15">
      <c r="A15" t="str">
        <v>B</v>
      </c>
      <c r="B15" t="str">
        <v>Biller</v>
      </c>
      <c r="C15" t="str">
        <v>Hans Biller</v>
      </c>
    </row>
    <row r="16">
      <c r="A16" t="str">
        <v>Bindschedler Imprimeto</v>
      </c>
      <c r="B16" t="str">
        <v>Bindschedler Imprimeto</v>
      </c>
      <c r="E16" t="str">
        <v>France</v>
      </c>
    </row>
    <row r="17">
      <c r="A17" t="str">
        <v>BW</v>
      </c>
      <c r="B17" t="str">
        <v>Bing</v>
      </c>
      <c r="C17" t="str">
        <v>Gebruder Bing</v>
      </c>
    </row>
    <row r="18">
      <c r="A18" t="str">
        <v>B&amp;S</v>
      </c>
      <c r="B18" t="str">
        <v>Blomer &amp; Schuler</v>
      </c>
      <c r="C18" t="str">
        <v>Blomer &amp; Schuler</v>
      </c>
    </row>
    <row r="19">
      <c r="A19" t="str">
        <v>LBZ</v>
      </c>
      <c r="B19" t="str">
        <v>Bolz</v>
      </c>
      <c r="C19" t="str">
        <v>Lorenz Bolz</v>
      </c>
    </row>
    <row r="20">
      <c r="A20" t="str">
        <v>Bruder</v>
      </c>
      <c r="B20" t="str">
        <v>Bruder</v>
      </c>
      <c r="C20" t="str">
        <v>Paul Bruder Spielwarenfabrik; BRUDER Spielwaren Inh. Heinz Bruder (since 1978)</v>
      </c>
      <c r="D20" t="str">
        <v>Fürth‑Burgfarrnbach</v>
      </c>
      <c r="E20" t="str">
        <v>Germany</v>
      </c>
      <c r="F20">
        <v>1926</v>
      </c>
      <c r="G20" t="str">
        <v>still in production</v>
      </c>
      <c r="I20" t="str">
        <v>1926 Bruder supplied these brass reeds to toy trumpet manufacturers. 1958: Purchase of a small, used manual injection moulding machine</v>
      </c>
      <c r="J20" t="str">
        <v>In the 1960s small items, such as toy gun, consisting of only three parts</v>
      </c>
    </row>
    <row r="21">
      <c r="A21" t="str">
        <v>BS</v>
      </c>
      <c r="B21" t="str">
        <v>BS</v>
      </c>
      <c r="C21" t="str">
        <v>Berkenkamp &amp; Schleuter</v>
      </c>
    </row>
    <row r="22">
      <c r="A22" t="str">
        <v>KBN</v>
      </c>
      <c r="B22" t="str">
        <v>Bub</v>
      </c>
      <c r="C22" t="str">
        <v>Karl Bub</v>
      </c>
    </row>
    <row r="23">
      <c r="A23" t="str">
        <v xml:space="preserve">Bull </v>
      </c>
      <c r="B23" t="str">
        <v>Bull Mark</v>
      </c>
    </row>
    <row r="24">
      <c r="A24" t="str">
        <v>Capri</v>
      </c>
      <c r="B24" t="str">
        <v>Capri</v>
      </c>
      <c r="C24" t="str">
        <v>PLÁSTICOS CAPRI SRL</v>
      </c>
      <c r="E24" t="str">
        <v>Argentina</v>
      </c>
      <c r="F24">
        <v>1959</v>
      </c>
      <c r="G24">
        <v>1970</v>
      </c>
    </row>
    <row r="25">
      <c r="A25" t="str">
        <v>m23</v>
      </c>
      <c r="B25" t="str">
        <v>Carl</v>
      </c>
    </row>
    <row r="26">
      <c r="A26" t="str">
        <v>CIJ</v>
      </c>
      <c r="B26" t="str">
        <v>CIJ</v>
      </c>
      <c r="C26" t="str">
        <v>Compagnie Industrielle du Jouet</v>
      </c>
      <c r="D26" t="str">
        <v>rue de la Roquette, Paris</v>
      </c>
      <c r="E26" t="str">
        <v>France</v>
      </c>
      <c r="F26">
        <v>1920</v>
      </c>
      <c r="G26">
        <v>1964</v>
      </c>
      <c r="H26" t="str">
        <v>Fernand Migault</v>
      </c>
      <c r="I26" t="str">
        <v>The company name originally was Migault S.A. at the time that Migault's cousin Marcel Gourdet joined the firm.Took over André Citroen Toys in 1936</v>
      </c>
      <c r="J26" t="str">
        <v>initially large-scle toys, after WWII small models</v>
      </c>
    </row>
    <row r="27">
      <c r="A27" t="str">
        <v>Codeg</v>
      </c>
      <c r="B27" t="str">
        <v>Codeg</v>
      </c>
      <c r="C27" t="str">
        <v xml:space="preserve">Cowan de Groot </v>
      </c>
      <c r="D27" t="str">
        <v>Chart St, Clerkenwell, London</v>
      </c>
      <c r="E27" t="str">
        <v>UK</v>
      </c>
    </row>
    <row r="28">
      <c r="A28" t="str">
        <v>A Rabbit and "de Sousa"</v>
      </c>
      <c r="B28" t="str">
        <v>Coelho de Sousa</v>
      </c>
      <c r="C28" t="str">
        <v>oelho de Sousa</v>
      </c>
      <c r="D28" t="str">
        <v xml:space="preserve">Porto </v>
      </c>
      <c r="E28" t="str">
        <v>Portugal</v>
      </c>
      <c r="F28">
        <v>1920</v>
      </c>
      <c r="G28">
        <v>1950</v>
      </c>
      <c r="H28" t="str">
        <v>Coelho de Sousa</v>
      </c>
      <c r="J28" t="str">
        <v>Coelho de Sousa (C.S.) 1920 é essencialmente comerciante. Desenha e manda fazer baldes litografados. Troleys, carruagens da CP.</v>
      </c>
    </row>
    <row r="29">
      <c r="A29" t="str">
        <v>Congost</v>
      </c>
      <c r="B29" t="str">
        <v>Congost</v>
      </c>
      <c r="C29" t="str">
        <v>Luís Congost, SA</v>
      </c>
      <c r="D29" t="str">
        <v>Inicialmente, calle Numancia nº. 73 de Barcelona, depois mudou para Prenafeta, perto de Montblanc (Tarragona).</v>
      </c>
      <c r="F29" t="str">
        <v>anos 1950</v>
      </c>
      <c r="H29" t="str">
        <v xml:space="preserve"> Lluis Congost (n.1913, f. 1990)</v>
      </c>
      <c r="I29" t="str">
        <v xml:space="preserve">Fabricava os seus próprios produtos e representava a Mattel (a partir de 1975), bem como a Tomy e Revell (durante 12 anos).Também tinha licenças da Disney o Barrio Sésamo. Durante esta época de expansão, abriu uma fábrica em França (Congost France, S.A.) e tinha representações nos USA e Alemanha. Após a more do fundador tornou-se uma empresa de plásticos para a indústrias (Congost Plastic, S.A.) com instalações em Santa Eulalia de Ronçana (Barcelona). Depois mudou para TECNITOYS JUGUETES SA (já extinta). </v>
      </c>
    </row>
    <row r="30">
      <c r="A30" t="str">
        <v>Cragstan</v>
      </c>
      <c r="B30" t="str">
        <v>Cragstan</v>
      </c>
    </row>
    <row r="31">
      <c r="A31" t="str">
        <v xml:space="preserve">DSK </v>
      </c>
      <c r="B31" t="str">
        <v>Daishin</v>
      </c>
      <c r="C31" t="str">
        <v>Daishin Kogyo Co. Ltd.</v>
      </c>
      <c r="D31" t="str">
        <v>no. 6-5 I-Chrome, Kuramae, Taito-Ku, Tokyo</v>
      </c>
      <c r="E31" t="str">
        <v>Japan</v>
      </c>
    </row>
    <row r="32">
      <c r="A32" t="str">
        <v>DAIYA</v>
      </c>
      <c r="B32" t="str">
        <v>Daiya</v>
      </c>
      <c r="C32" t="str">
        <v>Terai Shoten</v>
      </c>
    </row>
    <row r="33">
      <c r="A33" t="str">
        <v>Distler</v>
      </c>
      <c r="B33" t="str">
        <v>Distler</v>
      </c>
      <c r="C33" t="str">
        <v>Johann Distler KG</v>
      </c>
    </row>
    <row r="34">
      <c r="A34" t="str">
        <v>KD</v>
      </c>
      <c r="B34" t="str">
        <v>Dressler, Konrad</v>
      </c>
      <c r="C34" t="str">
        <v>Konrad Dressler oHG</v>
      </c>
    </row>
    <row r="35">
      <c r="A35" t="str">
        <v>Dux</v>
      </c>
      <c r="B35" t="str">
        <v>Dux</v>
      </c>
      <c r="C35" t="str">
        <v>Markes &amp; Co.</v>
      </c>
    </row>
    <row r="36">
      <c r="A36" t="str">
        <v>E Flim Lemez</v>
      </c>
      <c r="B36" t="str">
        <v>E Flim Lemez</v>
      </c>
      <c r="E36" t="str">
        <v>Hungary</v>
      </c>
      <c r="F36">
        <v>1953</v>
      </c>
      <c r="J36" t="str">
        <v>tinplate and plastic toys, many of which feature a mechanical feature</v>
      </c>
    </row>
    <row r="37">
      <c r="A37" t="str">
        <v>HEN</v>
      </c>
      <c r="B37" t="str">
        <v>Eberl</v>
      </c>
      <c r="C37" t="str">
        <v>Hans Eberl</v>
      </c>
    </row>
    <row r="38">
      <c r="A38" t="str">
        <v>EGE</v>
      </c>
      <c r="B38" t="str">
        <v>EGE</v>
      </c>
      <c r="D38" t="str">
        <v>Ibi, Alicante</v>
      </c>
      <c r="E38" t="str">
        <v>Spain</v>
      </c>
      <c r="F38">
        <v>1963</v>
      </c>
      <c r="G38">
        <v>1985</v>
      </c>
    </row>
    <row r="39">
      <c r="A39" t="str">
        <v>GEN</v>
      </c>
      <c r="B39" t="str">
        <v>Einfalt</v>
      </c>
      <c r="C39" t="str">
        <v>Gebruder Einfalt GmbH</v>
      </c>
      <c r="I39" t="str">
        <v>until 1935; tem, Technofix</v>
      </c>
    </row>
    <row r="40">
      <c r="A40" t="str">
        <v>ERCO</v>
      </c>
      <c r="B40" t="str">
        <v>ERCO</v>
      </c>
      <c r="C40" t="str">
        <v>Leonhard Erdel &amp; Co.</v>
      </c>
    </row>
    <row r="41">
      <c r="A41" t="str">
        <v>Essdee</v>
      </c>
      <c r="B41" t="str">
        <v>Essdee</v>
      </c>
    </row>
    <row r="42">
      <c r="A42" t="str">
        <v>F.M.</v>
      </c>
      <c r="B42" t="str">
        <v>Fernand Martin</v>
      </c>
      <c r="C42" t="str">
        <v>Fernand Martin</v>
      </c>
      <c r="I42" t="str">
        <v>The book by Frédéric Marchand, L'Histoire des jouets Martin published a list of models manufactured by Martin and his successors. This classification distinguishes four periods: the 1st Martin period (1878-1894), the 2nd Martin period (1895-1912), the 3rd Georges Flersheim period (1912-1919), and the 4th Victor Bonnet period (1919-1937).</v>
      </c>
    </row>
    <row r="43">
      <c r="A43" t="str">
        <v>GF</v>
      </c>
      <c r="B43" t="str">
        <v>Fischer, Georg</v>
      </c>
      <c r="C43" t="str">
        <v>Georg Fischer</v>
      </c>
    </row>
    <row r="44">
      <c r="B44" t="str">
        <v>Fischer, H</v>
      </c>
      <c r="C44" t="str">
        <v>H Fischer</v>
      </c>
      <c r="E44" t="str">
        <v>Germany</v>
      </c>
    </row>
    <row r="45">
      <c r="A45" t="str">
        <v>FV</v>
      </c>
      <c r="B45" t="str">
        <v>Fritz &amp; Voit</v>
      </c>
      <c r="C45" t="str">
        <v>Fritz und Erwin Voit</v>
      </c>
    </row>
    <row r="46">
      <c r="A46" t="str">
        <v>MM under mountain</v>
      </c>
      <c r="B46" t="str">
        <v>Fuji</v>
      </c>
      <c r="C46" t="str">
        <v>Fuji Press Kogyo</v>
      </c>
      <c r="E46" t="str">
        <v>Japan</v>
      </c>
    </row>
    <row r="47">
      <c r="A47" t="str">
        <v>GAMA</v>
      </c>
      <c r="B47" t="str">
        <v>GAMA</v>
      </c>
      <c r="C47" t="str">
        <v>Georg Adam Mangold</v>
      </c>
    </row>
    <row r="48">
      <c r="A48" t="str">
        <v>HG</v>
      </c>
      <c r="B48" t="str">
        <v>Geiger, Hans</v>
      </c>
      <c r="C48" t="str">
        <v>Hans Geiger</v>
      </c>
    </row>
    <row r="49">
      <c r="A49" t="str">
        <v>Gely</v>
      </c>
      <c r="B49" t="str">
        <v>Gely</v>
      </c>
      <c r="C49" t="str">
        <v>George Levy</v>
      </c>
    </row>
    <row r="50">
      <c r="A50" t="str">
        <v>Gescha</v>
      </c>
      <c r="B50" t="str">
        <v>Gescha</v>
      </c>
      <c r="C50" t="str">
        <v>Gebruder Schmid</v>
      </c>
    </row>
    <row r="51">
      <c r="A51" t="str">
        <v>Geyper</v>
      </c>
      <c r="B51" t="str">
        <v>Geyper</v>
      </c>
      <c r="C51" t="str">
        <v>Geyper S.A. Indestrias</v>
      </c>
    </row>
    <row r="52">
      <c r="A52" t="str">
        <v>GOSO</v>
      </c>
      <c r="B52" t="str">
        <v>GOSO</v>
      </c>
      <c r="C52" t="str">
        <v>Christian Gotz &amp; Sohn GmbH</v>
      </c>
    </row>
    <row r="53">
      <c r="A53" t="str">
        <v>Grandarte M. Grande</v>
      </c>
      <c r="B53" t="str">
        <v xml:space="preserve">Grandarte </v>
      </c>
      <c r="C53" t="str">
        <v>Grandarte - Fábrica de Plásticos, Lda</v>
      </c>
      <c r="D53" t="str">
        <v xml:space="preserve">Marinha Grande </v>
      </c>
      <c r="E53" t="str">
        <v>Portugal</v>
      </c>
      <c r="I53" t="str">
        <v>operava na década de 1960 sob a gerência de Manuel Lopes, focando-se na produção de artigos em plástico. Em 1997 fundiu-se com a UPLA (Fábrica Universal de Plásticos), dando origem à Grandupla – Fábrica de Plásticos, S.A..</v>
      </c>
    </row>
    <row r="54">
      <c r="A54" t="str">
        <v>Green Monk Combex</v>
      </c>
      <c r="B54" t="str">
        <v>Green Monk Combex</v>
      </c>
      <c r="C54" t="str">
        <v>Green Monk Combex</v>
      </c>
      <c r="D54" t="str">
        <v>Yorkshire, England</v>
      </c>
      <c r="F54">
        <v>1946</v>
      </c>
    </row>
    <row r="55">
      <c r="A55" t="str">
        <v>G&amp;K</v>
      </c>
      <c r="B55" t="str">
        <v>Gundka-Werk</v>
      </c>
      <c r="C55" t="str">
        <v>Vereinmigte Bleschspielwarenfabrik GmbH</v>
      </c>
      <c r="D55" t="str">
        <v>Brandeburg</v>
      </c>
      <c r="E55" t="str">
        <v>Germany</v>
      </c>
    </row>
    <row r="56">
      <c r="A56" t="str">
        <v>SG</v>
      </c>
      <c r="B56" t="str">
        <v>Gunthermann</v>
      </c>
      <c r="C56" t="str">
        <v>Siegfried Gunthermann</v>
      </c>
    </row>
    <row r="57">
      <c r="A57" t="str">
        <v>HA HA Toy</v>
      </c>
      <c r="B57" t="str">
        <v>HA HA Toy</v>
      </c>
      <c r="C57" t="str">
        <v>HA HA Toy</v>
      </c>
      <c r="D57" t="str">
        <v>Shanghai</v>
      </c>
      <c r="E57" t="str">
        <v>China</v>
      </c>
    </row>
    <row r="58">
      <c r="A58" t="str">
        <v>HAJI</v>
      </c>
      <c r="B58" t="str">
        <v>HAJI</v>
      </c>
    </row>
    <row r="59">
      <c r="A59" t="str">
        <v>HK</v>
      </c>
      <c r="B59" t="str">
        <v>Hammerer &amp; Kuhlvein</v>
      </c>
      <c r="C59" t="str">
        <v>Johann Hammerer &amp; Kuhlvein</v>
      </c>
    </row>
    <row r="60">
      <c r="A60" t="str">
        <v>EHN</v>
      </c>
      <c r="B60" t="str">
        <v>Hausmann, Emil</v>
      </c>
    </row>
    <row r="61">
      <c r="A61" t="str">
        <v>HC inside gear</v>
      </c>
      <c r="B61" t="str">
        <v>HC Toys</v>
      </c>
      <c r="C61" t="str">
        <v>HING CHEONG Plastic &amp; Metal Works Ltd</v>
      </c>
      <c r="D61" t="str">
        <v>Unit 1906, Block B, Wah Fat Industrial Building, 10-14 Kung Yip Street, Kwai Chung, Hong Kong.</v>
      </c>
      <c r="E61" t="str">
        <v>China</v>
      </c>
    </row>
    <row r="62">
      <c r="A62" t="str">
        <v>Hess</v>
      </c>
      <c r="B62" t="str">
        <v>Hess</v>
      </c>
      <c r="C62" t="str">
        <v>Mathias Hess</v>
      </c>
    </row>
    <row r="63">
      <c r="A63" t="str">
        <v>HTC</v>
      </c>
      <c r="B63" t="str">
        <v>Hishimo</v>
      </c>
      <c r="C63" t="str">
        <v>Hishimo Sangyo Ltd</v>
      </c>
      <c r="E63" t="str">
        <v>Japan</v>
      </c>
    </row>
    <row r="64">
      <c r="A64" t="str">
        <v>JH</v>
      </c>
      <c r="B64" t="str">
        <v>Hofler</v>
      </c>
      <c r="C64" t="str">
        <v>Johann Hofler</v>
      </c>
    </row>
    <row r="65">
      <c r="A65" t="str">
        <v>HD</v>
      </c>
      <c r="B65" t="str">
        <v>Hong Da</v>
      </c>
      <c r="C65" t="str">
        <v>Hong Da</v>
      </c>
      <c r="E65" t="str">
        <v>Taiwan</v>
      </c>
    </row>
    <row r="66">
      <c r="A66" t="str">
        <v>SH</v>
      </c>
      <c r="B66" t="str">
        <v>Horikawa</v>
      </c>
      <c r="C66" t="str">
        <v>Horikawa Toys</v>
      </c>
    </row>
    <row r="67">
      <c r="A67" t="str">
        <v>HB</v>
      </c>
      <c r="B67" t="str">
        <v>Hosch &amp; Bechmann</v>
      </c>
      <c r="C67" t="str">
        <v>Hosch &amp; Bechmann</v>
      </c>
    </row>
    <row r="68">
      <c r="A68" t="str">
        <v>HPZ</v>
      </c>
      <c r="B68" t="str">
        <v>HPZ</v>
      </c>
      <c r="C68" t="str">
        <v>Hans Prottengeier</v>
      </c>
    </row>
    <row r="69">
      <c r="A69" t="str">
        <v>HUKI</v>
      </c>
      <c r="B69" t="str">
        <v>HUKI</v>
      </c>
      <c r="C69" t="str">
        <v>Hubert Kienberger KG</v>
      </c>
    </row>
    <row r="70">
      <c r="A70" t="str">
        <v>HZ below horse</v>
      </c>
      <c r="B70" t="str">
        <v>HZ</v>
      </c>
      <c r="C70" t="str">
        <v>Hans Zitmann</v>
      </c>
      <c r="E70" t="str">
        <v>West Germany</v>
      </c>
    </row>
    <row r="71">
      <c r="A71" t="str">
        <v>ICHIDA with grapes</v>
      </c>
      <c r="B71" t="str">
        <v>Ichida</v>
      </c>
      <c r="C71" t="str">
        <v>Ichida Co. Ltd</v>
      </c>
    </row>
    <row r="72">
      <c r="A72" t="str">
        <v>head of indian</v>
      </c>
      <c r="B72" t="str">
        <v>Ichimura</v>
      </c>
      <c r="C72" t="str">
        <v>Ichimura Shoten</v>
      </c>
      <c r="E72" t="str">
        <v>Japan</v>
      </c>
    </row>
    <row r="73">
      <c r="A73" t="str">
        <v>Inakita</v>
      </c>
      <c r="B73" t="str">
        <v>Inakita</v>
      </c>
      <c r="C73" t="str">
        <v>Inakita Shokai</v>
      </c>
      <c r="E73" t="str">
        <v>Japan</v>
      </c>
    </row>
    <row r="74">
      <c r="A74" t="str">
        <v>ISHI</v>
      </c>
      <c r="B74" t="str">
        <v>Ishizuka</v>
      </c>
      <c r="C74" t="str">
        <v>Ishizuka Seisakusho</v>
      </c>
      <c r="E74" t="str">
        <v>Japan</v>
      </c>
    </row>
    <row r="75">
      <c r="A75" t="str">
        <v>JAJ</v>
      </c>
      <c r="B75" t="str">
        <v>Issmayer</v>
      </c>
    </row>
    <row r="76">
      <c r="A76" t="str">
        <v>J. Chein &amp; Co.</v>
      </c>
      <c r="B76" t="str">
        <v>J. Chein</v>
      </c>
      <c r="C76" t="str">
        <v>J. Chein &amp; Co.</v>
      </c>
    </row>
    <row r="77">
      <c r="A77" t="str">
        <v>JATO, PEPE</v>
      </c>
      <c r="B77" t="str">
        <v>JATO &amp; PEPE</v>
      </c>
      <c r="D77" t="str">
        <v>Alfena e Ermesinde</v>
      </c>
      <c r="H77" t="str">
        <v>José Augusto Júnior (JAJ), um artesão que em 1921 iniciou a produção de brinquedos em folha-de-flandres (chapa), como as famosas gaitas e rocas para bebés</v>
      </c>
      <c r="I77" t="str">
        <v>Em 1930, José Augusto Júnior criou uma nova fábrica e foi pioneiro em Portugal ao fabricar o primeiro brinquedo com corda de fita. Em 1946, a “JAJ” transferiu-se para Ermesinde por uma questão de proximidade ao caminho de ferro, através do qual fazia chegar os brinquedos a todos os pontos do país. A empresa passou a chamar-se “A Industrial de Quinquilharias de Ermesinde” e, em 1955, alterou o seu nome para “Fábrica de Artigos em Plástico JATO de José Augusto Júnior”, passando, então, a utilizar a sigla “JATO. Foi nesta fase que surgiram ícones como os táxis Mercedes, as carrinhas "pão de forma" (VW) e os fogões em miniatura. Após 1977, a gestão passou para os filhos de José Augusto Júnior, que adotaram a marca PEPE (ou PE-PE), mantendo a tradição até aos dias de hoje, sob o nome Bruplast</v>
      </c>
    </row>
    <row r="78">
      <c r="A78" t="str">
        <v>JIMSON w/ crown</v>
      </c>
      <c r="B78" t="str">
        <v>JIMSON</v>
      </c>
      <c r="E78" t="str">
        <v>Hong Kong</v>
      </c>
    </row>
    <row r="79">
      <c r="A79" t="str">
        <v>JNF</v>
      </c>
      <c r="B79" t="str">
        <v>JNF</v>
      </c>
      <c r="C79" t="str">
        <v>Josef  Neuhirl</v>
      </c>
    </row>
    <row r="80">
      <c r="A80" t="str">
        <v>JOJA</v>
      </c>
      <c r="B80" t="str">
        <v>JOJA</v>
      </c>
      <c r="E80" t="str">
        <v>Japan</v>
      </c>
    </row>
    <row r="81">
      <c r="A81" t="str">
        <v>JW</v>
      </c>
      <c r="B81" t="str">
        <v>Josef Wagner</v>
      </c>
      <c r="C81" t="str">
        <v>Joseph Wagner</v>
      </c>
      <c r="D81" t="str">
        <v xml:space="preserve">Emskirchen near Brunn, Germany </v>
      </c>
      <c r="J81" t="str">
        <v>manufactures with the original tools of the former tin toy manufacturer Tipp &amp; Co., Blomer and Schüler as well as NBZ</v>
      </c>
    </row>
    <row r="82">
      <c r="A82" t="str">
        <v>JEP</v>
      </c>
      <c r="B82" t="str">
        <v>Jouets de Paris</v>
      </c>
      <c r="F82">
        <v>1920</v>
      </c>
      <c r="G82">
        <v>1965</v>
      </c>
    </row>
    <row r="83">
      <c r="A83" t="str">
        <v>Joustra</v>
      </c>
      <c r="B83" t="str">
        <v>Joustra</v>
      </c>
      <c r="C83" t="str">
        <v>Jouets de Strasbourg</v>
      </c>
    </row>
    <row r="84">
      <c r="A84" t="str">
        <v>K</v>
      </c>
      <c r="B84" t="str">
        <v>KAMCO</v>
      </c>
      <c r="D84" t="str">
        <v>Hong Kong</v>
      </c>
    </row>
    <row r="85">
      <c r="A85" t="str">
        <v>KK in losangle</v>
      </c>
      <c r="B85" t="str">
        <v>Kamiya</v>
      </c>
      <c r="C85" t="str">
        <v>Kamyia Seisakusho</v>
      </c>
    </row>
    <row r="86">
      <c r="A86" t="str">
        <v>Kanto</v>
      </c>
      <c r="B86" t="str">
        <v>Kanto</v>
      </c>
      <c r="C86" t="str">
        <v>Kanto Toys Co. Ltd</v>
      </c>
    </row>
    <row r="87">
      <c r="A87" t="str">
        <v>KRZ</v>
      </c>
      <c r="B87" t="str">
        <v>Karl Rohrseitz</v>
      </c>
    </row>
    <row r="88">
      <c r="A88" t="str">
        <v>KS</v>
      </c>
      <c r="B88" t="str">
        <v>Kawano</v>
      </c>
      <c r="C88" t="str">
        <v>Kawano Seisakusho</v>
      </c>
      <c r="E88" t="str">
        <v>Japan</v>
      </c>
    </row>
    <row r="89">
      <c r="A89" t="str">
        <v>Keim</v>
      </c>
      <c r="B89" t="str">
        <v>Keim</v>
      </c>
      <c r="C89" t="str">
        <v>Keim &amp; Co. AG</v>
      </c>
    </row>
    <row r="90">
      <c r="A90" t="str">
        <v>CKO</v>
      </c>
      <c r="B90" t="str">
        <v>Kellermann</v>
      </c>
      <c r="C90" t="str">
        <v>Georg Kellermann &amp; Co.</v>
      </c>
    </row>
    <row r="91">
      <c r="A91" t="str">
        <v>Ki.Co</v>
      </c>
      <c r="B91" t="str">
        <v>Ki.Co.</v>
      </c>
      <c r="E91" t="str">
        <v>Germany</v>
      </c>
      <c r="I91" t="str">
        <v>after the war, it became HUKI</v>
      </c>
    </row>
    <row r="92">
      <c r="A92" t="str">
        <v>GKN</v>
      </c>
      <c r="B92" t="str">
        <v>Kohler</v>
      </c>
      <c r="C92" t="str">
        <v>Georg Kohler</v>
      </c>
    </row>
    <row r="93">
      <c r="A93" t="str">
        <v>K inside 5 leaf clover</v>
      </c>
      <c r="B93" t="str">
        <v>Kokyu Shokai</v>
      </c>
      <c r="C93" t="str">
        <v>Kokyu Trading Co. Ltd</v>
      </c>
    </row>
    <row r="94">
      <c r="A94" t="str">
        <v>KOVAP</v>
      </c>
      <c r="B94" t="str">
        <v>Kovap</v>
      </c>
      <c r="C94" t="str">
        <v>KOVAP Náchod, Ltd.</v>
      </c>
      <c r="D94" t="str">
        <v>Nový Hrádek</v>
      </c>
      <c r="E94" t="str">
        <v>Czech Republic</v>
      </c>
      <c r="F94">
        <v>1946</v>
      </c>
      <c r="G94" t="str">
        <v xml:space="preserve"> Active</v>
      </c>
      <c r="H94" t="str">
        <v xml:space="preserve"> Sedlák brothers.</v>
      </c>
    </row>
    <row r="95">
      <c r="A95" t="str">
        <v>Stilized red baby in circle</v>
      </c>
      <c r="B95" t="str">
        <v>Kuang Mei Toys</v>
      </c>
      <c r="C95" t="str">
        <v>Kuang Mei Toys</v>
      </c>
      <c r="D95" t="str">
        <v>Km 2037</v>
      </c>
      <c r="E95" t="str">
        <v>Taiwan</v>
      </c>
    </row>
    <row r="96">
      <c r="A96" t="str">
        <v>CK</v>
      </c>
      <c r="B96" t="str">
        <v>Kuramochi</v>
      </c>
      <c r="C96" t="str">
        <v>Kuramochi Shoten</v>
      </c>
      <c r="E96" t="str">
        <v>Japan</v>
      </c>
      <c r="F96">
        <v>1920</v>
      </c>
      <c r="G96" t="str">
        <v>1960s</v>
      </c>
      <c r="I96" t="str">
        <v>founded in Tokyo, produced tinplate, lead and celluloid toys in the late 20s and early 30s. It was the largest supplier of japanese toys prior to WWII. In the USA its products were distributed by  Geo. Borgfeldt Co. (also distributed nifty toys, Germany).</v>
      </c>
    </row>
    <row r="97">
      <c r="A97" t="str">
        <v>EPL</v>
      </c>
      <c r="B97" t="str">
        <v>Lehmann</v>
      </c>
      <c r="C97" t="str">
        <v>Ernst Paul Lehmann</v>
      </c>
    </row>
    <row r="98">
      <c r="A98" t="str">
        <v>L inside gear</v>
      </c>
      <c r="B98" t="str">
        <v>Lemezaru Gyar</v>
      </c>
      <c r="C98" t="str">
        <v>Lemezaru Gyar</v>
      </c>
      <c r="D98" t="str">
        <v>Budapest</v>
      </c>
      <c r="E98" t="str">
        <v>Hungary</v>
      </c>
    </row>
    <row r="99">
      <c r="A99" t="str">
        <v>Upside down V in circle</v>
      </c>
      <c r="B99" t="str">
        <v>Lenin Memorial</v>
      </c>
      <c r="C99" t="str">
        <v>Lenin Memorial Factory</v>
      </c>
      <c r="D99" t="str">
        <v>Moscow</v>
      </c>
      <c r="E99" t="str">
        <v>URSS</v>
      </c>
    </row>
    <row r="100">
      <c r="A100" t="str">
        <v>Léon Petit</v>
      </c>
      <c r="B100" t="str">
        <v>Léon Petit</v>
      </c>
      <c r="C100" t="str">
        <v>Léon Petit - Fábrica de Artigos de Celulóide, Baquelite e Galatite</v>
      </c>
      <c r="D100" t="str">
        <v>Rua 31, nº 908 Espinho</v>
      </c>
      <c r="E100" t="str">
        <v>Portugal</v>
      </c>
    </row>
    <row r="101">
      <c r="A101" t="str">
        <v>Linemar</v>
      </c>
      <c r="B101" t="str">
        <v>Linemar</v>
      </c>
      <c r="C101" t="str">
        <v>Linemar Toys</v>
      </c>
    </row>
    <row r="102">
      <c r="A102" t="str">
        <v>AIM in circle</v>
      </c>
      <c r="B102" t="str">
        <v>Marchesini</v>
      </c>
      <c r="C102" t="str">
        <v>Luigi Marchesini</v>
      </c>
      <c r="D102" t="str">
        <v>Bologna</v>
      </c>
      <c r="E102" t="str">
        <v>Italy</v>
      </c>
      <c r="F102">
        <v>1946</v>
      </c>
    </row>
    <row r="103">
      <c r="A103" t="str">
        <v>MFZ</v>
      </c>
      <c r="B103" t="str">
        <v>Martin Fuchs</v>
      </c>
      <c r="C103" t="str">
        <v>Martin Fuchs</v>
      </c>
    </row>
    <row r="104">
      <c r="A104" t="str">
        <v>SAN</v>
      </c>
      <c r="B104" t="str">
        <v>Marusan</v>
      </c>
      <c r="C104" t="str">
        <v>Marusan Shoten</v>
      </c>
    </row>
    <row r="105">
      <c r="A105" t="str">
        <v>MT (in laurel)</v>
      </c>
      <c r="B105" t="str">
        <v>Maruyoshi Toy</v>
      </c>
      <c r="C105" t="str">
        <v>Maruyoshi Gangu Seisakusho</v>
      </c>
      <c r="K105" t="str">
        <v>51 (34)</v>
      </c>
    </row>
    <row r="106">
      <c r="A106" t="str">
        <v>Marx</v>
      </c>
      <c r="B106" t="str">
        <v>Marx</v>
      </c>
    </row>
    <row r="107">
      <c r="A107" t="str">
        <v>M with an S inside</v>
      </c>
      <c r="B107" t="str">
        <v>Masuya</v>
      </c>
      <c r="C107" t="str">
        <v>Masuya Toys</v>
      </c>
      <c r="E107" t="str">
        <v>Japan</v>
      </c>
    </row>
    <row r="108">
      <c r="A108" t="str">
        <v>METTOY</v>
      </c>
      <c r="B108" t="str">
        <v>METTOY</v>
      </c>
    </row>
    <row r="109">
      <c r="A109" t="str">
        <v>MIC</v>
      </c>
      <c r="B109" t="str">
        <v>MIC</v>
      </c>
      <c r="C109" t="str">
        <v>Modern Industrial Company</v>
      </c>
      <c r="E109" t="str">
        <v>Hong Kong</v>
      </c>
      <c r="I109" t="str">
        <v xml:space="preserve">veículos e barcos de plástico motorizados </v>
      </c>
    </row>
    <row r="110">
      <c r="A110" t="str">
        <v>MP</v>
      </c>
      <c r="B110" t="str">
        <v>Migault &amp; Papin</v>
      </c>
      <c r="C110" t="str">
        <v>A. Migault</v>
      </c>
      <c r="D110" t="str">
        <v>Rue N.D. de Nazareth, 82 Paris</v>
      </c>
      <c r="E110" t="str">
        <v>France</v>
      </c>
      <c r="F110">
        <v>1897</v>
      </c>
      <c r="G110">
        <v>1922</v>
      </c>
      <c r="H110" t="str">
        <v>A Migault</v>
      </c>
      <c r="I110" t="str">
        <v>started as a clock and toy maker; in 1924, the son Fernand opened another factory in Rue de la Roquette, 166; together with Marcel Goudet they created CIJ in 1931</v>
      </c>
    </row>
    <row r="111">
      <c r="A111" t="str">
        <v>Mikuni</v>
      </c>
      <c r="B111" t="str">
        <v>Mikuni</v>
      </c>
      <c r="C111" t="str">
        <v>Mikuni Sangyo</v>
      </c>
    </row>
    <row r="112">
      <c r="A112" t="str">
        <v>M inside triangle</v>
      </c>
      <c r="B112" t="str">
        <v>Mitsuhashi</v>
      </c>
      <c r="C112" t="str">
        <v>Mitsuhashi &amp; Co. Ltd</v>
      </c>
      <c r="D112" t="str">
        <v>Tokyo</v>
      </c>
    </row>
    <row r="113">
      <c r="A113" t="str">
        <v>MNN</v>
      </c>
      <c r="B113" t="str">
        <v>MNN</v>
      </c>
      <c r="C113" t="str">
        <v>Michael Nusslein</v>
      </c>
    </row>
    <row r="114">
      <c r="A114" t="str">
        <v>MT</v>
      </c>
      <c r="B114" t="str">
        <v>Modern Toys</v>
      </c>
      <c r="C114" t="str">
        <v>Masudaya Saito Bokei</v>
      </c>
    </row>
    <row r="115">
      <c r="A115" t="str">
        <v>Jouets Mont-Blanc</v>
      </c>
      <c r="B115" t="str">
        <v>Mont-Blanc</v>
      </c>
      <c r="C115" t="str">
        <v>Jouets Mont-Blanc</v>
      </c>
    </row>
    <row r="116">
      <c r="A116" t="str">
        <v>MS-VEB</v>
      </c>
      <c r="B116" t="str">
        <v>MS-VEB</v>
      </c>
      <c r="C116" t="str">
        <v>VEB Mechanische Spielwaren</v>
      </c>
    </row>
    <row r="117">
      <c r="A117" t="str">
        <v>MTU in losangle</v>
      </c>
      <c r="B117" t="str">
        <v>MTU</v>
      </c>
      <c r="E117" t="str">
        <v>South Korea</v>
      </c>
    </row>
    <row r="118">
      <c r="A118" t="str">
        <v>N in elipse</v>
      </c>
      <c r="B118" t="str">
        <v>Nakayama</v>
      </c>
      <c r="C118" t="str">
        <v>Nakayama Shokai</v>
      </c>
      <c r="E118" t="str">
        <v>Japan</v>
      </c>
    </row>
    <row r="119">
      <c r="A119" t="str">
        <v>NBN</v>
      </c>
      <c r="B119" t="str">
        <v>NBN</v>
      </c>
      <c r="C119" t="str">
        <v>Nurnberger Bleschspielwarenfabrik GmbH</v>
      </c>
    </row>
    <row r="120">
      <c r="A120" t="str">
        <v>NIFTY</v>
      </c>
      <c r="B120" t="str">
        <v>NIFTY Toys</v>
      </c>
      <c r="I120" t="str">
        <v xml:space="preserve"> The toys were primarily manufactured in Germany and imported and distributed by George Borgfeldt &amp; Co. (New York). This company  operated between 1881 and the 1950s,  had offices in  Germany and France. They also sold dolls and porcelain.The brother-in-law of Borgfelt, Georg Semler, created the term "Nifty" for mecanical toys. The actual manufacturers of these toys, generally based on comics, included Distler, Gebr. Einfalt,  Tipp &amp; Co. , Fischer &amp; Co. but not identifid in the toy</v>
      </c>
    </row>
    <row r="121">
      <c r="A121" t="str">
        <v>TN</v>
      </c>
      <c r="B121" t="str">
        <v>Nomura</v>
      </c>
      <c r="C121" t="str">
        <v>Nomura Toy Industrial Co. Ltd</v>
      </c>
      <c r="I121" t="str">
        <v>founded after WWII by a former employee of Kuramochi</v>
      </c>
    </row>
    <row r="122">
      <c r="A122" t="str">
        <v>MNN</v>
      </c>
      <c r="B122" t="str">
        <v>Nusslein, Michael</v>
      </c>
      <c r="C122" t="str">
        <v>Michael Nusslein</v>
      </c>
    </row>
    <row r="123">
      <c r="A123" t="str">
        <v>Y in elipse w/ wings</v>
      </c>
      <c r="B123" t="str">
        <v>Okabe</v>
      </c>
      <c r="C123" t="str">
        <v>Okabe Gangu Seisakusho</v>
      </c>
      <c r="E123" t="str">
        <v>Japan</v>
      </c>
    </row>
    <row r="124">
      <c r="A124" t="str">
        <v>Osul</v>
      </c>
      <c r="B124" t="str">
        <v>Osul</v>
      </c>
      <c r="C124" t="str">
        <v>Luso-Celuloide de Henriques &amp; Irmão, Lda</v>
      </c>
      <c r="D124" t="str">
        <v>Espinho</v>
      </c>
      <c r="E124" t="str">
        <v>Portugal</v>
      </c>
      <c r="F124">
        <v>1931</v>
      </c>
      <c r="G124">
        <v>1989</v>
      </c>
      <c r="H124" t="str">
        <v>irmãos Manuel (1886-1954)e Artur Henriques (1892-1965)</v>
      </c>
      <c r="I124" t="str">
        <v>Na década de 50, dá-se a saída de um dos irmãos da sociedade para criar uma nova empresa também em Espinho, no fabrico de brinquedos. Nasce a marca "Hércules". Nessa altura a empresa Luso-Celuloide cria a designação Osul (Luso lido ao contrário) e continua o fabrico de brinquedos em plástico.</v>
      </c>
      <c r="J124" t="str">
        <v>Com apenas oito funcionários, a fábrica dedicava-se inicialmente à produção de bijuterias, pentes, fivelas e artigos religiosos feitos de celuloide. Para aproveitar restos de material e preencher períodos de menor produção, os irmãos começaram a fabricar pequenos brinquedo de plastico. Já nos anos 60, a Osul expandiu a sua tecnologia para a fundição de metais (die-cast), criando a marca Metosul (ou MetOsul). Esta marca tornou-se internacionalmente reconhecida pelas suas miniaturas de automóveis detalhadas à escala 1/43</v>
      </c>
    </row>
    <row r="125">
      <c r="A125" t="str">
        <v>PH</v>
      </c>
      <c r="B125" t="str">
        <v>Paya</v>
      </c>
    </row>
    <row r="126">
      <c r="A126" t="str">
        <v>P.F.</v>
      </c>
      <c r="B126" t="str">
        <v>Pintel</v>
      </c>
      <c r="C126" t="str">
        <v>Pintel</v>
      </c>
      <c r="D126" t="str">
        <v>Paris</v>
      </c>
    </row>
    <row r="127">
      <c r="A127" t="str">
        <v>PN</v>
      </c>
      <c r="B127" t="str">
        <v>PN</v>
      </c>
      <c r="C127" t="str">
        <v>Philipp Niedermeier</v>
      </c>
    </row>
    <row r="128">
      <c r="B128" t="str">
        <v>Prestyn Toys</v>
      </c>
      <c r="C128" t="str">
        <v>Prestyn Toys Ltd</v>
      </c>
      <c r="D128" t="str">
        <v>Lanfranc Road, Bow, Londo</v>
      </c>
      <c r="E128" t="str">
        <v>England</v>
      </c>
      <c r="J128" t="str">
        <v>Produced tin plate toys including a large racing car, the 'Sulman Special', as well as various novelty toys</v>
      </c>
    </row>
    <row r="129">
      <c r="B129" t="str">
        <v>Ranger Steel</v>
      </c>
      <c r="E129" t="str">
        <v>U.S.A.</v>
      </c>
    </row>
    <row r="130">
      <c r="A130" t="str">
        <v>RE.EL</v>
      </c>
      <c r="B130" t="str">
        <v>RE.EL</v>
      </c>
      <c r="D130" t="str">
        <v>Via Zamboni, 6, 41011 Campogalliano (MO), Italy​</v>
      </c>
      <c r="E130" t="str">
        <v>Italy</v>
      </c>
      <c r="F130">
        <v>1983</v>
      </c>
      <c r="J130" t="str">
        <v>radio-controlled vehicles, electric toys</v>
      </c>
    </row>
    <row r="131">
      <c r="A131" t="str">
        <v>Ribeirinho</v>
      </c>
      <c r="B131" t="str">
        <v>Ribeirinho</v>
      </c>
      <c r="C131" t="str">
        <v>Fábrica de Pentes do Ribeirinho, Lda</v>
      </c>
      <c r="D131" t="str">
        <v>Guimarãs</v>
      </c>
      <c r="E131" t="str">
        <v>Portugal</v>
      </c>
    </row>
    <row r="132">
      <c r="A132" t="str">
        <v>Rico</v>
      </c>
      <c r="B132" t="str">
        <v>Rico</v>
      </c>
    </row>
    <row r="133">
      <c r="A133" t="str">
        <v>VIA inside circle</v>
      </c>
      <c r="B133" t="str">
        <v>Rock Valley Toys</v>
      </c>
      <c r="E133" t="str">
        <v>Japan</v>
      </c>
    </row>
    <row r="134">
      <c r="A134" t="str">
        <v>roty</v>
      </c>
      <c r="B134" t="str">
        <v>Roty</v>
      </c>
      <c r="E134" t="str">
        <v>Taiwan</v>
      </c>
    </row>
    <row r="135">
      <c r="A135" t="str">
        <v>R</v>
      </c>
      <c r="B135" t="str">
        <v>Ruhl, Robert</v>
      </c>
      <c r="C135" t="str">
        <v>Robert Ruhl</v>
      </c>
    </row>
    <row r="136">
      <c r="A136" t="str">
        <v>S.I.J.I.M. inside losangle</v>
      </c>
      <c r="B136" t="str">
        <v>S.I.J.I.M.</v>
      </c>
      <c r="C136" t="str">
        <v>Société Industrielle de jouets et d’inventions mécaniques</v>
      </c>
      <c r="D136" t="str">
        <v>18, Rue des Maronites, Paris</v>
      </c>
      <c r="E136" t="str">
        <v>France</v>
      </c>
      <c r="F136">
        <v>1909</v>
      </c>
      <c r="G136" t="str">
        <v>1913 or 1914</v>
      </c>
      <c r="H136" t="str">
        <v>Prosper Lévi</v>
      </c>
      <c r="I136" t="str">
        <v>Prosper Lévi had his trademarks protected in France on July 23, 1909 and internationally on September 20, 1909 for Austria, Belgium, Brazil, Cuba, Spain, France,Hungary, Italy, Mexico, The Netherlands, Portugal, Switzerland and in Tunisië. Between the S.I.J.I.M. factory and the Fernand Martin factory was in 1912 a lawsuit, about the Le Rapide Livreur from S.I.J.I.M. and the Petit Livreur from FernandMartin. Prosper Lévy from (S.I.J.I.M.) accused Fernand Martin having committed plagiarism. In the Lévi’s patent header there is a text in squared brackets: [ Guarantee certificate delivered to M. Jules Boucheron (of whom Mr. Lévi is sassignee) on the occasion of the 10th Lépine Contest of toys in Paris  August 12, 1910]. This means that the inventor of this toy was Jules Boucheron, a  small inventor probably without production opportunities and infrastructure. In July 1914, Fernand Martin gave a  statement: We are pleased to take that the infringement action brought by Mr. Levi against Mr.F. Martin, for a toy called “The Delivery Person” will not be followed up, Mr. Levi having recognized that it is wrongly and without right gull has assigned Mr. Martin ininfringement. For his part, Mr. Martin, in the presence of this declaration, waived his claimfor damages. The case is therefore closed. . From 1897 many toy manufacturers place the triangle with the text “Article Francais” and around it the text “Marque Deposee” , under the triangle a number, which was granted by the Chambre Syndicale des Fabricants de Jouets to French toy makers who requested it. The number reflects the order of the request. S.I.J.I.M. was 248, Martin was 138. The mechanisms of S.I.J.I.M. toys are different from those of Martin, often more sophisticated and of a better quality and therefore more expensive to produce. The best selling and known toy of SIJIM was le joueur d’orgue, often referred to as a Martin.</v>
      </c>
    </row>
    <row r="137">
      <c r="A137" t="str">
        <v>K</v>
      </c>
      <c r="B137" t="str">
        <v>Sankei</v>
      </c>
      <c r="C137" t="str">
        <v>Sankei Kogyo</v>
      </c>
      <c r="E137" t="str">
        <v>Japan</v>
      </c>
    </row>
    <row r="138">
      <c r="A138" t="str">
        <v>TOY</v>
      </c>
      <c r="B138" t="str">
        <v>Sato</v>
      </c>
      <c r="C138" t="str">
        <v>Sato Gangu Seisakusho</v>
      </c>
      <c r="E138" t="str">
        <v>Japan</v>
      </c>
    </row>
    <row r="139">
      <c r="A139" t="str">
        <v>J.G.SCH.</v>
      </c>
      <c r="B139" t="str">
        <v>SCHOPPER</v>
      </c>
      <c r="C139" t="str">
        <v>Johann Georg Schopper KG</v>
      </c>
    </row>
    <row r="140">
      <c r="A140" t="str">
        <v>Schuco</v>
      </c>
      <c r="B140" t="str">
        <v>Schuco</v>
      </c>
      <c r="C140" t="str">
        <v>Schreyer &amp; Co.</v>
      </c>
    </row>
    <row r="141">
      <c r="A141" t="str">
        <v>MS</v>
      </c>
      <c r="B141" t="str">
        <v>Seidel, Michael</v>
      </c>
      <c r="C141" t="str">
        <v>Michael Seidel</v>
      </c>
    </row>
    <row r="142">
      <c r="A142" t="str">
        <v>SFA</v>
      </c>
      <c r="B142" t="str">
        <v>SFA</v>
      </c>
      <c r="C142" t="str">
        <v>Société Industrielle de Ferblanterie</v>
      </c>
    </row>
    <row r="143">
      <c r="A143" t="str">
        <v>SSS</v>
      </c>
      <c r="B143" t="str">
        <v>Shioji</v>
      </c>
      <c r="C143" t="str">
        <v>Shioji Shoten</v>
      </c>
      <c r="D143" t="str">
        <v>Osaka</v>
      </c>
    </row>
    <row r="144">
      <c r="A144" t="str">
        <v>SK inside gear</v>
      </c>
      <c r="B144" t="str">
        <v>SK Toys</v>
      </c>
      <c r="E144" t="str">
        <v>Japan</v>
      </c>
    </row>
    <row r="145">
      <c r="A145" t="str">
        <v>Stock</v>
      </c>
      <c r="B145" t="str">
        <v>Stock</v>
      </c>
      <c r="C145" t="str">
        <v>Stock &amp; Co.</v>
      </c>
    </row>
    <row r="146">
      <c r="A146" t="str">
        <v>Strauss</v>
      </c>
      <c r="B146" t="str">
        <v>Strauss</v>
      </c>
      <c r="C146" t="str">
        <v>The Ferdinand Strauss Corporation</v>
      </c>
      <c r="D146" t="str">
        <v>New York</v>
      </c>
    </row>
    <row r="147">
      <c r="A147" t="str">
        <v>STRENCO</v>
      </c>
      <c r="B147" t="str">
        <v>STRENCO</v>
      </c>
      <c r="C147" t="str">
        <v>L. Streng &amp; Co.</v>
      </c>
    </row>
    <row r="148">
      <c r="A148" t="str">
        <v>S&amp;E</v>
      </c>
      <c r="B148" t="str">
        <v>Susuki &amp; Eduards</v>
      </c>
      <c r="C148" t="str">
        <v>Susuki &amp; Eduards Co. Ltd</v>
      </c>
    </row>
    <row r="149">
      <c r="A149" t="str">
        <v>Sutcliffe</v>
      </c>
      <c r="B149" t="str">
        <v>Sutcliffe</v>
      </c>
      <c r="C149" t="str">
        <v>Sutcliffe Pressings Ltd</v>
      </c>
    </row>
    <row r="150">
      <c r="A150" t="str">
        <v>Taiyo</v>
      </c>
      <c r="B150" t="str">
        <v>Taiyo</v>
      </c>
      <c r="C150" t="str">
        <v>Taiyo Shokai</v>
      </c>
    </row>
    <row r="151">
      <c r="A151" t="str">
        <v>TT  inside losangle</v>
      </c>
      <c r="B151" t="str">
        <v>Takatoku</v>
      </c>
      <c r="C151" t="str">
        <v>Takatoku Toys Co Ltd</v>
      </c>
    </row>
    <row r="152">
      <c r="A152" t="str">
        <v>KTS inside circle</v>
      </c>
      <c r="B152" t="str">
        <v>Tatsuya</v>
      </c>
      <c r="C152" t="str">
        <v>Tatsuya Shoten</v>
      </c>
      <c r="D152" t="str">
        <v>Osaka</v>
      </c>
      <c r="E152" t="str">
        <v>Japan</v>
      </c>
      <c r="K152">
        <v>103</v>
      </c>
    </row>
    <row r="153">
      <c r="A153" t="str">
        <v>Technofix</v>
      </c>
      <c r="B153" t="str">
        <v>Technofix</v>
      </c>
      <c r="C153" t="str">
        <v>Gebruder Einfalt GmbH</v>
      </c>
      <c r="I153" t="str">
        <v>Technofix trademark was adopted after 1935; before  G.E.N.</v>
      </c>
    </row>
    <row r="154">
      <c r="A154" t="str">
        <v>Tin Treasures</v>
      </c>
      <c r="B154" t="str">
        <v>Tin Treasures</v>
      </c>
      <c r="C154" t="str">
        <v>Tin Treasures</v>
      </c>
      <c r="E154" t="str">
        <v>India</v>
      </c>
    </row>
    <row r="155">
      <c r="A155" t="str">
        <v>TCO</v>
      </c>
      <c r="B155" t="str">
        <v>Tippco</v>
      </c>
      <c r="C155" t="str">
        <v>Tipp &amp; Co.</v>
      </c>
    </row>
    <row r="156">
      <c r="A156" t="str">
        <v>TK</v>
      </c>
      <c r="B156" t="str">
        <v>TK Toys</v>
      </c>
      <c r="C156" t="str">
        <v>Teruhisa Kitahara</v>
      </c>
      <c r="I156" t="str">
        <v>original toys were remanufactured during the mid 1990's by Teruhisa Kitahara; These may have the original Nikko Kogyo trademark but the also carry Kitahara's own trademark</v>
      </c>
    </row>
    <row r="157">
      <c r="A157" t="str">
        <v>Tomiyama</v>
      </c>
      <c r="B157" t="str">
        <v>Tomiyama</v>
      </c>
    </row>
    <row r="158">
      <c r="A158" t="str">
        <v>HERO</v>
      </c>
      <c r="B158" t="str">
        <v>Toy Hero</v>
      </c>
      <c r="C158" t="str">
        <v>Unknown (51 (29))</v>
      </c>
    </row>
    <row r="159">
      <c r="A159" t="str">
        <v>A.1</v>
      </c>
      <c r="B159" t="str">
        <v>Toyo</v>
      </c>
      <c r="C159" t="str">
        <v>Toyo Plaything</v>
      </c>
    </row>
    <row r="160">
      <c r="A160" t="str">
        <v>TPS</v>
      </c>
      <c r="B160" t="str">
        <v>TPS</v>
      </c>
      <c r="C160" t="str">
        <v>Tokyo Plaything Shokai</v>
      </c>
    </row>
    <row r="161">
      <c r="A161" t="str">
        <v>Triang</v>
      </c>
      <c r="B161" t="str">
        <v>Triang Minic</v>
      </c>
      <c r="C161" t="str">
        <v>Lines Brothers</v>
      </c>
    </row>
    <row r="162">
      <c r="A162" t="str">
        <v>TTK - JOL</v>
      </c>
      <c r="B162" t="str">
        <v>TTK - JOL</v>
      </c>
      <c r="E162" t="str">
        <v>Japan</v>
      </c>
    </row>
    <row r="163">
      <c r="A163" t="str">
        <v>Unique</v>
      </c>
      <c r="B163" t="str">
        <v>Unique Art</v>
      </c>
      <c r="C163" t="str">
        <v>Unique Art Manufacturing Company</v>
      </c>
    </row>
    <row r="164" xml:space="preserve">
      <c r="A164" t="str">
        <v>Unisotra in losangle</v>
      </c>
      <c r="B164" t="str">
        <v>UNISOTRA</v>
      </c>
      <c r="C164" t="str">
        <v>UNISOTRA</v>
      </c>
      <c r="D164" t="str">
        <v>Seixal</v>
      </c>
      <c r="E164" t="str">
        <v>Portugal</v>
      </c>
      <c r="F164">
        <v>1945</v>
      </c>
      <c r="G164">
        <v>2009</v>
      </c>
      <c r="I164" t="str" xml:space="preserve">
        <v xml:space="preserve">_x000d_
In the late 1940s and throughout the 1950s, the company produced shop window displays, umbrella stands, car headlights (stop lights and turn signals), as well as millions of (plastic) fishing buoys. Later, the number of items produced increased, and they also began manufacturing toys, ashtrays, trays, and many other household items.</v>
      </c>
    </row>
    <row r="165">
      <c r="A165" t="str">
        <v>rabbit head</v>
      </c>
      <c r="B165" t="str">
        <v>Usagiya</v>
      </c>
      <c r="C165" t="str">
        <v>Usagiya Toys Co. Ltd</v>
      </c>
    </row>
    <row r="166">
      <c r="A166" t="str">
        <v>VISPA Halcon</v>
      </c>
      <c r="B166" t="str">
        <v>Vispa Halcon</v>
      </c>
      <c r="E166" t="str">
        <v>Argentina</v>
      </c>
      <c r="I166" t="str">
        <v>Vispa e Halcon existiam em separado, juntaram-se nos anos 50. A Vispa produzia brinquedos de corda, muitps inspirados/cipiados doa alamaes (nomeadamente Technofix). A Halcon produzia bicicletas, triciclos, skates e carabinas de pressão.</v>
      </c>
    </row>
    <row r="167">
      <c r="A167" t="str">
        <v>FV</v>
      </c>
      <c r="B167" t="str">
        <v>Voit</v>
      </c>
      <c r="C167" t="str">
        <v>Fritz und Erwin Voit</v>
      </c>
    </row>
    <row r="168">
      <c r="A168" t="str">
        <v>W TOY inside circle</v>
      </c>
      <c r="B168" t="str">
        <v>Wakasuto</v>
      </c>
      <c r="C168" t="str">
        <v>Wakasuto Boeki</v>
      </c>
      <c r="E168" t="str">
        <v>Japan</v>
      </c>
    </row>
    <row r="169">
      <c r="B169" t="str">
        <v>Wells</v>
      </c>
      <c r="E169" t="str">
        <v>U.K.</v>
      </c>
    </row>
    <row r="170">
      <c r="A170" t="str">
        <v>Welsotoys</v>
      </c>
      <c r="B170" t="str">
        <v>Welsotoys</v>
      </c>
      <c r="C170" t="str">
        <v>Well-Brimtoy Distributors Ltd</v>
      </c>
      <c r="D170" t="str">
        <v>Walthamstow, London E17</v>
      </c>
      <c r="F170">
        <v>1949</v>
      </c>
      <c r="G170">
        <v>1971</v>
      </c>
      <c r="I170" t="str">
        <v>Alfred Wells started his metal toymaking business in 1919;Brimtoy started in 1923, rising from the embers of British Metal and Toy Manufacturers; the two companies became one in 1932, when Brimtoy was absorved; In 1949 A. Wells &amp; Co. Ltd. And Brimtoy Ltd. Formed the company of Well-Brimtoy Distributors Ltd.; trademark Wesotoys c.1955</v>
      </c>
    </row>
    <row r="171">
      <c r="A171" t="str">
        <v>Wilesco</v>
      </c>
      <c r="B171" t="str">
        <v>Wilesco</v>
      </c>
      <c r="C171" t="str">
        <v>Wilh. Schroder &amp; Co.</v>
      </c>
      <c r="D171" t="str">
        <v>Schutzenstrasse 12 / 588 Ludenscheid</v>
      </c>
      <c r="E171" t="str">
        <v>West Germany</v>
      </c>
    </row>
    <row r="172">
      <c r="A172" t="str">
        <v>WK</v>
      </c>
      <c r="B172" t="str">
        <v>Wilhelm Krauss</v>
      </c>
      <c r="C172" t="str">
        <v>Wilhelm Krauss</v>
      </c>
    </row>
    <row r="173">
      <c r="A173" t="str">
        <v>HWN</v>
      </c>
      <c r="B173" t="str">
        <v>Wimmer, Heinrich</v>
      </c>
      <c r="C173" t="str">
        <v>Heinrich Wimmer oHG</v>
      </c>
    </row>
    <row r="174">
      <c r="A174" t="str">
        <v>Wolverine</v>
      </c>
      <c r="B174" t="str">
        <v>Wolverine</v>
      </c>
      <c r="C174" t="str">
        <v>Wolverine Supply &amp; Mfg. Co.</v>
      </c>
      <c r="D174" t="str">
        <v>Pittsburg, PA</v>
      </c>
      <c r="E174" t="str">
        <v>U.S.A.</v>
      </c>
    </row>
    <row r="175">
      <c r="A175" t="str">
        <v>WUCO</v>
      </c>
      <c r="B175" t="str">
        <v>WUCO</v>
      </c>
      <c r="C175" t="str">
        <v>Fritz Wunnerlein &amp; Co.</v>
      </c>
    </row>
    <row r="176">
      <c r="A176" t="str">
        <v>YM</v>
      </c>
      <c r="B176" t="str">
        <v xml:space="preserve">Yano Man </v>
      </c>
      <c r="C176" t="str">
        <v>Yano Man Toys</v>
      </c>
      <c r="E176" t="str">
        <v>Japan</v>
      </c>
    </row>
    <row r="177">
      <c r="A177" t="str">
        <v>Yone or SY</v>
      </c>
      <c r="B177" t="str">
        <v>Yoneya</v>
      </c>
      <c r="C177" t="str">
        <v>Yoneya Toys Co. Ltd</v>
      </c>
      <c r="I177" t="str">
        <v>SY (1950-1964); Yone  (1964-)</v>
      </c>
    </row>
    <row r="178">
      <c r="A178" t="str">
        <v>Y</v>
      </c>
      <c r="B178" t="str">
        <v>Yonezawa</v>
      </c>
      <c r="C178" t="str">
        <v>Yonezawa Toys Co Ltd</v>
      </c>
      <c r="D178" t="str">
        <v>No.16-6, Asakusabashi 3-Chrome, Taito-Ku, Tokyo</v>
      </c>
      <c r="E178" t="str">
        <v>Japan</v>
      </c>
    </row>
    <row r="179">
      <c r="A179" t="str">
        <v>KO inside losangle</v>
      </c>
      <c r="B179" t="str">
        <v>Yoshiya</v>
      </c>
      <c r="C179" t="str">
        <v>Yoshiya</v>
      </c>
      <c r="E179" t="str">
        <v>Japan</v>
      </c>
    </row>
  </sheetData>
  <autoFilter ref="A1:K158"/>
  <hyperlinks>
    <hyperlink ref="I120" r:id="rId1"/>
  </hyperlinks>
  <pageMargins left="0.7" right="0.7" top="0.75" bottom="0.75" header="0.3" footer="0.3"/>
  <ignoredErrors>
    <ignoredError numberStoredAsText="1" sqref="A1:L179"/>
  </ignoredErrors>
</worksheet>
</file>

<file path=xl/worksheets/sheet4.xml><?xml version="1.0" encoding="utf-8"?>
<worksheet xmlns="http://schemas.openxmlformats.org/spreadsheetml/2006/main" xmlns:r="http://schemas.openxmlformats.org/officeDocument/2006/relationships">
  <dimension ref="A2:H23"/>
  <sheetViews>
    <sheetView workbookViewId="0" rightToLeft="0"/>
  </sheetViews>
  <sheetData>
    <row r="2">
      <c r="A2" t="str">
        <v>Total number of toys:</v>
      </c>
      <c r="B2">
        <f>COUNT(brinquedos!A2:A5004)</f>
        <v>666</v>
      </c>
      <c r="G2" t="str">
        <v>TYPE</v>
      </c>
      <c r="H2" t="str">
        <v>TOPIC</v>
      </c>
    </row>
    <row r="3">
      <c r="A3" t="str">
        <v>Total number of books:</v>
      </c>
      <c r="B3">
        <f>COUNT(livros!A2:A1000)</f>
        <v>142</v>
      </c>
      <c r="G3" t="str">
        <v>Aircraft</v>
      </c>
      <c r="H3" t="str">
        <v>Animals</v>
      </c>
    </row>
    <row r="4">
      <c r="A4" t="str">
        <v>Total number of books with toys from the collection:</v>
      </c>
      <c r="B4">
        <f>COUNTA(livros!G2:G1000)</f>
        <v>129</v>
      </c>
      <c r="G4" t="str">
        <v>Animals</v>
      </c>
      <c r="H4" t="str">
        <v>Batman</v>
      </c>
    </row>
    <row r="5">
      <c r="A5" t="str">
        <v>Total number of manufacturers (in the collection):</v>
      </c>
      <c r="B5">
        <f>COUNTIF(fabricantes!B2:B999,"*")</f>
        <v>178</v>
      </c>
      <c r="G5" t="str">
        <v>Banks</v>
      </c>
      <c r="H5" t="str">
        <v>Character</v>
      </c>
    </row>
    <row r="6">
      <c r="A6" t="str">
        <v>Total number of toys manufactured by (choose trademark):</v>
      </c>
      <c r="B6">
        <f>COUNTIF(brinquedos!K2:K5004,Estatísticas!C6)</f>
        <v>46</v>
      </c>
      <c r="C6" t="str">
        <v>Osul</v>
      </c>
      <c r="G6" t="str">
        <v>Boats &amp; Ships</v>
      </c>
      <c r="H6" t="str">
        <v>Circus &amp; Clowns</v>
      </c>
    </row>
    <row r="7">
      <c r="A7" t="str">
        <v>Total number of manufacturers in (choose country):</v>
      </c>
      <c r="B7">
        <f>COUNTIF(fabricantes!E2:E498,Estatísticas!C7)</f>
        <v>8</v>
      </c>
      <c r="C7" t="str">
        <v>Portugal</v>
      </c>
      <c r="G7" t="str">
        <v>Carriages &amp; Cycles</v>
      </c>
      <c r="H7" t="str">
        <v>Fairground</v>
      </c>
    </row>
    <row r="8">
      <c r="G8" t="str">
        <v>Cars</v>
      </c>
      <c r="H8" t="str">
        <v>Far West</v>
      </c>
    </row>
    <row r="9">
      <c r="A9" t="str">
        <v>Total number of clockwork toys:</v>
      </c>
      <c r="B9">
        <f>COUNTIF(brinquedos!G2:G5004,Estatísticas!C9)</f>
        <v>373</v>
      </c>
      <c r="C9" t="str">
        <v>Clockwork</v>
      </c>
      <c r="G9" t="str">
        <v>Games</v>
      </c>
      <c r="H9" t="str">
        <v>Firefighting</v>
      </c>
    </row>
    <row r="10">
      <c r="A10" t="str">
        <v>Total number of friction toys:</v>
      </c>
      <c r="B10">
        <f>COUNTIF(brinquedos!G2:G5004,Estatísticas!C10)</f>
        <v>63</v>
      </c>
      <c r="C10" t="str">
        <v>Friction</v>
      </c>
      <c r="G10" t="str">
        <v>Military vehicles</v>
      </c>
      <c r="H10" t="str">
        <v>Games</v>
      </c>
    </row>
    <row r="11">
      <c r="A11" t="str">
        <v>Total number of battery toys:</v>
      </c>
      <c r="B11">
        <f>COUNTIF(brinquedos!G2:G5004,Estatísticas!C11)</f>
        <v>160</v>
      </c>
      <c r="C11" t="str">
        <v>Battery</v>
      </c>
      <c r="G11" t="str">
        <v>Motorcycles &amp; Scooters</v>
      </c>
      <c r="H11" t="str">
        <v>Garages &amp; Autoservice</v>
      </c>
    </row>
    <row r="12">
      <c r="A12" t="str">
        <v>Total number of toys (first) manufactured in (choose date)</v>
      </c>
      <c r="B12">
        <f>COUNTIF(brinquedos!M2:M5004,Estatísticas!C12)</f>
        <v>156</v>
      </c>
      <c r="C12">
        <v>1955</v>
      </c>
      <c r="G12" t="str">
        <v>Optical and Musical</v>
      </c>
      <c r="H12" t="str">
        <v>Military</v>
      </c>
    </row>
    <row r="13">
      <c r="A13" t="str">
        <v>Total number of toys with original box</v>
      </c>
      <c r="B13">
        <f>COUNTA(brinquedos!O2:O5004)</f>
        <v>263</v>
      </c>
      <c r="G13" t="str">
        <v>Others</v>
      </c>
      <c r="H13" t="str">
        <v>Miscellaneous</v>
      </c>
    </row>
    <row r="14">
      <c r="A14" t="str">
        <v>Total number of toys in (choose Excellent, Very Good, Good, Reasonable, or Poor) condition:</v>
      </c>
      <c r="B14">
        <f>COUNTIF(brinquedos!L2:L5004,Estatísticas!C14)</f>
        <v>321</v>
      </c>
      <c r="C14" t="str">
        <v>Excellent</v>
      </c>
      <c r="G14" t="str">
        <v>People</v>
      </c>
      <c r="H14" t="str">
        <v>Musical /Optical</v>
      </c>
    </row>
    <row r="15">
      <c r="A15" t="str">
        <v>Total number of toys by type (choose type):</v>
      </c>
      <c r="B15">
        <f>COUNTIF(brinquedos!D2:D5004,Estatísticas!C15)</f>
        <v>173</v>
      </c>
      <c r="C15" t="str">
        <v>People</v>
      </c>
      <c r="G15" t="str">
        <v>Robots</v>
      </c>
      <c r="H15" t="str">
        <v>Police</v>
      </c>
    </row>
    <row r="16">
      <c r="A16" t="str">
        <v>Total number of toys by topic (choose topic):</v>
      </c>
      <c r="B16">
        <f>COUNTIF(brinquedos!E2:E5004,Estatísticas!C16)</f>
        <v>70</v>
      </c>
      <c r="C16" t="str">
        <v>Professions/Industrial</v>
      </c>
      <c r="G16" t="str">
        <v>Space Vehicles</v>
      </c>
      <c r="H16" t="str">
        <v>Professions/Industrial</v>
      </c>
    </row>
    <row r="17">
      <c r="A17" t="str">
        <v>Total number of toys "made in U.S. Zone Germany"</v>
      </c>
      <c r="B17">
        <f>COUNTIF(brinquedos!V:V, "*Zone Germany*")</f>
        <v>31</v>
      </c>
      <c r="G17" t="str">
        <v>Spinning Tops &amp; Merry-go-Rounds</v>
      </c>
      <c r="H17" t="str">
        <v>Space / Sci-Fi</v>
      </c>
    </row>
    <row r="18">
      <c r="A18" t="str">
        <v>Total number of toys "made in Occupied Japan"</v>
      </c>
      <c r="B18">
        <f>COUNTIF(brinquedos!V:V, "*Occupied*")</f>
        <v>8</v>
      </c>
      <c r="G18" t="str">
        <v>Tracks /Platform base</v>
      </c>
      <c r="H18" t="str">
        <v>Sports &amp; Leisure</v>
      </c>
    </row>
    <row r="19">
      <c r="A19" t="str">
        <v>Total number of toys "made in China"</v>
      </c>
      <c r="B19">
        <f>COUNTIF(brinquedos!V:V, "*China*")</f>
        <v>18</v>
      </c>
      <c r="G19" t="str">
        <v>Trains</v>
      </c>
      <c r="H19" t="str">
        <v>Star Wars</v>
      </c>
    </row>
    <row r="20">
      <c r="G20" t="str">
        <v>Vans/Buses &amp;Trucks</v>
      </c>
      <c r="H20" t="str">
        <v>Travel &amp; Transport</v>
      </c>
    </row>
    <row r="21">
      <c r="A21" t="str">
        <v>Total cost of the collection (€)</v>
      </c>
      <c r="B21">
        <f>SUM(brinquedos!P:P)</f>
        <v>30906.399999999998</v>
      </c>
    </row>
    <row r="22">
      <c r="A22" t="str">
        <v>Average cost per toy (€) (only considers toys w/ cost &gt;0)</v>
      </c>
      <c r="B22">
        <f>AVERAGE(brinquedos!P:P)</f>
        <v>216.12867132867132</v>
      </c>
    </row>
    <row r="23">
      <c r="A23" t="str">
        <v>Total number of toys that costed (choose €) or more</v>
      </c>
      <c r="B23">
        <f>COUNTIF(brinquedos!P:P, "&gt;="&amp;C23)</f>
        <v>13</v>
      </c>
      <c r="C23">
        <v>700</v>
      </c>
    </row>
  </sheetData>
  <pageMargins left="0.7" right="0.7" top="0.75" bottom="0.75" header="0.3" footer="0.3"/>
  <ignoredErrors>
    <ignoredError numberStoredAsText="1" sqref="A2:H2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brinquedos</vt:lpstr>
      <vt:lpstr>livros</vt:lpstr>
      <vt:lpstr>fabricantes</vt:lpstr>
      <vt:lpstr>Estatísticas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2026-06-06T09:19:14Z</dcterms:modified>
</cp:coreProperties>
</file>