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filterPrivacy="1"/>
  <xr:revisionPtr revIDLastSave="0" documentId="13_ncr:1_{31C651A4-4E5E-4CDE-A688-513605CE19AD}" xr6:coauthVersionLast="47" xr6:coauthVersionMax="47" xr10:uidLastSave="{00000000-0000-0000-0000-000000000000}"/>
  <bookViews>
    <workbookView xWindow="0" yWindow="878" windowWidth="18637" windowHeight="11827" xr2:uid="{00000000-000D-0000-FFFF-FFFF00000000}"/>
  </bookViews>
  <sheets>
    <sheet name="brinquedos" sheetId="1" r:id="rId1"/>
    <sheet name="livros" sheetId="2" r:id="rId2"/>
    <sheet name="fabricantes" sheetId="3" r:id="rId3"/>
    <sheet name="Estatísticas" sheetId="4" r:id="rId4"/>
  </sheets>
  <definedNames>
    <definedName name="_xlnm._FilterDatabase" localSheetId="0" hidden="1">brinquedos!$A$1:$Z$666</definedName>
    <definedName name="_xlnm._FilterDatabase" localSheetId="2" hidden="1">fabricantes!$A$1:$K$158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4" l="1"/>
  <c r="B23" i="4"/>
  <c r="B22" i="4"/>
  <c r="B21" i="4"/>
  <c r="B16" i="4"/>
  <c r="B15" i="4"/>
  <c r="B7" i="4"/>
  <c r="B6" i="4"/>
  <c r="B4" i="4"/>
  <c r="B13" i="4"/>
  <c r="B12" i="4"/>
  <c r="B11" i="4"/>
  <c r="B10" i="4"/>
  <c r="B9" i="4"/>
  <c r="B2" i="4"/>
  <c r="B5" i="4"/>
  <c r="B3" i="4"/>
  <c r="B19" i="4" l="1"/>
  <c r="B18" i="4"/>
  <c r="B1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A1EB42A-53E3-4081-9CED-20E6ADD36D0E}" keepAlive="1" name="Query - Table1" description="Connection to the 'Table1' query in the workbook." type="5" refreshedVersion="0" background="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<sst xmlns="http://schemas.openxmlformats.org/spreadsheetml/2006/main" count="12000" uniqueCount="6693">
  <si>
    <t>No.</t>
  </si>
  <si>
    <t>Obs.</t>
  </si>
  <si>
    <t>Les Jouets Mechaniques 1860-1960</t>
  </si>
  <si>
    <t>Pierre Marie Favelac</t>
  </si>
  <si>
    <t>Ch. Massin</t>
  </si>
  <si>
    <t>12, 16, 23, 24, 25, 27, 28, 31, 35</t>
  </si>
  <si>
    <t>Gordon Gardiner &amp; Richard O'Neill</t>
  </si>
  <si>
    <t>Salamander Books</t>
  </si>
  <si>
    <t>London / UK</t>
  </si>
  <si>
    <t>The Collector's All-Colour Guide to Transport Toys</t>
  </si>
  <si>
    <t>32, 56, 59, 114, 116, 117</t>
  </si>
  <si>
    <t>The All-Colour Directory of Metal Toys</t>
  </si>
  <si>
    <t>Gordon Gardiner and Richard O'Neill</t>
  </si>
  <si>
    <t>16, 19, 21, 22, 23, 24, 25, 74, 79, 81, 82, 136, 139, 177</t>
  </si>
  <si>
    <t>Batman Collected</t>
  </si>
  <si>
    <t>Bulfinch Press</t>
  </si>
  <si>
    <t>Chip Kidd and Geoff Spear</t>
  </si>
  <si>
    <t>Boston / USA</t>
  </si>
  <si>
    <t>221, 258, 265</t>
  </si>
  <si>
    <t>Autocars &amp; Autobus</t>
  </si>
  <si>
    <t>Mick Duprat et Philippe Moro</t>
  </si>
  <si>
    <t>Editions Retroviseur</t>
  </si>
  <si>
    <t>Les Jouets C. Rossignol</t>
  </si>
  <si>
    <t>Mick Duprat</t>
  </si>
  <si>
    <t>Massin Editeur</t>
  </si>
  <si>
    <t>Jouef La Passion des Jouets</t>
  </si>
  <si>
    <t>Daniel Bonnet, Patrick Broguière, Thierry Delcourt, Christian Fausser</t>
  </si>
  <si>
    <t>Du May, E-T-A-I</t>
  </si>
  <si>
    <t>9, 12, 16, 131</t>
  </si>
  <si>
    <t>The Penny Bank Book</t>
  </si>
  <si>
    <t>Andy and Susan Moore</t>
  </si>
  <si>
    <t>Schiffer Publishing Co.</t>
  </si>
  <si>
    <t>Exton, Penn / USA</t>
  </si>
  <si>
    <t>Arnold</t>
  </si>
  <si>
    <t>BS</t>
  </si>
  <si>
    <t>Berkenkamp &amp; Schleuter</t>
  </si>
  <si>
    <t>Biller</t>
  </si>
  <si>
    <t>Hans Biller</t>
  </si>
  <si>
    <t>B&amp;S</t>
  </si>
  <si>
    <t>Blomer &amp; Schuler</t>
  </si>
  <si>
    <t>LBZ</t>
  </si>
  <si>
    <t>KBN</t>
  </si>
  <si>
    <t>Karl Bub</t>
  </si>
  <si>
    <t>Distler</t>
  </si>
  <si>
    <t>Johann Distler KG</t>
  </si>
  <si>
    <t>KD</t>
  </si>
  <si>
    <t>Konrad Dressler oHG</t>
  </si>
  <si>
    <t>ERCO</t>
  </si>
  <si>
    <t>Leonhard Erdel &amp; Co.</t>
  </si>
  <si>
    <t>GF</t>
  </si>
  <si>
    <t>Georg Fischer</t>
  </si>
  <si>
    <t>GAMA</t>
  </si>
  <si>
    <t>B</t>
  </si>
  <si>
    <t>Georg Adam Mangold</t>
  </si>
  <si>
    <t>HG</t>
  </si>
  <si>
    <t>Hans Geiger</t>
  </si>
  <si>
    <t>Gescha</t>
  </si>
  <si>
    <t>Lorenz Bolz</t>
  </si>
  <si>
    <t>Gebruder Schmid</t>
  </si>
  <si>
    <t>Bub</t>
  </si>
  <si>
    <t>Dressler, Konrad</t>
  </si>
  <si>
    <t>Fischer, Georg</t>
  </si>
  <si>
    <t>GOSO</t>
  </si>
  <si>
    <t>Christian Gotz &amp; Sohn GmbH</t>
  </si>
  <si>
    <t>Karl Arnold GmbH &amp; Co. KG</t>
  </si>
  <si>
    <t>SG</t>
  </si>
  <si>
    <t>Gunthermann</t>
  </si>
  <si>
    <t>Siegfried Gunthermann</t>
  </si>
  <si>
    <t>HK</t>
  </si>
  <si>
    <t>Hammerer &amp; Kuhlvein</t>
  </si>
  <si>
    <t>Johann Hammerer &amp; Kuhlvein</t>
  </si>
  <si>
    <t>HB</t>
  </si>
  <si>
    <t>Hosch &amp; Bechmann</t>
  </si>
  <si>
    <t>JH</t>
  </si>
  <si>
    <t>Johann Hofler</t>
  </si>
  <si>
    <t>HUKI</t>
  </si>
  <si>
    <t>Hubert Kienberger KG</t>
  </si>
  <si>
    <t>Geiger, Hans</t>
  </si>
  <si>
    <t>JNF</t>
  </si>
  <si>
    <t>Josef  Neuhirl</t>
  </si>
  <si>
    <t>Keim</t>
  </si>
  <si>
    <t>Keim &amp; Co. AG</t>
  </si>
  <si>
    <t>CKO</t>
  </si>
  <si>
    <t>Kellermann</t>
  </si>
  <si>
    <t>Georg Kellermann &amp; Co.</t>
  </si>
  <si>
    <t>EPL</t>
  </si>
  <si>
    <t>Lehmann</t>
  </si>
  <si>
    <t>Ernst Paul Lehmann</t>
  </si>
  <si>
    <t>MS-VEB</t>
  </si>
  <si>
    <t>VEB Mechanische Spielwaren</t>
  </si>
  <si>
    <t>MT</t>
  </si>
  <si>
    <t>Modern Toys</t>
  </si>
  <si>
    <t>NBN</t>
  </si>
  <si>
    <t>Nurnberger Bleschspielwarenfabrik GmbH</t>
  </si>
  <si>
    <t>PN</t>
  </si>
  <si>
    <t>Philipp Niedermeier</t>
  </si>
  <si>
    <t>KRZ</t>
  </si>
  <si>
    <t>SCHOPPER</t>
  </si>
  <si>
    <t>Johann Georg Schopper KG</t>
  </si>
  <si>
    <t>Schuco</t>
  </si>
  <si>
    <t>Schreyer &amp; Co.</t>
  </si>
  <si>
    <t>MS</t>
  </si>
  <si>
    <t>Seidel, Michael</t>
  </si>
  <si>
    <t>Michael Seidel</t>
  </si>
  <si>
    <t>STRENCO</t>
  </si>
  <si>
    <t>L. Streng &amp; Co.</t>
  </si>
  <si>
    <t>Technofix</t>
  </si>
  <si>
    <t>Gebruder Einfalt GmbH</t>
  </si>
  <si>
    <t>TCO</t>
  </si>
  <si>
    <t>Tipp &amp; Co.</t>
  </si>
  <si>
    <t>Tippco</t>
  </si>
  <si>
    <t>FV</t>
  </si>
  <si>
    <t>Fritz &amp; Voit</t>
  </si>
  <si>
    <t>Fritz und Erwin Voit</t>
  </si>
  <si>
    <t>HWN</t>
  </si>
  <si>
    <t>Wimmer, Heinrich</t>
  </si>
  <si>
    <t>Heinrich Wimmer oHG</t>
  </si>
  <si>
    <t>WUCO</t>
  </si>
  <si>
    <t>Fritz Wunnerlein &amp; Co.</t>
  </si>
  <si>
    <t>R</t>
  </si>
  <si>
    <t>Ruhl, Robert</t>
  </si>
  <si>
    <t>Robert Ruhl</t>
  </si>
  <si>
    <t>HPZ</t>
  </si>
  <si>
    <t>Hans Prottengeier</t>
  </si>
  <si>
    <t>MNN</t>
  </si>
  <si>
    <t>Michael Nusslein</t>
  </si>
  <si>
    <t>Hausmann, Emil</t>
  </si>
  <si>
    <t>Alps</t>
  </si>
  <si>
    <t>ATC</t>
  </si>
  <si>
    <t>Asahi</t>
  </si>
  <si>
    <t>BC</t>
  </si>
  <si>
    <t>Bandai</t>
  </si>
  <si>
    <t>Bing</t>
  </si>
  <si>
    <t>Gebruder Bing</t>
  </si>
  <si>
    <t>BW</t>
  </si>
  <si>
    <t>Bolz</t>
  </si>
  <si>
    <t>Congost</t>
  </si>
  <si>
    <t>Marx</t>
  </si>
  <si>
    <t>Dux</t>
  </si>
  <si>
    <t>Markes &amp; Co.</t>
  </si>
  <si>
    <t>Eberl</t>
  </si>
  <si>
    <t>HEN</t>
  </si>
  <si>
    <t>Hans Eberl</t>
  </si>
  <si>
    <t>Essdee</t>
  </si>
  <si>
    <t>MFZ</t>
  </si>
  <si>
    <t>Geyper</t>
  </si>
  <si>
    <t>Geyper S.A. Indestrias</t>
  </si>
  <si>
    <t>Rico</t>
  </si>
  <si>
    <t>Hofler</t>
  </si>
  <si>
    <t>SH</t>
  </si>
  <si>
    <t>Horikawa</t>
  </si>
  <si>
    <t>Horikawa Toys</t>
  </si>
  <si>
    <t>JAJ</t>
  </si>
  <si>
    <t>Issmayer</t>
  </si>
  <si>
    <t>Joustra</t>
  </si>
  <si>
    <t>Jouets de Strasbourg</t>
  </si>
  <si>
    <t>Kanto</t>
  </si>
  <si>
    <t>GKN</t>
  </si>
  <si>
    <t>Gely</t>
  </si>
  <si>
    <t>Linemar</t>
  </si>
  <si>
    <t>Linemar Toys</t>
  </si>
  <si>
    <t>Triang</t>
  </si>
  <si>
    <t>Lines Brothers</t>
  </si>
  <si>
    <t>METTOY</t>
  </si>
  <si>
    <t>PH</t>
  </si>
  <si>
    <t>Paya</t>
  </si>
  <si>
    <t>SFA</t>
  </si>
  <si>
    <t>Société Industrielle de Ferblanterie</t>
  </si>
  <si>
    <t>Stock</t>
  </si>
  <si>
    <t>Stock &amp; Co.</t>
  </si>
  <si>
    <t>Sutcliffe</t>
  </si>
  <si>
    <t>Sutcliffe Pressings Ltd</t>
  </si>
  <si>
    <t>Taiyo</t>
  </si>
  <si>
    <t>TN</t>
  </si>
  <si>
    <t>Nomura</t>
  </si>
  <si>
    <t>TPS</t>
  </si>
  <si>
    <t>Y</t>
  </si>
  <si>
    <t>Yonezawa</t>
  </si>
  <si>
    <t>Yoneya</t>
  </si>
  <si>
    <t>Yoneya Toys Co. Ltd</t>
  </si>
  <si>
    <t>Alps Shoji Co. Ltd</t>
  </si>
  <si>
    <t>Asahi Gangu Sesakusho</t>
  </si>
  <si>
    <t>CK</t>
  </si>
  <si>
    <t>Kuramochi</t>
  </si>
  <si>
    <t>Kuramochi Shoten</t>
  </si>
  <si>
    <t>DAIYA</t>
  </si>
  <si>
    <t>Daiya</t>
  </si>
  <si>
    <t>Terai Shoten</t>
  </si>
  <si>
    <t>Kanto Toys Co. Ltd</t>
  </si>
  <si>
    <t>Mikuni</t>
  </si>
  <si>
    <t>Mikuni Sangyo</t>
  </si>
  <si>
    <t>Masudaya Saito Bokei</t>
  </si>
  <si>
    <t>S&amp;E</t>
  </si>
  <si>
    <t>Susuki &amp; Eduards</t>
  </si>
  <si>
    <t>Susuki &amp; Eduards Co. Ltd</t>
  </si>
  <si>
    <t>SAN</t>
  </si>
  <si>
    <t>Marusan</t>
  </si>
  <si>
    <t>Marusan Shoten</t>
  </si>
  <si>
    <t>Taiyo Shokai</t>
  </si>
  <si>
    <t>Nomura Toy Industrial Co. Ltd</t>
  </si>
  <si>
    <t>Tokyo Plaything Shokai</t>
  </si>
  <si>
    <t>WK</t>
  </si>
  <si>
    <t>42, 61, 77, 102, 107</t>
  </si>
  <si>
    <t>Nicolas Léonard</t>
  </si>
  <si>
    <t>Du May</t>
  </si>
  <si>
    <t>Boulogne- Billacourt / França</t>
  </si>
  <si>
    <t>5, 15, 17, 18, 19, 20, 21, 23, 24, 25,26, 32, 33, 34, 35, 42, 43, 44, 70, 71, 160, 161, 191, 233</t>
  </si>
  <si>
    <t>O Brinquedo em Portugal</t>
  </si>
  <si>
    <t>Carlos Anjos e João Arbués Moreira</t>
  </si>
  <si>
    <t xml:space="preserve">Livraria Civilização </t>
  </si>
  <si>
    <t>Porto / Portugal</t>
  </si>
  <si>
    <t>48, 53, 54</t>
  </si>
  <si>
    <t>Spielzeug aus dem 20. Jahrhundert</t>
  </si>
  <si>
    <t>James Opie, Duncan Chilcott, Julia Harris</t>
  </si>
  <si>
    <t>Karl Muller Verlag</t>
  </si>
  <si>
    <t>32, 36</t>
  </si>
  <si>
    <t>The Illustrated Directory of Toys</t>
  </si>
  <si>
    <t>Wallace &amp; Wexler</t>
  </si>
  <si>
    <t>Collin Gower Enterprises Ltd</t>
  </si>
  <si>
    <t>Leeds /UK</t>
  </si>
  <si>
    <t>309, 387, 508, 509, 642, 643, 644, 648, 649, 658, 659</t>
  </si>
  <si>
    <t>Au Plaisir des Jouets</t>
  </si>
  <si>
    <t>Claude Duneton</t>
  </si>
  <si>
    <t>Editions Hoebeke</t>
  </si>
  <si>
    <t>117, 135</t>
  </si>
  <si>
    <t>A Century of Toys from the London Toy &amp; Doll Museum</t>
  </si>
  <si>
    <t>Michael Egley International Pty Ltd</t>
  </si>
  <si>
    <t>UK</t>
  </si>
  <si>
    <t>23, 56, 59, 65</t>
  </si>
  <si>
    <t>The Encyclopedia of Toys</t>
  </si>
  <si>
    <t>Constance Eileen King</t>
  </si>
  <si>
    <t>Robert Hale Ltd.</t>
  </si>
  <si>
    <t>93, 167, 168, 173, 183, 188, 189, 190</t>
  </si>
  <si>
    <t>Les Jouets Anciens</t>
  </si>
  <si>
    <t>Clive Lamming</t>
  </si>
  <si>
    <t>Editions Atlas</t>
  </si>
  <si>
    <t>48, 49, 97, 122, 206</t>
  </si>
  <si>
    <t>Yesterday of Toys - Tin Toy Variety</t>
  </si>
  <si>
    <t>Teruhisa Kitahara (ed.)</t>
  </si>
  <si>
    <t>Tokyo / Japan</t>
  </si>
  <si>
    <t>Graphic-sha Publishing Co. Ltd</t>
  </si>
  <si>
    <t>43, 45, 46, 47, 48, 55, 57, 66, 98</t>
  </si>
  <si>
    <t>Yesterday of Toys - Celluloids</t>
  </si>
  <si>
    <t>Yesterday of Toys - SF &amp; Robots</t>
  </si>
  <si>
    <t>Mechanical Toys</t>
  </si>
  <si>
    <t>Charles Bartholomew</t>
  </si>
  <si>
    <t>Chartweil Books Inc.</t>
  </si>
  <si>
    <t>Secausus, NJ /USA</t>
  </si>
  <si>
    <t>25, 49, 50, 51, 66, 94, 99, 119, 131, 134, 135, 139, 141, 145, 147</t>
  </si>
  <si>
    <t>DDR Spielzeug</t>
  </si>
  <si>
    <t>Bernd Havenstein</t>
  </si>
  <si>
    <t>KOMET Verlag GmbH</t>
  </si>
  <si>
    <t>Lexicon der Deutschen Blechspielzeug-Industrie</t>
  </si>
  <si>
    <t>Jurgen &amp; Marianne Cieslik</t>
  </si>
  <si>
    <t>Verlag Marianne Cieslik</t>
  </si>
  <si>
    <t>Des Jouets et des Hommes</t>
  </si>
  <si>
    <t xml:space="preserve"> Éditions de la Rmn-Grand Palais</t>
  </si>
  <si>
    <t>Battery Toys</t>
  </si>
  <si>
    <t>Brian Moran</t>
  </si>
  <si>
    <t>21, 22, 24, 25, 26, 27, 28, 30, 31, 32, 33, 34, 35, 37, 39, 40, 41, 43, 44, 45, 47, 48, 52, 53, 54, 57, 58, 59, 60, 61, 62, 63, 64, 65, 66, 67, 69, 72, 77, 81, 82, 85, 89, 93, 120, 122, 123, 126, 148, 159</t>
  </si>
  <si>
    <t xml:space="preserve">Collecting the Tin Toy Car </t>
  </si>
  <si>
    <t>Dale Kelly</t>
  </si>
  <si>
    <t>New Cavendish Books</t>
  </si>
  <si>
    <t>London /UK</t>
  </si>
  <si>
    <t>11, 42,  146, 160, 162, 167, 179, 185, 192, 195</t>
  </si>
  <si>
    <t>Toy Cars of Japan and Hong Kong</t>
  </si>
  <si>
    <t>Andrew G Ralston</t>
  </si>
  <si>
    <t>Atglen, Penn / USA</t>
  </si>
  <si>
    <t>Tomiyama</t>
  </si>
  <si>
    <t>Martin Fuchs</t>
  </si>
  <si>
    <t>EHN</t>
  </si>
  <si>
    <t>Luís Congost, SA</t>
  </si>
  <si>
    <t>anos 1950</t>
  </si>
  <si>
    <t>Inicialmente, calle Numancia nº. 73 de Barcelona, depois mudou para Prenafeta, perto de Montblanc (Tarragona).</t>
  </si>
  <si>
    <t xml:space="preserve">Fabricava os seus próprios produtos e representava a Mattel (a partir de 1975), bem como a Tomy e Revell (durante 12 anos).Também tinha licenças da Disney o Barrio Sésamo. Durante esta época de expansão, abriu uma fábrica em França (Congost France, S.A.) e tinha representações nos USA e Alemanha. Após a more do fundador tornou-se uma empresa de plásticos para a indústrias (Congost Plastic, S.A.) com instalações em Santa Eulalia de Ronçana (Barcelona). Depois mudou para TECNITOYS JUGUETES SA (já extinta). </t>
  </si>
  <si>
    <t> Lluis Congost (n.1913, f. 1990)</t>
  </si>
  <si>
    <t>97, 106, 123, 156, 168, 173, 237, 238</t>
  </si>
  <si>
    <t>Japanese Toys</t>
  </si>
  <si>
    <t>William C Gallagher</t>
  </si>
  <si>
    <t>Modern Toys from Japan</t>
  </si>
  <si>
    <t>The Collector's Encyclopedia of Disneyana</t>
  </si>
  <si>
    <t>David Longest and Michael Stern</t>
  </si>
  <si>
    <t>Collectors Books /Schroeder Publishing Co. Inc</t>
  </si>
  <si>
    <t>Paducah, KY /USA</t>
  </si>
  <si>
    <t>163, 191, 196, 204</t>
  </si>
  <si>
    <t>12, 42, 45, 48, 52, 62, 67, 68, 80, 93, 97, 100, 107, 110, 116, 118, 119, 130, 136, 163, 164, 171, 172, 173, 175, 176, 177, 180, 189, 191, 197, 199, 200, 201, 202, 203, 204, , 209, 240, 253</t>
  </si>
  <si>
    <t>The Bank Book</t>
  </si>
  <si>
    <t>Bill Norman</t>
  </si>
  <si>
    <t>Accent Studios</t>
  </si>
  <si>
    <t>Dan Diego CA /USA</t>
  </si>
  <si>
    <t>18, 26, 27, 28, 31,32, 46, 47, 74, 75, 80, 84, 104, 111, 112, 128, 129, 130, 131, 132, 135, 137, 159, 170, 172, 173, 175, 179, 185, 194, 195, 199, 200, 201, 203, 205, 206, 207, 208, 214, 215, 230, 231, 232, 233, 234, 235, 236, 240, 241, 245, 250, 283, 284, 285, 288, 322, 328, 348, 364, 373, 374, 375, 376, 377, 378, 385, 388, 389, 390, 392, 394, 396, 397, 398, 399, 409, 423, 426, 448, 467, 469, 474, 482</t>
  </si>
  <si>
    <t>50, 77, 114, 118</t>
  </si>
  <si>
    <t>Post-War Tin Toys</t>
  </si>
  <si>
    <t>Jack Tempest</t>
  </si>
  <si>
    <t>The Apple Press</t>
  </si>
  <si>
    <t>2, 8, 9, 12, 16, 17, 22, 23, 24, 25, 26, 27, 28, 29, 31, 32, 36, 38, 39, 41, 43, 45, 47, 48, 52, 53, 66, 67, 72, 76, 77, 79, 80, 81, 84, 90, 91, 92, 94, 102, 103104, 105, 111, 113</t>
  </si>
  <si>
    <t>Les Jouets Japonais</t>
  </si>
  <si>
    <t>Jacky Broutin</t>
  </si>
  <si>
    <t>Anamorphose</t>
  </si>
  <si>
    <t>Avrigny / France</t>
  </si>
  <si>
    <t>11, 12, 21, 24, 25, 26, 27, 29, 32, 35, 36, 37, 38, 45, 50, 60, 88, 102, 105, 106, 109, 125, 126, 127, 131, 133, 135</t>
  </si>
  <si>
    <t>Youpi, C'est Jeudi</t>
  </si>
  <si>
    <t>François Bertin</t>
  </si>
  <si>
    <t>Éditions Ouest-France</t>
  </si>
  <si>
    <t>20, 24, 36, 40, 41, 44, 61, 72, 87, 108, 118, 119, 132, 133, 134, 135, 137</t>
  </si>
  <si>
    <t>Electa</t>
  </si>
  <si>
    <t>Giocattoli Italiani in Metallo 1908-1955</t>
  </si>
  <si>
    <t>Milano /Italy</t>
  </si>
  <si>
    <t>France</t>
  </si>
  <si>
    <t>Guido Cecere e Dario Cimorelli</t>
  </si>
  <si>
    <t>42, 119, 162</t>
  </si>
  <si>
    <t>Greenberg's Guide to Marx Toys vol.1</t>
  </si>
  <si>
    <t>Maxine  A Pinsky</t>
  </si>
  <si>
    <t>Greenberg Publishing Co.</t>
  </si>
  <si>
    <t>Sykesville MD /USA</t>
  </si>
  <si>
    <t>13, 50, 66, 74, 83, 89, 99</t>
  </si>
  <si>
    <t>33, 117, 125</t>
  </si>
  <si>
    <t>Marx Toys: Robots, Space &amp; Comic Characters</t>
  </si>
  <si>
    <t>35, 57, 68, 85, 92, 124, 131, 139, 140, 148</t>
  </si>
  <si>
    <t>Collector's Guide to TV Toys and Memorablia</t>
  </si>
  <si>
    <t>Greg Davis and Bill Morgan</t>
  </si>
  <si>
    <t>The Big Book of Tin Toy Cars</t>
  </si>
  <si>
    <t>Ron Smith &amp; William C. Gallagher</t>
  </si>
  <si>
    <t>64, 76, 83, 108, 110, 147, 148, 150, 154, 178, 181</t>
  </si>
  <si>
    <t>Toys from Occupied Japan</t>
  </si>
  <si>
    <t>Anthony R Marsella</t>
  </si>
  <si>
    <t>79, 84, 90, 112</t>
  </si>
  <si>
    <t>Metal Toys from Nuremberg</t>
  </si>
  <si>
    <t>Gerhard Walter</t>
  </si>
  <si>
    <t>43, 50, 55, 61, 63, 67, 70, 74, 75, 133</t>
  </si>
  <si>
    <t>The Unauthorized Batman Collector's Guide</t>
  </si>
  <si>
    <t>Alan J Porter</t>
  </si>
  <si>
    <t>62, 67, 70, 85, 93</t>
  </si>
  <si>
    <t>Collecting Star Wars  Toys</t>
  </si>
  <si>
    <t>Jeffrey B Snyder</t>
  </si>
  <si>
    <t>6, 32, 33, 41, 77, 78, 79, 80, 82, 93, 94, 100, 101, 109, 110</t>
  </si>
  <si>
    <t>Collecting Toy Airplanes</t>
  </si>
  <si>
    <t>Ron Smith</t>
  </si>
  <si>
    <t>Books Americana</t>
  </si>
  <si>
    <t>Florence, AL /USA</t>
  </si>
  <si>
    <t>99, 120, 131, 133, 162, 171</t>
  </si>
  <si>
    <t>Avions Jouets 1945-1970</t>
  </si>
  <si>
    <t>Frédéric Marchand</t>
  </si>
  <si>
    <t>Éditions Langlaude</t>
  </si>
  <si>
    <t>Paris /France</t>
  </si>
  <si>
    <t>83, 92, 96, 127, 128, 145, 164, 165, 166, 187, 190, 192, 204, 205, 207</t>
  </si>
  <si>
    <t>Fire Fighting Toys 1940s-1990s</t>
  </si>
  <si>
    <t>James G Piatti and Sandra Frost Piatti</t>
  </si>
  <si>
    <t>American Tin-Litho Toys</t>
  </si>
  <si>
    <t>Lisa Kerr</t>
  </si>
  <si>
    <t>Collectors Press</t>
  </si>
  <si>
    <t>Portland, OR /USA</t>
  </si>
  <si>
    <t>89, 90, 94, 97, 105, 132</t>
  </si>
  <si>
    <t>Trodler &amp; Sammeln Bleschspielzeug</t>
  </si>
  <si>
    <t>Reicherthausen /Germany</t>
  </si>
  <si>
    <t>Gemi Verlags GmBH</t>
  </si>
  <si>
    <t>14, 21, 25, 38, 42, 43, 66, 67, 70, 71, 72, 74, 83, 86, 87, 88, 89, 90, 91, 92, 93, 94, 95, 96, 97, 99, 100, 101, 103, 116, 118, 119, 120, 121, 126, 127, 128, 129, 130, 131, 136, 137, 144, 152, 159, 163, 166, 167, 180, 182, 183, 184, 185, 186</t>
  </si>
  <si>
    <t>Motorcycle Toys Antique and Contemporary</t>
  </si>
  <si>
    <t>Sally Gibson-Downs and Christine Gentry</t>
  </si>
  <si>
    <t>48, 49, 57, 61, 64, 69, 70, 75, 77, 79, 93, 101, 103, 106, 108, 110, 112</t>
  </si>
  <si>
    <t>Tinplate Toys from Schuco, Bing &amp; Other Companies</t>
  </si>
  <si>
    <t>Jurgen Franzke (ed.)</t>
  </si>
  <si>
    <t>17, 19, 20, 21, 23, 28, 29, 35, 68, 69, 75, 86, 87, 93, 99, 103, 105</t>
  </si>
  <si>
    <t>Mechanical Clowns on Tour</t>
  </si>
  <si>
    <t>Reinhold Blechner</t>
  </si>
  <si>
    <t>Verlag Puppen &amp; Spielzeug</t>
  </si>
  <si>
    <t>Duisburg /Germany</t>
  </si>
  <si>
    <t>12, 13, 18, 21, 34, 37, 40, 42, 50, 57, 58, 59, 60, 61, 63, 64, 68, 70, 83</t>
  </si>
  <si>
    <t>"Technofix" History and Products</t>
  </si>
  <si>
    <t>Dieter Warnecke</t>
  </si>
  <si>
    <t>17, 30, 31, 33, 41, 42, 44, 70, 71, 72, 73, 74, 75, 76, 77, 78, 79, 80, 81, 82, 83, 84, 85, 86, 87, 88, 89, 90, 91, 92, 93, 94, 95, 96, 97, 98</t>
  </si>
  <si>
    <t>Unique</t>
  </si>
  <si>
    <t>Unique Art</t>
  </si>
  <si>
    <t>Unique Art Manufacturing Company</t>
  </si>
  <si>
    <t>Collector's Guide to Battery Toys</t>
  </si>
  <si>
    <t>Don Hultzman</t>
  </si>
  <si>
    <t>16, 19, 20, 26, 27, 28, 29, 33, 34, 36, 37, 38, 39, 44, 45, 51, 53, 55, 56, 57, 62, 63, 64, 66, 68, 69, 72, 74, 75, 76, 80, 82, 83, 85, 87, 88, 89, 91, 92, 93, 94, 95, 96, 97, 98, 100, 101, 102, 103, 105, 111, 115, 117, 118, 119, 120, 121, 122, 123, 124, 130, 132, 133, 137, 139, 141, 147, 149, 150, 151, 157, 158, 162, 163, 166, 168, 169, 174, 177, 179, 180, 181, 184, 185, 186, 185, 190, 191, 196, 197, 199, 200, 201, 206</t>
  </si>
  <si>
    <t>Carriages Cars and Cycles</t>
  </si>
  <si>
    <t>Jac and Frédéric Remise</t>
  </si>
  <si>
    <t xml:space="preserve">Édita </t>
  </si>
  <si>
    <t>39, 40, 222</t>
  </si>
  <si>
    <t>Toy Autos 1890-1939</t>
  </si>
  <si>
    <t>Peter Ottenheimer</t>
  </si>
  <si>
    <t>Victor Gollancz Ltd</t>
  </si>
  <si>
    <t>The Dream Machines</t>
  </si>
  <si>
    <t>Gerhard G Walter</t>
  </si>
  <si>
    <t>29, 46, 50, 51, 61, 63, 71, 75, 80, 84, 88, 95, 96, 99, 100, 102, 105, 109, 110, 111, 112, 118, 129, 134,140, 141, 145, 146, 147, 149, 150, 151, 152, 154, 156, 157, 159, 160(?), 161, 162, 163, 164, 165, 169, 171, 172, 174, 175, 176, 177, 178, 179, 180, 181</t>
  </si>
  <si>
    <t>Lehmann Toys</t>
  </si>
  <si>
    <t>15, 54, 57, 58, 59, 60, 61, 62, 64, 65, 66, 117, 118, 119, 121, 123, 124, 125, 139, 140, 154, 162, 175, 181, 183, 193, 194, 195, 196, 197, 198, 200, 201, 202, 206, 207, 208, 209, 210</t>
  </si>
  <si>
    <t xml:space="preserve">49, 72, 130, 131,132, 133, 134, 137, 199, 221, 228, 232, 234, 289, 298, 308 </t>
  </si>
  <si>
    <t>47, 63, 66, 73, 91</t>
  </si>
  <si>
    <t>Collecting Toys for Fun and Profit</t>
  </si>
  <si>
    <t>William C Ketchum Jr.</t>
  </si>
  <si>
    <t>HPBooks</t>
  </si>
  <si>
    <t>Tucson, AZ / USA</t>
  </si>
  <si>
    <t>7, 24, 33, 74, 75</t>
  </si>
  <si>
    <t>The Guide to Mechanical Toy Collecting</t>
  </si>
  <si>
    <t>Martyn L Schorr</t>
  </si>
  <si>
    <t>Performance Media</t>
  </si>
  <si>
    <t>Haworth, NJ /USA</t>
  </si>
  <si>
    <t>18, 19, 20, 21, 26, 28, 29, 34, 35, 37, 40, 41, 42, 44, 46, 49, 52, 54, 57, 58, 60, 61, 62, 64</t>
  </si>
  <si>
    <t>Toys from the Sixties - A Pictorial Guide</t>
  </si>
  <si>
    <t>Bill Bruegman</t>
  </si>
  <si>
    <t>Toy Scouts Inc</t>
  </si>
  <si>
    <t>Akron, OH /USA</t>
  </si>
  <si>
    <t>80, 87, 106</t>
  </si>
  <si>
    <t>Le Guidargus des Jouets de Collection</t>
  </si>
  <si>
    <t>FrançoisTheimer</t>
  </si>
  <si>
    <t>Les Éditions de l'Amateur</t>
  </si>
  <si>
    <t xml:space="preserve">22, 48, 49, 51, 59, 62, 65, 67, 69, 71, 72, 73, 74, 77, 80, 82, 91, 97, 104, 107, 109, 110, 117, 125, 129, 141, 148, 155, 169, 170, 183, 188, 192 </t>
  </si>
  <si>
    <t>Paris / France</t>
  </si>
  <si>
    <t>Lausanne /Switzerland</t>
  </si>
  <si>
    <t>Koln /Germany</t>
  </si>
  <si>
    <t>Boulogne-Billancourt/ France</t>
  </si>
  <si>
    <t>Montholon / France</t>
  </si>
  <si>
    <t>Erlangen /Germany</t>
  </si>
  <si>
    <t>Germany</t>
  </si>
  <si>
    <t>Title</t>
  </si>
  <si>
    <t>Author(s)</t>
  </si>
  <si>
    <t>Year</t>
  </si>
  <si>
    <t>Publisher</t>
  </si>
  <si>
    <t>City/Country</t>
  </si>
  <si>
    <t xml:space="preserve">Pages with our toys </t>
  </si>
  <si>
    <t>112, 126, 176, 177</t>
  </si>
  <si>
    <t>The Price Guide to Metal Toys</t>
  </si>
  <si>
    <t>Gordon Gardiner and Alistair Morris</t>
  </si>
  <si>
    <t>Antique Collector's Club</t>
  </si>
  <si>
    <t>Woodbridge /UK</t>
  </si>
  <si>
    <t>Mechanisches Bleschspielzeug</t>
  </si>
  <si>
    <t>Ludger Spielberg</t>
  </si>
  <si>
    <t>Deutscher Kunstverlag GmbH</t>
  </si>
  <si>
    <t>Munchen Berlin/Germany</t>
  </si>
  <si>
    <t>27, 28, 29, 37, 42, 43, 59, 60, 64, 65, 76, 78, 79, 83, 98, 113, 118, 119, 120, 122, 130, 133,134, 136, 137, 142, 146, 147, 149</t>
  </si>
  <si>
    <t>The Art of the Tin Toy</t>
  </si>
  <si>
    <t>David Pressland</t>
  </si>
  <si>
    <t>46, 50, 53, 58, 68, 141, 146, 149, 150, 201, 202, 205, 206, 207, 208, 209, 210, 211, 212, 213, 215, 216, 217, 218, 219</t>
  </si>
  <si>
    <r>
      <t xml:space="preserve">Trademark             </t>
    </r>
    <r>
      <rPr>
        <i/>
        <sz val="11"/>
        <color theme="1"/>
        <rFont val="Calibri"/>
        <family val="2"/>
        <scheme val="minor"/>
      </rPr>
      <t xml:space="preserve">        (ex: Kellermann)</t>
    </r>
  </si>
  <si>
    <r>
      <t xml:space="preserve">Manufacturer                                              </t>
    </r>
    <r>
      <rPr>
        <i/>
        <sz val="11"/>
        <color theme="1"/>
        <rFont val="Calibri"/>
        <family val="2"/>
        <scheme val="minor"/>
      </rPr>
      <t>(ex: Georg Kellermann &amp; Co.)</t>
    </r>
  </si>
  <si>
    <t>Start activity</t>
  </si>
  <si>
    <t>End acitivity</t>
  </si>
  <si>
    <t>Founder</t>
  </si>
  <si>
    <t>History</t>
  </si>
  <si>
    <t>Type of toys manufactured</t>
  </si>
  <si>
    <t>Bibliography</t>
  </si>
  <si>
    <r>
      <t xml:space="preserve">Logo     </t>
    </r>
    <r>
      <rPr>
        <i/>
        <sz val="11"/>
        <color theme="1"/>
        <rFont val="Calibri"/>
        <family val="2"/>
        <scheme val="minor"/>
      </rPr>
      <t>(ex: CKO)</t>
    </r>
  </si>
  <si>
    <t>Model</t>
  </si>
  <si>
    <t>Description</t>
  </si>
  <si>
    <t xml:space="preserve">Materials used </t>
  </si>
  <si>
    <t>Trademark</t>
  </si>
  <si>
    <t>Date of purchase</t>
  </si>
  <si>
    <t>Source of purchase</t>
  </si>
  <si>
    <t>Cost</t>
  </si>
  <si>
    <t>Type of toy</t>
  </si>
  <si>
    <t>Mechanism</t>
  </si>
  <si>
    <t>Toy Condition</t>
  </si>
  <si>
    <r>
      <t xml:space="preserve">Box </t>
    </r>
    <r>
      <rPr>
        <sz val="11"/>
        <color theme="1"/>
        <rFont val="Calibri"/>
        <family val="2"/>
        <scheme val="minor"/>
      </rPr>
      <t>(</t>
    </r>
    <r>
      <rPr>
        <i/>
        <sz val="11"/>
        <color theme="1"/>
        <rFont val="Calibri"/>
        <family val="2"/>
        <scheme val="minor"/>
      </rPr>
      <t>Description, condition</t>
    </r>
    <r>
      <rPr>
        <sz val="11"/>
        <color theme="1"/>
        <rFont val="Calibri"/>
        <family val="2"/>
        <scheme val="minor"/>
      </rPr>
      <t>)</t>
    </r>
  </si>
  <si>
    <r>
      <t xml:space="preserve">Value </t>
    </r>
    <r>
      <rPr>
        <sz val="11"/>
        <color theme="1"/>
        <rFont val="Calibri"/>
        <family val="2"/>
        <scheme val="minor"/>
      </rPr>
      <t>(</t>
    </r>
    <r>
      <rPr>
        <i/>
        <sz val="11"/>
        <color theme="1"/>
        <rFont val="Calibri"/>
        <family val="2"/>
        <scheme val="minor"/>
      </rPr>
      <t>date</t>
    </r>
    <r>
      <rPr>
        <sz val="11"/>
        <color theme="1"/>
        <rFont val="Calibri"/>
        <family val="2"/>
        <scheme val="minor"/>
      </rPr>
      <t>)</t>
    </r>
  </si>
  <si>
    <r>
      <rPr>
        <b/>
        <sz val="11"/>
        <color theme="1"/>
        <rFont val="Calibri"/>
        <family val="2"/>
        <scheme val="minor"/>
      </rPr>
      <t>Books</t>
    </r>
    <r>
      <rPr>
        <sz val="11"/>
        <color theme="1"/>
        <rFont val="Calibri"/>
        <family val="2"/>
        <scheme val="minor"/>
      </rPr>
      <t xml:space="preserve"> (pages)</t>
    </r>
  </si>
  <si>
    <t>Topic</t>
  </si>
  <si>
    <t>Space Toys of the Sixties</t>
  </si>
  <si>
    <t>James H Gillan</t>
  </si>
  <si>
    <t>CG Publishing Ltd</t>
  </si>
  <si>
    <t>TV and Film Toys and Ephemera</t>
  </si>
  <si>
    <t>Arthur Ward</t>
  </si>
  <si>
    <t>The Crowood Press Ltd</t>
  </si>
  <si>
    <t>Ramsbury /UK</t>
  </si>
  <si>
    <t>139, 162</t>
  </si>
  <si>
    <t>Bleschspielzeug Autos Motorrader</t>
  </si>
  <si>
    <t>Rudger Huber</t>
  </si>
  <si>
    <t>Battenberg Verlag</t>
  </si>
  <si>
    <t>Munchen/Germany</t>
  </si>
  <si>
    <t>36, 37, 38, 39, 40, 41, 42, 43, 44, 46, 49, 50, 57, 61, 64, 66, 70, 72, 74, 90, 95, 107, 110, 113, 129, 132, 133, 134, 153, 158, 159, 162, 165, 167, 169, 174, 184, 193, 196, 198, 200</t>
  </si>
  <si>
    <t>CHRISTIE'S World of Automotive Toys</t>
  </si>
  <si>
    <t>Mike and Sue Richardson</t>
  </si>
  <si>
    <t>MBI Publishing Co.</t>
  </si>
  <si>
    <t>Osceola, WI /USA</t>
  </si>
  <si>
    <t>61, 66, 112, 113, 139</t>
  </si>
  <si>
    <t>Nos Jouets 70.80</t>
  </si>
  <si>
    <t>Sébastien Carletti, Vincent Dubost</t>
  </si>
  <si>
    <t>Éditions Hors-Collection</t>
  </si>
  <si>
    <t>54, 77, 132, 134</t>
  </si>
  <si>
    <t>Bateux Jouets 1850-1950</t>
  </si>
  <si>
    <t>Musée National de la Marine/Éditions du Chêne</t>
  </si>
  <si>
    <t>Didier Frémond, Annie Madet-Vache, Alain Niderlinder</t>
  </si>
  <si>
    <t>94, 95, 139</t>
  </si>
  <si>
    <t>Antique Motorcycle Toys</t>
  </si>
  <si>
    <t>10, 11, 12, 19, 20, 21, 22, 34, 53, 68, 78, 79, 80, 86, 87, 90, 102, 114, 115, 118, 121, 129, 130, 158</t>
  </si>
  <si>
    <t>TYPE</t>
  </si>
  <si>
    <t>TOPIC</t>
  </si>
  <si>
    <t>Cars</t>
  </si>
  <si>
    <t>Carriages &amp; Cycles</t>
  </si>
  <si>
    <t>Motorcycles &amp; Scooters</t>
  </si>
  <si>
    <t>Animals</t>
  </si>
  <si>
    <t>People</t>
  </si>
  <si>
    <t>Robots</t>
  </si>
  <si>
    <t>Space Vehicles</t>
  </si>
  <si>
    <t>Aircraft</t>
  </si>
  <si>
    <t>Boats &amp; Ships</t>
  </si>
  <si>
    <t>Trains</t>
  </si>
  <si>
    <t>Tracks /Platform base</t>
  </si>
  <si>
    <t>Vans/Buses &amp;Trucks</t>
  </si>
  <si>
    <t>Military vehicles</t>
  </si>
  <si>
    <t>Banks</t>
  </si>
  <si>
    <t>Spinning Tops &amp; Merry-go-Rounds</t>
  </si>
  <si>
    <t>Games</t>
  </si>
  <si>
    <t>Others</t>
  </si>
  <si>
    <t>Travel &amp; Transport</t>
  </si>
  <si>
    <t>Optical and Musical</t>
  </si>
  <si>
    <t>Circus &amp; Clowns</t>
  </si>
  <si>
    <t>Fairground</t>
  </si>
  <si>
    <t>Professions/Industrial</t>
  </si>
  <si>
    <t>Sports &amp; Leisure</t>
  </si>
  <si>
    <t>Military</t>
  </si>
  <si>
    <t>Firefighting</t>
  </si>
  <si>
    <t>Police</t>
  </si>
  <si>
    <t>Garages &amp; Autoservice</t>
  </si>
  <si>
    <t>Space / Sci-Fi</t>
  </si>
  <si>
    <t>Character</t>
  </si>
  <si>
    <t>Far West</t>
  </si>
  <si>
    <t>Musical /Optical</t>
  </si>
  <si>
    <t>Batman</t>
  </si>
  <si>
    <t>Star Wars</t>
  </si>
  <si>
    <t>Miscellaneous</t>
  </si>
  <si>
    <t>Mechanical Toys How Old Toys Work</t>
  </si>
  <si>
    <t>Athelstan and Kathleen Spillhaus</t>
  </si>
  <si>
    <t>20, 30, 36, 44, 46, 65, 79, 80, 82, 96, 116</t>
  </si>
  <si>
    <t>Bleschspielzeug Importe</t>
  </si>
  <si>
    <t>Augsburg /Germany</t>
  </si>
  <si>
    <t>2, 13, 14, 15, 16, 36, 39, 55, 56, 57, 58, 59, 60, 61, 62, 63, 65, 67, 68, 69, 73, 74, 79, 80, 82, 84, 85, 97, 104, 107, 112, 116</t>
  </si>
  <si>
    <t>Collecting Tin Toys</t>
  </si>
  <si>
    <t>William Collins Sons &amp; Co. Ltd</t>
  </si>
  <si>
    <t>7, 9, 13, 18, 26, 28, 31, 48, 50, 56, 57, 78, 79, 81, 82, 84, 90, 91, 93, 102, 110, 119, 126, 129, 135</t>
  </si>
  <si>
    <t>Carocha Miniaturas</t>
  </si>
  <si>
    <t xml:space="preserve">Raul Empis Constâncio </t>
  </si>
  <si>
    <t>Portugal</t>
  </si>
  <si>
    <t>Siva</t>
  </si>
  <si>
    <t>Jouets Mécaniques Métalliques</t>
  </si>
  <si>
    <t>Musées de la Ville de Strasbourg</t>
  </si>
  <si>
    <t>Strasbourg / France</t>
  </si>
  <si>
    <t>Christiane Sigel</t>
  </si>
  <si>
    <t>76, 115, 117, 118, 123, 125, 126, 127, 128, 131, 133, 134, 137, 139, 141, 142, 143, 146, 155, 158, 163, 178, 183, 185, 186, 213, 225, 232, 259, 260, 262</t>
  </si>
  <si>
    <t>The History of Toys - From Spinning Tops to Robots</t>
  </si>
  <si>
    <t>Deborah Jaffé</t>
  </si>
  <si>
    <t>Sutton Publishing Ltd</t>
  </si>
  <si>
    <t>Thrupp/ UK</t>
  </si>
  <si>
    <t>41, 194, 227, 260</t>
  </si>
  <si>
    <t>American Clockwork Toys 1862-1900</t>
  </si>
  <si>
    <t>Blair Whitton</t>
  </si>
  <si>
    <t>The Minic Book</t>
  </si>
  <si>
    <t>Peter Bartok</t>
  </si>
  <si>
    <t>105, 118, 119, 121, 142</t>
  </si>
  <si>
    <t>O Brinquedo Português</t>
  </si>
  <si>
    <t>Madalena Braz Teixeira, Carlos Barroco</t>
  </si>
  <si>
    <t>Bertrand Editora</t>
  </si>
  <si>
    <t>Lisbon/ Portugal</t>
  </si>
  <si>
    <t>Sylvie et Gilles Legrand, Brigitte Chamousset</t>
  </si>
  <si>
    <t>Jet Réalisations</t>
  </si>
  <si>
    <t>3, 12, 19, 21, 22, 23, 25, 29, 31, 35, 39, 43, 45, 48, 49, 52, 54, 58. 63, 64, 68, 69, 75, 83, 84, 85, 86, 88, 90, 92, 93, 94, 95, 97, 106, 109, 110, 111, 122, 124</t>
  </si>
  <si>
    <t>Mes Rêves en Jouets Le Cirque</t>
  </si>
  <si>
    <t>Le Cirque et Le Jouet</t>
  </si>
  <si>
    <t>Monica Burckhardt</t>
  </si>
  <si>
    <t>Musée des Artes Décoratifs /Flammarion</t>
  </si>
  <si>
    <t>15, 37, 38, 39, 40, 41, 42, 43, 44, 45, 50, 75, 76, 81, 83, 84, 85, 91</t>
  </si>
  <si>
    <t>Die Welt Aus Blech</t>
  </si>
  <si>
    <t>Verlag Philipp Von Zabern</t>
  </si>
  <si>
    <t>Mainz em Rhein /Germany</t>
  </si>
  <si>
    <t>Future Toys</t>
  </si>
  <si>
    <t>Antoni Emchowicz &amp; Paul Nunneley</t>
  </si>
  <si>
    <t>31, 42, 84, 106, 107, 111, 116, 117, 118, 119, 124, 125, 126, 127, 132, 135, 141, 144, 153, 158, 161, 172, 174, 178, 179, 185, 192, 196, 199, 223</t>
  </si>
  <si>
    <t>Sci-Fi &amp; Fantasy Collectibles</t>
  </si>
  <si>
    <t>Phil Ellis</t>
  </si>
  <si>
    <t>Octopus Publishing Group Ltd.</t>
  </si>
  <si>
    <t>12, 52, 76</t>
  </si>
  <si>
    <t>Vintage Toys Robots and Space Toys</t>
  </si>
  <si>
    <t>Jim Bunte, Dave Hallman, Heinz Mueller</t>
  </si>
  <si>
    <t>Antique Trader Books /Krause Publications</t>
  </si>
  <si>
    <t>Iola, WI /USA</t>
  </si>
  <si>
    <t>24, 27, 29, 35, 38, 50, 53, 75, 87, 94, 96, 105, 107, 108, 109, 114, 118, 125, 127, 130, 131, 133, 136, 137, 139, 142, 145</t>
  </si>
  <si>
    <t>Automata &amp; Mechanical Toys</t>
  </si>
  <si>
    <t>Mary Hillier</t>
  </si>
  <si>
    <t>Bloomsbury Books</t>
  </si>
  <si>
    <t>66, 104, 165, 173, 177, 180, 183, 184, 190, 191, 192</t>
  </si>
  <si>
    <t>La Joguina A Catalunya</t>
  </si>
  <si>
    <t>J Corredor-Matheos</t>
  </si>
  <si>
    <t>Ediciones 62 s.a.</t>
  </si>
  <si>
    <t>Barcelona /Spain</t>
  </si>
  <si>
    <t>109, 133, 158</t>
  </si>
  <si>
    <t>Gwen White</t>
  </si>
  <si>
    <t>Antique Toys and Their Background</t>
  </si>
  <si>
    <t>Chancellor Press</t>
  </si>
  <si>
    <t>Toys*Dolls*Automata* Marks &amp; Labels</t>
  </si>
  <si>
    <t>B T Batsford Ltd</t>
  </si>
  <si>
    <t>Miller's Toys &amp; Games Buyer's Guide</t>
  </si>
  <si>
    <t>Miller's Publications</t>
  </si>
  <si>
    <t>Tenterden /UK</t>
  </si>
  <si>
    <t>58, 59, 64, 108, 109, 111, 112, 115, 116, 119, 149, 150, 208, 209, 210, 212, 220, 221, 222, 228</t>
  </si>
  <si>
    <t>Bleschspielzeug in Wirtschaftswunder-Land</t>
  </si>
  <si>
    <t>Brigit S.Walter</t>
  </si>
  <si>
    <t>Gerhard G. Walter</t>
  </si>
  <si>
    <t>Ettlingen /Germany</t>
  </si>
  <si>
    <t>22, 31, 35, 36, 37, 38, 47, 48, 50, 52, 54, 55, 56, 60, 64, 71, 72, 74, 77, 78, 79, 80, 82, 85, 87, 88, 96, 97, 98, 99, 101, 102, 103, 105, 107, 108, 109, 110, 111, 113, 115, 116, 132, 152, 179, 186, 187, 188, 189, 190, 191,192, 193, 195, 199, 201, 203, 207, 209, 216, 218, 222, 223, 225, 227, 228, 230, 231, 232, 233, 234, 235, 237, 238, 241, 245, , 246, 248, 249, 250, 251, 252, 253, 254, 256, 257, 258, 260, 261, 263, 264, 265, 266, 267, 269, 270, 271, 272, 273, 276, 277, 278, 285, 287, 288, 290, 292, 293, 294, 295, 296, 297, 298</t>
  </si>
  <si>
    <t>Phillips Colectors Guides Tin Toys</t>
  </si>
  <si>
    <t>Nigel Mynheer</t>
  </si>
  <si>
    <t>Dunestyle Publishing Ltd</t>
  </si>
  <si>
    <t>15, 27, 29, 43, 45, 58, 59, 62, 63, 82, 83, 86, 88, 91</t>
  </si>
  <si>
    <t>Tin Toys 1945-1975</t>
  </si>
  <si>
    <t>Michael Buhler</t>
  </si>
  <si>
    <t>Bergstrom+Boyle Books Ltd</t>
  </si>
  <si>
    <t>1, 2, 14, 15, 20, 24, 25, 27, 28, 32, 34, 35, 36, 39, 40, 42, 43, 46, 50, 51, 52, 53, 56, 58, 59, 60, 71, 78, 80, 86, 89, 90, 91, 95, 102</t>
  </si>
  <si>
    <t>Mechanical Tin Toys in Colour</t>
  </si>
  <si>
    <t>Arno Weltens</t>
  </si>
  <si>
    <t>Blandford Press</t>
  </si>
  <si>
    <t>Poole /UK</t>
  </si>
  <si>
    <t>56, 57, 59, 73, 80, 85, 87, 88, 96, 104, 110, 120, 124</t>
  </si>
  <si>
    <t>Wilhelm Krauss</t>
  </si>
  <si>
    <t>Les Robots de Pierre Cornette de Saint Cyr</t>
  </si>
  <si>
    <t>Stéphane Calvo</t>
  </si>
  <si>
    <t>Éditions du Chêne - Hachette-Livre</t>
  </si>
  <si>
    <t>34, 35, 60, 61, 62, 122, 123, 138, 149</t>
  </si>
  <si>
    <t>The Tin Toy Museum Part-1</t>
  </si>
  <si>
    <t>Toyoji Takayama</t>
  </si>
  <si>
    <t>Kyoto Shoin Co. Ltd</t>
  </si>
  <si>
    <t>Kyoto /Japan</t>
  </si>
  <si>
    <t>6, 9, 10, 17, 24, 25, 29, 35, 72, 142, 195, 292, 324</t>
  </si>
  <si>
    <t>The Tin Toy Museum Part-2</t>
  </si>
  <si>
    <t>The Tin Toy Museum Part-3</t>
  </si>
  <si>
    <t>1, 2, 6, 7, 8, 13, 16, 18, 21, 22, 23, 24, 25, 27, 2829, 30, 32, 35, 44, 45, 49, 52, 166, 176, 180, 181, 189, 183, 192, 198, 219, 232, 233, 239</t>
  </si>
  <si>
    <t>2, 10, 11, 12, 124, 183, 200, 210, 243, 253, 357, 363</t>
  </si>
  <si>
    <t>Nostalgic Tin Toys Vol.1</t>
  </si>
  <si>
    <t>Toyoji Takayama (ed.)</t>
  </si>
  <si>
    <t>Nostalgic Tin Toys Vol.3</t>
  </si>
  <si>
    <t>40, 65, 79, 88, 108</t>
  </si>
  <si>
    <t>10, 14, 17, 98, 100, 102</t>
  </si>
  <si>
    <t>1000 Tin Toys</t>
  </si>
  <si>
    <t>Teruhisa Kitahara, Yukio Shimizu</t>
  </si>
  <si>
    <t>Taschen</t>
  </si>
  <si>
    <t>168, 197, 200, 271, 272, 308, 309, 364, 368, 370, 382, 383, 384, 386, 389, 405, 414, 418, 423, 428, 429, 430, 431, 435, 436, 441, 443, 445, 518, 534, 602, 682, 683, 693</t>
  </si>
  <si>
    <t>Teruhisa Kitahara</t>
  </si>
  <si>
    <t>Chronicle Books</t>
  </si>
  <si>
    <t>Wind-Ups: Tin Toy Dreams</t>
  </si>
  <si>
    <t>San Francisco, CA /USA</t>
  </si>
  <si>
    <t>25, 37, 39, 51, 52, 53, 55, 69, 77, 78, 79, 83, 84, 96</t>
  </si>
  <si>
    <t>Wind-Ups: Robots</t>
  </si>
  <si>
    <t>40, 69, 75, 76, 77, 89</t>
  </si>
  <si>
    <t>2ª Mostra del Giocatolo d'Epoca e sua Cultura</t>
  </si>
  <si>
    <t>Firenze /Italy</t>
  </si>
  <si>
    <t>49, 55, 58, 66</t>
  </si>
  <si>
    <t>Jocs &amp; Joguetes</t>
  </si>
  <si>
    <t>Triangle Postals SL</t>
  </si>
  <si>
    <t>Sant Lluis, Menorca /Spain</t>
  </si>
  <si>
    <t>58, 60, 65, 66, 67, 120, 130, 138, 144</t>
  </si>
  <si>
    <t>Collector's Guide to Toys, Games &amp; Puzzles</t>
  </si>
  <si>
    <t>Harry L Rinker</t>
  </si>
  <si>
    <t>Wallace-Homestead Book Company</t>
  </si>
  <si>
    <t>Radnor, PA /USA</t>
  </si>
  <si>
    <t>22b, 22h, 34, 67, 118, 119, 121</t>
  </si>
  <si>
    <t>Quando èramos Ninos</t>
  </si>
  <si>
    <t>Madrid /Spain</t>
  </si>
  <si>
    <t>27, 40, 46</t>
  </si>
  <si>
    <t>Miller's Toys &amp; Games Antiques Checklist</t>
  </si>
  <si>
    <t>Anna Sanderson (ed.)</t>
  </si>
  <si>
    <t>Miller's /Reed Consumer Books Ltd</t>
  </si>
  <si>
    <t>72, 73, 132, 134, 135, 137, 139, 164, 165</t>
  </si>
  <si>
    <t>Star Wars: 1000 Collectibles</t>
  </si>
  <si>
    <t>Stephen J Sansweet with Anne Neumann</t>
  </si>
  <si>
    <t>Abrams</t>
  </si>
  <si>
    <t>New York, NY /USA</t>
  </si>
  <si>
    <t>29, 30, 147</t>
  </si>
  <si>
    <t>Alfred Kraus, Dominique Kunze</t>
  </si>
  <si>
    <t>German Tin Toys after 1945</t>
  </si>
  <si>
    <t>Bella-Verlag</t>
  </si>
  <si>
    <t>Mannheim /Germany</t>
  </si>
  <si>
    <t xml:space="preserve">11, 14, 15, 16, 17, 30, 31, 32, 33, 34, 36, 45, 47, 49, 51, 52, , 54, 55, 56, 59, 61, 62, 65, 68, 69, 71, 72, 74, 77, 78, 79, 82, 95, 99, 100, 104, 105, 106, 111, 114, 116, 117, 118, 119, 120, 128, 132, 133, 134, 137, 144, 145, 152, 153, 159, 161, 166, 168, 178, 180, 186, 187, 188, 189, 191, 194, 196, 197, 202, 203, , 204, 205, 215, 216, 217, 224, 225, 230, 231, 233, 234, 235, 236, 250, 251, 253, 254, 255, 256, 257, 258, 264, 273, 278, 282, 284, 290, 292, 293 </t>
  </si>
  <si>
    <t>Souvenirs d'Enfance</t>
  </si>
  <si>
    <t>Rennes /France</t>
  </si>
  <si>
    <t>Arnold The Toys from 1906 until 1965</t>
  </si>
  <si>
    <t>Ulrich Schweizer</t>
  </si>
  <si>
    <t>Tin-and-Toys Verlag</t>
  </si>
  <si>
    <t>14, 15, 55, 59, 62, 63, 64, 65, 77, 79, 82, 85, 86, 87, 89, 90, 91, 92, 93, 94, 95, 96, 101, 115, 119, 120, 122, 199, 201, 202, 204, 206, 209</t>
  </si>
  <si>
    <t>Distler The Toys from 1903 until 1967</t>
  </si>
  <si>
    <t>45, 75, 77, 78, 81, 154, 155, 166, 167, 175</t>
  </si>
  <si>
    <t>73, 75, 76, 78, 80, 82, 84, 85, 87, 88, 90, 94, 95, 127, 133</t>
  </si>
  <si>
    <t xml:space="preserve">6, 45, 49, 50, 53, 54, 68, 98, 113, 114, 118, 121, 124, 127 </t>
  </si>
  <si>
    <t>Gama The Toys from 1946 until 1968</t>
  </si>
  <si>
    <t>18, 21, 22, 40, 45, 81, 87, 91, 92, 94, 124, 125</t>
  </si>
  <si>
    <t>Gama Georg Adam Mangold Furth</t>
  </si>
  <si>
    <t>W Tummels Buchdruckerei und Verlag GmbH</t>
  </si>
  <si>
    <t>Nurnberg /Germany</t>
  </si>
  <si>
    <t>Regine Franzke</t>
  </si>
  <si>
    <t>21, 28, 31, 32, 92, 119, 125</t>
  </si>
  <si>
    <t>13, 41, 51, 82, 85, 91</t>
  </si>
  <si>
    <t>Lexicon  Blech Spielzeug</t>
  </si>
  <si>
    <t>Kurt Harrer</t>
  </si>
  <si>
    <t>Dusseldorf /Germany</t>
  </si>
  <si>
    <t>Alba Publikation Alf Teleoken GmbH + Co. KG</t>
  </si>
  <si>
    <t>100 Years Carl Toys</t>
  </si>
  <si>
    <t>Kerschensteiner Verlag</t>
  </si>
  <si>
    <t>Lappersdorf /Germany</t>
  </si>
  <si>
    <t>33, 37, 41, 44, 47, 48, 56, 60, 64, 70, 78, 79, 97, 99, 121, 138, 147, 149, 151, 158, 163, 168</t>
  </si>
  <si>
    <t>Borch-Druck + Verlag KG</t>
  </si>
  <si>
    <t>Hilden /Germany</t>
  </si>
  <si>
    <t>Hans Schulte-Kellinghaus</t>
  </si>
  <si>
    <t>Schweinekutsche und Ganseliesel</t>
  </si>
  <si>
    <t>51, 53, 56, 65, 66, 106, 109, 147, 149, 178</t>
  </si>
  <si>
    <t>Metal Toys</t>
  </si>
  <si>
    <t>Judith Miller</t>
  </si>
  <si>
    <t>Dorling Kindersley Ltd</t>
  </si>
  <si>
    <t>11, 17, 23, 67, 81, 85, 99, 129</t>
  </si>
  <si>
    <t>Toys Antique &amp; Collectible</t>
  </si>
  <si>
    <t>David Longest</t>
  </si>
  <si>
    <t>Collector Books, Schroeder Publishing Co., Inc</t>
  </si>
  <si>
    <t>21, 27, 57, 81, 88, 96, 157, 158, 164, 165, 196, 199, 225, 228, 230, 231, 233, 234, 235</t>
  </si>
  <si>
    <t>Richard O'Brien</t>
  </si>
  <si>
    <t>110, 181, 188, 189, 193, 194, 200, 201, 209, 210, 211, 213, 214, 215, 217, 219, 220, 222, 224, 225, 226, 227, 230, 231, 232, 234, 237, 239, 240, 243, 328, 330, 334, 335, 363, 370, 373, 379, 397, 455, 473, 474</t>
  </si>
  <si>
    <t>Collecting Toys A Collector's Identification &amp; Value Guide (5th ed)</t>
  </si>
  <si>
    <t>Collecting Toys A Collector's Identification &amp; Value Guide (4th ed)</t>
  </si>
  <si>
    <t>131, 133, 144, 145, 149, 150, 152, 153, 155, 156, 157, 159, 162, 163, 166, 169, 170, 173, 188j, 188l, 188m, 188n, 276, 282, 286, , 361</t>
  </si>
  <si>
    <t>Toys &amp; Prices 1999 (6th edition)</t>
  </si>
  <si>
    <t>Sharon Korbeck (ed)</t>
  </si>
  <si>
    <t>Krause Publications</t>
  </si>
  <si>
    <t>187, 190, 449, 604, 616, 638, 641, 653, 655, 829</t>
  </si>
  <si>
    <t>Schroeder's Collectible Toys Antique to Modern Price Guide (6th ed)</t>
  </si>
  <si>
    <t>Sharon and Bob Huxford (eds)</t>
  </si>
  <si>
    <t>52,  56, 146, 291, 301, 398, 463</t>
  </si>
  <si>
    <t>Tri-ang Toys 1937/8 (catalogue)</t>
  </si>
  <si>
    <t>Espinho /Portugal</t>
  </si>
  <si>
    <t>Brinquedos OSUL (1) (catalogue)</t>
  </si>
  <si>
    <t>Brinquedos OSUL (2) (catalogue)</t>
  </si>
  <si>
    <t>Paya Coop SCL (catalogue)</t>
  </si>
  <si>
    <t>Bleschspielzeu Patente Band eins: 1878-1915</t>
  </si>
  <si>
    <t>Spain</t>
  </si>
  <si>
    <t>Marianne Cieslik Verlag</t>
  </si>
  <si>
    <t>Bad Honnef-Rhondorf /Germany</t>
  </si>
  <si>
    <t>83815, 161258, 163741, 208991</t>
  </si>
  <si>
    <t>Bleschspielzeu Patente Band zwei: 19168-1940</t>
  </si>
  <si>
    <t>Marianne und Jurgen Cieslik</t>
  </si>
  <si>
    <t>452613, 512859, 578371, 615960, 648815, 660005, 667884, 673967, 689028, 692402</t>
  </si>
  <si>
    <t>57, 81, 82, 93, 94, 97, 137</t>
  </si>
  <si>
    <t>Gescha &amp; Strenco</t>
  </si>
  <si>
    <t>Wolfgang Rothenberger, Christian Gartner</t>
  </si>
  <si>
    <t>Verlag Christian Gartner</t>
  </si>
  <si>
    <t>21, 25, 29, 30, 32, 35, 36, 41, 42, 45, 55, 67, 75, 77, 87, 97, 98</t>
  </si>
  <si>
    <t>Money Boxes</t>
  </si>
  <si>
    <t>Lutterworth Press</t>
  </si>
  <si>
    <t>Guilford /UK</t>
  </si>
  <si>
    <t>Toy Boats</t>
  </si>
  <si>
    <t>Basil Harley</t>
  </si>
  <si>
    <t>Shire Publications Ltd</t>
  </si>
  <si>
    <t>Aylesbury /UK</t>
  </si>
  <si>
    <t>Optical Toys</t>
  </si>
  <si>
    <t>Schuco Classic Tin Toys</t>
  </si>
  <si>
    <t>Chris Knox</t>
  </si>
  <si>
    <t>9, 17, 21, 28, 32, 44, 56, 71, 74, 99, 106, 114, 116</t>
  </si>
  <si>
    <t>Schuco (catalogue)</t>
  </si>
  <si>
    <t>90, 96, 103, 120, 125, 132, 133, 134, 143, 145, 147, 154, 179, 180, 191, 196, 200, 204, 211, 217, 219, 220, 222, 238, 244, 267, 268, 302, 380, 430, 441</t>
  </si>
  <si>
    <t>Clockwork</t>
  </si>
  <si>
    <t>Friction</t>
  </si>
  <si>
    <t>Battery</t>
  </si>
  <si>
    <t>Excellent</t>
  </si>
  <si>
    <t>Total number of toys:</t>
  </si>
  <si>
    <t>Total number of books:</t>
  </si>
  <si>
    <t>Total number of manufacturers (in the collection):</t>
  </si>
  <si>
    <r>
      <t>Total number of toys manufactured by (</t>
    </r>
    <r>
      <rPr>
        <b/>
        <sz val="11"/>
        <color theme="1"/>
        <rFont val="Calibri"/>
        <family val="2"/>
        <scheme val="minor"/>
      </rPr>
      <t>choose</t>
    </r>
    <r>
      <rPr>
        <sz val="11"/>
        <color theme="1"/>
        <rFont val="Calibri"/>
        <family val="2"/>
        <scheme val="minor"/>
      </rPr>
      <t xml:space="preserve"> </t>
    </r>
    <r>
      <rPr>
        <b/>
        <sz val="11"/>
        <color theme="1"/>
        <rFont val="Calibri"/>
        <family val="2"/>
        <scheme val="minor"/>
      </rPr>
      <t>trademark</t>
    </r>
    <r>
      <rPr>
        <sz val="11"/>
        <color theme="1"/>
        <rFont val="Calibri"/>
        <family val="2"/>
        <scheme val="minor"/>
      </rPr>
      <t>):</t>
    </r>
  </si>
  <si>
    <t>Total number of friction toys:</t>
  </si>
  <si>
    <t>Total number of clockwork toys:</t>
  </si>
  <si>
    <t>Total number of battery toys:</t>
  </si>
  <si>
    <t>Total number of books with toys from the collection:</t>
  </si>
  <si>
    <t>Total number of toys with original box</t>
  </si>
  <si>
    <t>Country</t>
  </si>
  <si>
    <t>Address/Town</t>
  </si>
  <si>
    <t>Japan</t>
  </si>
  <si>
    <r>
      <t>Total number of manufacturers in (</t>
    </r>
    <r>
      <rPr>
        <b/>
        <sz val="11"/>
        <color theme="1"/>
        <rFont val="Calibri"/>
        <family val="2"/>
        <scheme val="minor"/>
      </rPr>
      <t>choose country</t>
    </r>
    <r>
      <rPr>
        <sz val="11"/>
        <color theme="1"/>
        <rFont val="Calibri"/>
        <family val="2"/>
        <scheme val="minor"/>
      </rPr>
      <t>):</t>
    </r>
  </si>
  <si>
    <r>
      <t>Total number of toys by topic (</t>
    </r>
    <r>
      <rPr>
        <b/>
        <sz val="11"/>
        <color theme="1"/>
        <rFont val="Calibri"/>
        <family val="2"/>
        <scheme val="minor"/>
      </rPr>
      <t>choose topic</t>
    </r>
    <r>
      <rPr>
        <sz val="11"/>
        <color theme="1"/>
        <rFont val="Calibri"/>
        <family val="2"/>
        <scheme val="minor"/>
      </rPr>
      <t>):</t>
    </r>
  </si>
  <si>
    <r>
      <t>Total number of toys by type (</t>
    </r>
    <r>
      <rPr>
        <b/>
        <sz val="11"/>
        <color theme="1"/>
        <rFont val="Calibri"/>
        <family val="2"/>
        <scheme val="minor"/>
      </rPr>
      <t>choose type</t>
    </r>
    <r>
      <rPr>
        <sz val="11"/>
        <color theme="1"/>
        <rFont val="Calibri"/>
        <family val="2"/>
        <scheme val="minor"/>
      </rPr>
      <t>):</t>
    </r>
  </si>
  <si>
    <r>
      <t>Total number of toys in (</t>
    </r>
    <r>
      <rPr>
        <b/>
        <sz val="11"/>
        <rFont val="Calibri"/>
        <family val="2"/>
        <scheme val="minor"/>
      </rPr>
      <t xml:space="preserve">choose Excellent, Very Good, Good, Reasonable, </t>
    </r>
    <r>
      <rPr>
        <sz val="11"/>
        <rFont val="Calibri"/>
        <family val="2"/>
        <scheme val="minor"/>
      </rPr>
      <t>or</t>
    </r>
    <r>
      <rPr>
        <b/>
        <sz val="11"/>
        <rFont val="Calibri"/>
        <family val="2"/>
        <scheme val="minor"/>
      </rPr>
      <t xml:space="preserve"> Poor</t>
    </r>
    <r>
      <rPr>
        <sz val="11"/>
        <rFont val="Calibri"/>
        <family val="2"/>
        <scheme val="minor"/>
      </rPr>
      <t>) condition:</t>
    </r>
  </si>
  <si>
    <t>EGE</t>
  </si>
  <si>
    <t>Ibi, Alicante</t>
  </si>
  <si>
    <t>S. Gunthermann Vol.1 Transport Toys from 1877 until 1939</t>
  </si>
  <si>
    <t>Smoking and Shoe Shining Panda Bear</t>
  </si>
  <si>
    <t>Seated Panda Bear smoking a pipe and holding 2 shoe bruhses</t>
  </si>
  <si>
    <t>Tin, plastic and cloth</t>
  </si>
  <si>
    <t>16x12x26</t>
  </si>
  <si>
    <t>Very Good</t>
  </si>
  <si>
    <t>Bear knitting, seated in a rocking chair</t>
  </si>
  <si>
    <t>17x11x23</t>
  </si>
  <si>
    <t>Good</t>
  </si>
  <si>
    <t>Moves the knitting needles while rocking the chair, eyes light</t>
  </si>
  <si>
    <t>pipe lights, smokes, moves arms and legs to polish its shoes, eyes light</t>
  </si>
  <si>
    <t>rarity 4/10 desirability 4/6</t>
  </si>
  <si>
    <t>Mother Bear - Sitting and Knitting in her old Rocking Chair</t>
  </si>
  <si>
    <t>rarity 6/10 desirability 4/6</t>
  </si>
  <si>
    <t>Papa Bear - Reading &amp; Drinking in his old Rocking Chair</t>
  </si>
  <si>
    <t>Raises and lowers arm to drink, moves head to read, seated in a rocking chair, eyes light</t>
  </si>
  <si>
    <t>Bear reading and drinking, seated in a rocking chair</t>
  </si>
  <si>
    <t>17x11x25</t>
  </si>
  <si>
    <t>1959</t>
  </si>
  <si>
    <t>#1925</t>
  </si>
  <si>
    <t>17 (32), 35 (131), 78 (51)</t>
  </si>
  <si>
    <t>The book is new; book 78 calls it "Father Bear"</t>
  </si>
  <si>
    <t>17 (32), 35 (121), 78 (54)</t>
  </si>
  <si>
    <t>Telephone Bear</t>
  </si>
  <si>
    <t>Bear seated holding an old telephone</t>
  </si>
  <si>
    <t>Raises and lowers arm to speak on the phone</t>
  </si>
  <si>
    <t>Tin and cloth</t>
  </si>
  <si>
    <t>17x12x24</t>
  </si>
  <si>
    <t>17 (32), 35 (185)</t>
  </si>
  <si>
    <t>rarity 8/10 desirability 4/6</t>
  </si>
  <si>
    <t>Telephone Talking Bear</t>
  </si>
  <si>
    <t>rarity 5/10 desirability 4/6</t>
  </si>
  <si>
    <t>Bear seated holding a telephone</t>
  </si>
  <si>
    <t>14x12x24</t>
  </si>
  <si>
    <t>Shoe Shine Joe with lighted pipe</t>
  </si>
  <si>
    <t>Waves head, lights pipe, polishes boot</t>
  </si>
  <si>
    <t>13x8x23</t>
  </si>
  <si>
    <t>17 (39), 35 (157)</t>
  </si>
  <si>
    <t>1957</t>
  </si>
  <si>
    <t>2 (48)</t>
  </si>
  <si>
    <t>Plastic and cloth</t>
  </si>
  <si>
    <t>9x8x18</t>
  </si>
  <si>
    <t>Carl</t>
  </si>
  <si>
    <t>m23</t>
  </si>
  <si>
    <t>Shoeshine Boy</t>
  </si>
  <si>
    <t>"Picks" a nail from his mouth and hammers it on a shoesole</t>
  </si>
  <si>
    <t xml:space="preserve">Waves head and both arms, poshing a boot </t>
  </si>
  <si>
    <t>Tin and plastic</t>
  </si>
  <si>
    <t>9x8x16</t>
  </si>
  <si>
    <t>Little Monkey Shoemaker</t>
  </si>
  <si>
    <t>Old Man shoemaker hammering a shoesole</t>
  </si>
  <si>
    <t>Monkey shoemaker hammering a shoesole</t>
  </si>
  <si>
    <t>Waves its head while hammering a sole</t>
  </si>
  <si>
    <t>8x5x17</t>
  </si>
  <si>
    <t>there is a variant with a beret rarity 3/10 desirability 3/6</t>
  </si>
  <si>
    <t>brush is new</t>
  </si>
  <si>
    <t>catalogue names it as "Shoe Black"</t>
  </si>
  <si>
    <t xml:space="preserve">glasses missing </t>
  </si>
  <si>
    <t>Little Shoemaker</t>
  </si>
  <si>
    <t>there is a variant with a red beret "Paddy Leprechaun Shoemaker"</t>
  </si>
  <si>
    <t>150 (2024)</t>
  </si>
  <si>
    <t>Knitting Rabbit</t>
  </si>
  <si>
    <t>Arms move in a knitting fashion</t>
  </si>
  <si>
    <r>
      <t xml:space="preserve">Dimensions </t>
    </r>
    <r>
      <rPr>
        <sz val="11"/>
        <color theme="1"/>
        <rFont val="Calibri"/>
        <family val="2"/>
        <scheme val="minor"/>
      </rPr>
      <t>(</t>
    </r>
    <r>
      <rPr>
        <i/>
        <sz val="11"/>
        <color theme="1"/>
        <rFont val="Calibri"/>
        <family val="2"/>
        <scheme val="minor"/>
      </rPr>
      <t>LxWxH</t>
    </r>
    <r>
      <rPr>
        <sz val="11"/>
        <color theme="1"/>
        <rFont val="Calibri"/>
        <family val="2"/>
        <scheme val="minor"/>
      </rPr>
      <t>)</t>
    </r>
    <r>
      <rPr>
        <b/>
        <sz val="11"/>
        <color theme="1"/>
        <rFont val="Calibri"/>
        <family val="2"/>
        <scheme val="minor"/>
      </rPr>
      <t xml:space="preserve"> cm</t>
    </r>
  </si>
  <si>
    <t>9x7x19</t>
  </si>
  <si>
    <t>2 (62)</t>
  </si>
  <si>
    <t>CUBBY the Reading Bear</t>
  </si>
  <si>
    <t>Right arm changes page of the book, while head waves vertically</t>
  </si>
  <si>
    <t>10x8x17</t>
  </si>
  <si>
    <t>Good, a little discolouring</t>
  </si>
  <si>
    <t>Reading SANTA CLAUS</t>
  </si>
  <si>
    <t>Santa reading a book</t>
  </si>
  <si>
    <t>Bear reading a book</t>
  </si>
  <si>
    <t>10x8x19</t>
  </si>
  <si>
    <t>variant with bear (no. 11)</t>
  </si>
  <si>
    <t>variant with Santa (no. 12)</t>
  </si>
  <si>
    <t>Small bear talking on a blue telephone</t>
  </si>
  <si>
    <t>Phone rings, bear lifts arm to ear and open/closes mouth quickly, then lowers arm</t>
  </si>
  <si>
    <t>1960</t>
  </si>
  <si>
    <t>10x7x16</t>
  </si>
  <si>
    <t>Switchboard Operator</t>
  </si>
  <si>
    <t>Moves arms to change connections in a lighted board</t>
  </si>
  <si>
    <t>Girl operating a telephone switchboard</t>
  </si>
  <si>
    <t>35 (181)</t>
  </si>
  <si>
    <t>rarity 7/10</t>
  </si>
  <si>
    <t>headphone is new</t>
  </si>
  <si>
    <t>Busy Secretary</t>
  </si>
  <si>
    <t>100-200 (2024)</t>
  </si>
  <si>
    <t>Types lighted keyboard with both hands, paper moves up and down , typewriter roll (?) also moves</t>
  </si>
  <si>
    <t>18x12x18</t>
  </si>
  <si>
    <t>18x16x19</t>
  </si>
  <si>
    <t>Secretary typing a letter reading "always be a good boy and a good girl" on a typewritter, girl moves head</t>
  </si>
  <si>
    <t>17 (671) 35 (39)</t>
  </si>
  <si>
    <t>Several websites say it was manufactuted by Linemar rarity 7/10 desirability 6/10</t>
  </si>
  <si>
    <t>Miss Busy-Bee the Typist</t>
  </si>
  <si>
    <t>Small secretary typing</t>
  </si>
  <si>
    <t>Moves both arms to type</t>
  </si>
  <si>
    <t>9x9x13</t>
  </si>
  <si>
    <t>150 (2024) w/box</t>
  </si>
  <si>
    <t>700-1000 (2024) w/ box</t>
  </si>
  <si>
    <t>80 (2024) w/ box</t>
  </si>
  <si>
    <t>80 - 250 (2024) w/ box</t>
  </si>
  <si>
    <t>120 (2024) 420 (2024) w/ box</t>
  </si>
  <si>
    <t>250 (2024) w/ box</t>
  </si>
  <si>
    <t>220 (2024) wthout box</t>
  </si>
  <si>
    <t>80 - 200 (2024) w/ box</t>
  </si>
  <si>
    <t>1955</t>
  </si>
  <si>
    <t>Miss Friday The Typist</t>
  </si>
  <si>
    <t>Moves both armas to type, the type writer "hammers" the letter and moves the roll</t>
  </si>
  <si>
    <t>14x22x19</t>
  </si>
  <si>
    <t>35 (115)</t>
  </si>
  <si>
    <t>Tin and celluloid</t>
  </si>
  <si>
    <t>8x12x13</t>
  </si>
  <si>
    <t>3 (431)</t>
  </si>
  <si>
    <t>neck glued, chain transmission new</t>
  </si>
  <si>
    <t>570 (2024)</t>
  </si>
  <si>
    <t>Lucky Baby Sewing Machine</t>
  </si>
  <si>
    <t>V.I.P The Busy Boss</t>
  </si>
  <si>
    <t>Bear seated in from of a desk with a lamp and a phone, coupled to a large separated telephone</t>
  </si>
  <si>
    <t>The pedal of the machine waves and the needle oscillates vertically</t>
  </si>
  <si>
    <t>16x15x19</t>
  </si>
  <si>
    <t>17 (28) 35 (200)</t>
  </si>
  <si>
    <t>Lamp is new (this is usual); phone cable is broken</t>
  </si>
  <si>
    <t>Distributed by Cragstan rarity 3/10 desirability 4/6</t>
  </si>
  <si>
    <t>200 (2024)</t>
  </si>
  <si>
    <t>Telephone Bear Winky Eyes</t>
  </si>
  <si>
    <t>Dialing the phone initates the action, the telephone rings and lights, bear raises its arm to hold the phone and moves nouth. Light of lamp is on.</t>
  </si>
  <si>
    <t>18x13x19</t>
  </si>
  <si>
    <t>35 (185)</t>
  </si>
  <si>
    <t>17 (49) 35 (162)</t>
  </si>
  <si>
    <t>Telephone rings, bear raises his arm to hold the phone and makes noises (speaks), nods head, pad lights and bear writes</t>
  </si>
  <si>
    <t>Dolly Dressmaker</t>
  </si>
  <si>
    <t>Girl operating a sewing machine</t>
  </si>
  <si>
    <t>16x15x18</t>
  </si>
  <si>
    <t>Girl waves feet and head, machine  works (wheel turns, needle oscillates verically), light shows pattern, hands move to move cloth</t>
  </si>
  <si>
    <t>17 (61) 35 (62)</t>
  </si>
  <si>
    <t>300 (2024)</t>
  </si>
  <si>
    <t>Teddy the Artist</t>
  </si>
  <si>
    <t>After inserting a cam in the tray, when "on" the bear moves his arms to draw that shape  same while moving eyes and head</t>
  </si>
  <si>
    <t>18x16x23</t>
  </si>
  <si>
    <t>rarity 5/10 desirability 5/6</t>
  </si>
  <si>
    <t>17 (41) 35 (184)</t>
  </si>
  <si>
    <t>Fruit Juice Counter</t>
  </si>
  <si>
    <t>Fruit bar with an attendant girl</t>
  </si>
  <si>
    <t>MT (in laurel)</t>
  </si>
  <si>
    <t>Maruyoshi Toy</t>
  </si>
  <si>
    <t>Maruyoshi Gangu Seisakusho</t>
  </si>
  <si>
    <t>51 (34)</t>
  </si>
  <si>
    <t>1965</t>
  </si>
  <si>
    <t>Very Good, works as scenario</t>
  </si>
  <si>
    <t>35 (82)</t>
  </si>
  <si>
    <t>Push button, mixer works, pours juice on glass, girl rotates pushing tray</t>
  </si>
  <si>
    <t>20x12x20</t>
  </si>
  <si>
    <t>Monkey eats and drinks and his belly grows</t>
  </si>
  <si>
    <t>13x10x24</t>
  </si>
  <si>
    <t>17 (44) 35 (134)</t>
  </si>
  <si>
    <t>Maxwell Coffee-Loving Bear</t>
  </si>
  <si>
    <t>Eyes ligth, pours coffe into mug, takes it to mouth, leans head</t>
  </si>
  <si>
    <t>13x9x24</t>
  </si>
  <si>
    <t>Bear holding a coffe-pot and a mug, next to a tree trunk with bread</t>
  </si>
  <si>
    <t>Monkey on a Picnic</t>
  </si>
  <si>
    <t>distributed by Cragstan rarity 4/10 desirability 5/6</t>
  </si>
  <si>
    <t>100 (2024)</t>
  </si>
  <si>
    <t>Rosko tested rarity2/10 desirability 4/6</t>
  </si>
  <si>
    <t>Susette the Eating Monkey</t>
  </si>
  <si>
    <t>18x14x22</t>
  </si>
  <si>
    <t>35 (180)</t>
  </si>
  <si>
    <t>one eye is out of position</t>
  </si>
  <si>
    <t>Moves fork and knife to cut the meat, raises arm and puts it in mouth  while raising head and moving eyes; the meat falls through a hidden channel and goes back to the plate</t>
  </si>
  <si>
    <t>scarcity 8/10 desirability 5/6</t>
  </si>
  <si>
    <t>Piggy Cook</t>
  </si>
  <si>
    <t>Pours pepper, waves body, rigth arm throws egg in the air (this flips and turns around to reveal a steak); the cooker lights</t>
  </si>
  <si>
    <t>Piggy cook, holding pan and pepper in front of cooker</t>
  </si>
  <si>
    <t>15x16x27</t>
  </si>
  <si>
    <t>17 (44) 35 (180)</t>
  </si>
  <si>
    <t>17 (27) 35 (135)</t>
  </si>
  <si>
    <t>scarcity 2/10 desirability 3/6</t>
  </si>
  <si>
    <t>400-700 (2024) w/ box</t>
  </si>
  <si>
    <t>Hamburger Chef</t>
  </si>
  <si>
    <t>35 (87)</t>
  </si>
  <si>
    <t>0693/075</t>
  </si>
  <si>
    <t>0693/80</t>
  </si>
  <si>
    <t>chef moves pan from the fire, throws hamburger in air, cooker lights</t>
  </si>
  <si>
    <t>box mentions "An exclusive G.P.C. toy" rarity 3/10</t>
  </si>
  <si>
    <t xml:space="preserve">box mentions "An exclusive G.P.C. toy" rarity 6/10 </t>
  </si>
  <si>
    <t>Snoopy Cook with Flipping Action</t>
  </si>
  <si>
    <t>Snoopy Cook</t>
  </si>
  <si>
    <t>Snoopy flips pan</t>
  </si>
  <si>
    <t>13x8x20</t>
  </si>
  <si>
    <t>PB230011</t>
  </si>
  <si>
    <t>1985</t>
  </si>
  <si>
    <t>40-80 (2024) w/ box</t>
  </si>
  <si>
    <t>Super Susie</t>
  </si>
  <si>
    <t>J-4670</t>
  </si>
  <si>
    <t>Bear chashier</t>
  </si>
  <si>
    <t>15x13x22</t>
  </si>
  <si>
    <t>excellent</t>
  </si>
  <si>
    <t>left arm pulls items from the cashier belt, right end pushes cash machine (prices change), while head turns</t>
  </si>
  <si>
    <t>scarcity 7/10 desirability 5/6</t>
  </si>
  <si>
    <t>600 (2024) w/ box</t>
  </si>
  <si>
    <t>Skating Chef</t>
  </si>
  <si>
    <t>Skates on left foot with right leg pushing off causing the body to dip</t>
  </si>
  <si>
    <t>9x7x16</t>
  </si>
  <si>
    <t>1956</t>
  </si>
  <si>
    <t>version with dark hair, add 20% to value scarcity 2,5/5 patent no. 53073</t>
  </si>
  <si>
    <t>8x8x18</t>
  </si>
  <si>
    <t>movement is not well sinchronized</t>
  </si>
  <si>
    <t>Man eating hot dog and cleaning his mouth</t>
  </si>
  <si>
    <t>Takes hot dog to mouth with one arm, cleans mouth with other arm, face moves</t>
  </si>
  <si>
    <t>100 (2024) w/ box</t>
  </si>
  <si>
    <t>89 (33)</t>
  </si>
  <si>
    <t>there is a version with shaker and glass</t>
  </si>
  <si>
    <t>Mr. DAN Hot Dog Eating Man</t>
  </si>
  <si>
    <t>17 (153)</t>
  </si>
  <si>
    <t xml:space="preserve">Seasons food, throws food in the air (which flips from egg to meat) </t>
  </si>
  <si>
    <t>8x8x13</t>
  </si>
  <si>
    <t>17 (148)</t>
  </si>
  <si>
    <t>very good</t>
  </si>
  <si>
    <t>clockwork version of the battery toy</t>
  </si>
  <si>
    <t>clockwork version of the  Miss Friday toy</t>
  </si>
  <si>
    <t>Food Flippin' Mario</t>
  </si>
  <si>
    <t xml:space="preserve">Seasons food, throws food in the air (which flips from spagheti to meat balls) </t>
  </si>
  <si>
    <t>8x10x13</t>
  </si>
  <si>
    <t>2005</t>
  </si>
  <si>
    <t>30 (2024) w/ box</t>
  </si>
  <si>
    <t>Professor Owl The friendly Teacher</t>
  </si>
  <si>
    <t>Tin</t>
  </si>
  <si>
    <t>12x20x21</t>
  </si>
  <si>
    <t>includes 2 discs, but misses pointer (hand new)</t>
  </si>
  <si>
    <t>Moves head and arm with pointer, while images and corresponding names rotate and appear on the blackboard</t>
  </si>
  <si>
    <t>scarcity 8/10 desirability 4/6</t>
  </si>
  <si>
    <t>17 (43) 35 (141)</t>
  </si>
  <si>
    <t>400 (2023) w/ box</t>
  </si>
  <si>
    <t>Blacksmith Bear</t>
  </si>
  <si>
    <t>220 (2024)</t>
  </si>
  <si>
    <t>A-1</t>
  </si>
  <si>
    <t>Asakusa</t>
  </si>
  <si>
    <t>Asakusa Toy, Ltd</t>
  </si>
  <si>
    <t>Blacksmith bear hammering an horseshoe on an anvil</t>
  </si>
  <si>
    <t>Bear holds an horseshoe over the forge and then hammers it on an anvil&gt;; eyes, anvil and forge light</t>
  </si>
  <si>
    <t>scarcity 5/10 desirability 3/6</t>
  </si>
  <si>
    <t>11x17x22</t>
  </si>
  <si>
    <t>17 (25) 35 (32)</t>
  </si>
  <si>
    <t>Smoking GrandPa</t>
  </si>
  <si>
    <t>Old man smoking sitting in a rocking chair</t>
  </si>
  <si>
    <t>While the chair moves, he lifts a lighted pipe to his mouth and exhales smoke</t>
  </si>
  <si>
    <t>22x12x20</t>
  </si>
  <si>
    <t>Reasonable</t>
  </si>
  <si>
    <t>17 (62) 35 (163)</t>
  </si>
  <si>
    <t>60-100 (2024)</t>
  </si>
  <si>
    <t>box mentions "An exclusive G.P.C. toy" scarcity 2/10 desirability 4/6</t>
  </si>
  <si>
    <t>Sleeping Baby Bear</t>
  </si>
  <si>
    <t>scarcity 1/10 desirability 4/6</t>
  </si>
  <si>
    <t>Tin, cloth and plastic</t>
  </si>
  <si>
    <t>23x12x17</t>
  </si>
  <si>
    <t>17 (41) 35 (162)</t>
  </si>
  <si>
    <t>380 (2024) w/ box</t>
  </si>
  <si>
    <t>Bear walks and smokes</t>
  </si>
  <si>
    <t>17 /39)</t>
  </si>
  <si>
    <t>Tin ad cloth</t>
  </si>
  <si>
    <t>11x11x21</t>
  </si>
  <si>
    <t>box contains a second trademark "An AMICO Toy"; Patents: 229336, 233066, 461953, 461954, 462760; scarcity 2/10 desirability 3/6</t>
  </si>
  <si>
    <t>Smoking PaPa Bear</t>
  </si>
  <si>
    <t>150-250 2024) w/ box</t>
  </si>
  <si>
    <t>Walks, lifts the lighted pipe to mouth and exhales smoke</t>
  </si>
  <si>
    <t>Wells</t>
  </si>
  <si>
    <t>U.K.</t>
  </si>
  <si>
    <t>Lady with Sweeper</t>
  </si>
  <si>
    <t>Moves around the floor</t>
  </si>
  <si>
    <t>12x5x12</t>
  </si>
  <si>
    <t>The Busy Housekeeper</t>
  </si>
  <si>
    <t>we have two</t>
  </si>
  <si>
    <t>Moves forward and back and turns head, cleaner lights</t>
  </si>
  <si>
    <t>17x8x22</t>
  </si>
  <si>
    <t>17 (31) 35 (38)</t>
  </si>
  <si>
    <t>Cragstan trademark; scarcity 6/10 desirability 4/6</t>
  </si>
  <si>
    <t>200 (2024) w/ box</t>
  </si>
  <si>
    <t>Tumbles the Bear</t>
  </si>
  <si>
    <t>YM</t>
  </si>
  <si>
    <t>Walks, tumbles rotating over the cases, walls again</t>
  </si>
  <si>
    <t>Yano Man</t>
  </si>
  <si>
    <t>Yano Man Toys</t>
  </si>
  <si>
    <t>11x17x23</t>
  </si>
  <si>
    <t>35 (195)</t>
  </si>
  <si>
    <t xml:space="preserve">Distributed by Woolworth, NY, USA; scarcity 2/10 </t>
  </si>
  <si>
    <t>hat missing</t>
  </si>
  <si>
    <t>160 (2024) w/ box</t>
  </si>
  <si>
    <t>Barber Bear</t>
  </si>
  <si>
    <t>Dentist Bear</t>
  </si>
  <si>
    <t>Bear cutting hair of a smaller sitted bear</t>
  </si>
  <si>
    <t>Bear drilling a tooth of a smaller bear</t>
  </si>
  <si>
    <t>Bear combing the hair of a smaller bear</t>
  </si>
  <si>
    <t>Moves arms to cut hair, the smaller bear looks at mirror and kicks feet and moves arms to show approval</t>
  </si>
  <si>
    <t>Moves head and with the rigth arms drills (drill lights), then stops and small bear moves head and "spits"</t>
  </si>
  <si>
    <t>Moves arms to cut hair, hair dryer lights, smaller bear kicks feet and moves arms to show approval</t>
  </si>
  <si>
    <t>17 (23) 35 (26)</t>
  </si>
  <si>
    <t>Also made by Nomura?; desirability 5/6 scarcity 5/10</t>
  </si>
  <si>
    <t>17 (23) 35 (59)</t>
  </si>
  <si>
    <t>desirability 5/6 scarcity 6/10</t>
  </si>
  <si>
    <t>17 (23) 35 (28)</t>
  </si>
  <si>
    <t xml:space="preserve"> desirability 5/6 scarcity 9/10</t>
  </si>
  <si>
    <t>350 (2024)</t>
  </si>
  <si>
    <t>Beauty Parlor Bear with Lighted Dryer Stand</t>
  </si>
  <si>
    <t>500 (2024) w/ box</t>
  </si>
  <si>
    <t xml:space="preserve">Yano Man </t>
  </si>
  <si>
    <t>Animal Barber Shop</t>
  </si>
  <si>
    <t>Mouse barber shaving a rabbit</t>
  </si>
  <si>
    <t>12x7x12</t>
  </si>
  <si>
    <t>made in China</t>
  </si>
  <si>
    <t>550 (2024) w/ box</t>
  </si>
  <si>
    <t>Girl on wood skis</t>
  </si>
  <si>
    <t>Large girl on wood skis</t>
  </si>
  <si>
    <t>Other</t>
  </si>
  <si>
    <t>Moves legs walk on skis</t>
  </si>
  <si>
    <t>30x16x30</t>
  </si>
  <si>
    <t>Gustav the Miller</t>
  </si>
  <si>
    <t>When pushing down the miller, he climbs to the top, moving arms and legs, while sails rotate; he "picks" the sack of flour and descends</t>
  </si>
  <si>
    <t>1927</t>
  </si>
  <si>
    <t>59 (127)</t>
  </si>
  <si>
    <t>pat. DRP 49749</t>
  </si>
  <si>
    <t>The alarm goes-off,opens eyes,  sits, stretches arms, opens mouth, then closes eyes, makes yawning sound and goes back to sleep; clock hand move</t>
  </si>
  <si>
    <t>Ballon Blowing Teddy</t>
  </si>
  <si>
    <t>kicks feert, raises the baloon to mouth and inflates it; eyes light</t>
  </si>
  <si>
    <t>Bear seated and blowing a baloon</t>
  </si>
  <si>
    <t>14x11x48</t>
  </si>
  <si>
    <t>14x13x29</t>
  </si>
  <si>
    <t>17 (24)</t>
  </si>
  <si>
    <t>80-100 (2024)</t>
  </si>
  <si>
    <t>Gino Neapolitan Baloon Blower</t>
  </si>
  <si>
    <t>Moves eyes, rings a bell and lifts soap solution to blow bubbles</t>
  </si>
  <si>
    <t>19x17x27</t>
  </si>
  <si>
    <t>Very good + instructions</t>
  </si>
  <si>
    <t>17 (65) 35 (83)</t>
  </si>
  <si>
    <t>"Rosko Toy, Rosko Tested" scarcity 3/10 desirability 4/6</t>
  </si>
  <si>
    <t>150-200 (2024) w/ box</t>
  </si>
  <si>
    <t>Bubble Blowing Monkey</t>
  </si>
  <si>
    <t>Seated Monkey blowing bubbles</t>
  </si>
  <si>
    <t>Lowers arm to pick up soap, raises arm and blow bubbles; eyes light</t>
  </si>
  <si>
    <t>12x13x28</t>
  </si>
  <si>
    <t>Base of box missing</t>
  </si>
  <si>
    <t>Seated Panda Bear blowing bubbles</t>
  </si>
  <si>
    <t>21x14x27</t>
  </si>
  <si>
    <t>140 (2024)</t>
  </si>
  <si>
    <t>Bubble Blowing Boy</t>
  </si>
  <si>
    <t>Seated boy blowing bubbles</t>
  </si>
  <si>
    <t>Boy bends forward to pick-up soap, then back and blows bubbles</t>
  </si>
  <si>
    <t>15x11x19</t>
  </si>
  <si>
    <t>17 (58) 35 (36)</t>
  </si>
  <si>
    <t>plastic cup missing</t>
  </si>
  <si>
    <t>120 (2024)</t>
  </si>
  <si>
    <t>Champ on Ice Bear Skater Trio</t>
  </si>
  <si>
    <t>Trio of Bear Skaters</t>
  </si>
  <si>
    <t>Front bear swings arms  as other bears kick their left legs in skating motion</t>
  </si>
  <si>
    <t>22x5x14</t>
  </si>
  <si>
    <t>"Fino", name of variant from Greece scarcity 4/5</t>
  </si>
  <si>
    <t>450-500 (2024) w/ box</t>
  </si>
  <si>
    <t>Girl on Handcar</t>
  </si>
  <si>
    <t>Celluloid Girl on  Handcar</t>
  </si>
  <si>
    <t>Girl "pulls" handcar and this moves, bell rings</t>
  </si>
  <si>
    <t>12x5x15</t>
  </si>
  <si>
    <t>1930</t>
  </si>
  <si>
    <t>Logo: Five point star inside a circle; has paper stamp "Passed TCMA Inspection"</t>
  </si>
  <si>
    <t>made in Japan</t>
  </si>
  <si>
    <t>Toyo</t>
  </si>
  <si>
    <t>Toyo Plaything</t>
  </si>
  <si>
    <t>A.1</t>
  </si>
  <si>
    <t>Both arms rotate making her move forward</t>
  </si>
  <si>
    <t>11x9x12</t>
  </si>
  <si>
    <t>Variant with blue jacket</t>
  </si>
  <si>
    <t>46 (54)</t>
  </si>
  <si>
    <t>230 (2024)</t>
  </si>
  <si>
    <t>Acrobat Skier</t>
  </si>
  <si>
    <t>Skier no.7</t>
  </si>
  <si>
    <t>10x8x8</t>
  </si>
  <si>
    <t>Unknown (51 (29))</t>
  </si>
  <si>
    <t>1980</t>
  </si>
  <si>
    <t>50 (2024) w/ box</t>
  </si>
  <si>
    <t>Bob-boy</t>
  </si>
  <si>
    <t>57/3</t>
  </si>
  <si>
    <t>Boy on sled</t>
  </si>
  <si>
    <t>Boy runs and pushes sled, then jumps on it and rides, and repeats</t>
  </si>
  <si>
    <t xml:space="preserve">Tin </t>
  </si>
  <si>
    <t>11x4x8</t>
  </si>
  <si>
    <t>1952</t>
  </si>
  <si>
    <t>46 (116)</t>
  </si>
  <si>
    <t>350 (2024) w/poor  box</t>
  </si>
  <si>
    <t>Hess-Roller Kismet</t>
  </si>
  <si>
    <t>When pushed rides forward</t>
  </si>
  <si>
    <t>16x4x8</t>
  </si>
  <si>
    <t>Hess</t>
  </si>
  <si>
    <t>Mathias Hess</t>
  </si>
  <si>
    <t>1911</t>
  </si>
  <si>
    <t>66 (179)</t>
  </si>
  <si>
    <t>“JLH”logo, Marke, Germany, D. R. Patent, D.R.G.M., U.S. Patent applied for</t>
  </si>
  <si>
    <t>300-400 (2024)</t>
  </si>
  <si>
    <t>Comical Clara</t>
  </si>
  <si>
    <t>Pop Eye Pete</t>
  </si>
  <si>
    <t>Girl wiggles laterally causing arms to move like she is walking, while eyes pop in and out</t>
  </si>
  <si>
    <t>Boywiggles laterally causing arms to move like she is walking, while eyes pop in and out</t>
  </si>
  <si>
    <t>6x7x13</t>
  </si>
  <si>
    <t>1967</t>
  </si>
  <si>
    <t>" The Cute Kids with the Comical Eyes and the Wig Wag Walk"  Pairs with Pop Eye Pete Scarcity 3/5</t>
  </si>
  <si>
    <t xml:space="preserve"> The Cute Kids with the Comical Eyes and the Wig Wag Walk  Pairs with Comical Clara Scarcity 4/5</t>
  </si>
  <si>
    <t>PC120036</t>
  </si>
  <si>
    <t>270 (2024) w/ box</t>
  </si>
  <si>
    <t>450 (2024) w/ box</t>
  </si>
  <si>
    <t>Girl with Pram</t>
  </si>
  <si>
    <t>4/0</t>
  </si>
  <si>
    <t>Girl pushing blue pram</t>
  </si>
  <si>
    <t>Pram moves in a circle, girl "moves"legs</t>
  </si>
  <si>
    <t>11x4x8x10</t>
  </si>
  <si>
    <t>1950</t>
  </si>
  <si>
    <t>46 (128)</t>
  </si>
  <si>
    <t>Poor</t>
  </si>
  <si>
    <t>Madi</t>
  </si>
  <si>
    <t>Pram moves forward, girl moves legs (4 legs rotate inside skirt)</t>
  </si>
  <si>
    <t>16x5x10</t>
  </si>
  <si>
    <t>Voit</t>
  </si>
  <si>
    <t>PC120039</t>
  </si>
  <si>
    <t>Playground</t>
  </si>
  <si>
    <t>Girl  moves forward towards carroucel (which turns), then turns 180º and moves towards house, repeats</t>
  </si>
  <si>
    <t>38x4x7</t>
  </si>
  <si>
    <t>10 (93) 46 (33)</t>
  </si>
  <si>
    <t>Baby crawling</t>
  </si>
  <si>
    <t>made in Occupied Japan</t>
  </si>
  <si>
    <t>Wiggles arms and legs to move forward</t>
  </si>
  <si>
    <t>Celuloid</t>
  </si>
  <si>
    <t>14x8x9</t>
  </si>
  <si>
    <t>1945</t>
  </si>
  <si>
    <t>126 (92, 94)</t>
  </si>
  <si>
    <t>probably Alps</t>
  </si>
  <si>
    <t>Tyrolean with Alpine girl</t>
  </si>
  <si>
    <t>983/8</t>
  </si>
  <si>
    <t>Tyrolean boy holding in his arms an alpine girl</t>
  </si>
  <si>
    <t>Vibrtaes and rotates, while raising and lowering girl</t>
  </si>
  <si>
    <t>11x4x13</t>
  </si>
  <si>
    <t>1935</t>
  </si>
  <si>
    <t>animal tail on hat was glued (wire broke)</t>
  </si>
  <si>
    <t>92 (145)</t>
  </si>
  <si>
    <t>Walking Doll</t>
  </si>
  <si>
    <t>Moves legs and advances slowly</t>
  </si>
  <si>
    <t>11x9x15</t>
  </si>
  <si>
    <t>Very good</t>
  </si>
  <si>
    <t>Street market in Viena</t>
  </si>
  <si>
    <t>Sept 2015</t>
  </si>
  <si>
    <t>socks in box</t>
  </si>
  <si>
    <t>60 (2024)</t>
  </si>
  <si>
    <t>HERO</t>
  </si>
  <si>
    <t>Toy Hero</t>
  </si>
  <si>
    <t>Dutch Girl with Baby</t>
  </si>
  <si>
    <t>Moves forward</t>
  </si>
  <si>
    <t>5x6x11</t>
  </si>
  <si>
    <t>KS</t>
  </si>
  <si>
    <t>Kawano</t>
  </si>
  <si>
    <t>Kawano Seisakusho</t>
  </si>
  <si>
    <t>Embarrassed Girl</t>
  </si>
  <si>
    <t>Girl sitted on chamber pot</t>
  </si>
  <si>
    <t>when lever is pressed, girl stands up and a small mouse jumps from the pot</t>
  </si>
  <si>
    <t>2x10x12</t>
  </si>
  <si>
    <t>Einfalt</t>
  </si>
  <si>
    <t>DRGM</t>
  </si>
  <si>
    <t>PC120055</t>
  </si>
  <si>
    <t>1 (39) 65 (132)</t>
  </si>
  <si>
    <t>1925</t>
  </si>
  <si>
    <t>250 (2024)</t>
  </si>
  <si>
    <t>Happy Life</t>
  </si>
  <si>
    <t>Sunshade rotates, girl balances in the chair, goose rotates and makes noise</t>
  </si>
  <si>
    <t>Tin, plastic and celuloid</t>
  </si>
  <si>
    <t>11x15x24</t>
  </si>
  <si>
    <t>126 (88)</t>
  </si>
  <si>
    <t>"Improved on Pat. 174411 Applies For"; also made by Kuramochi?</t>
  </si>
  <si>
    <t>Made in Occupied Japan; neck was glued</t>
  </si>
  <si>
    <t>Catawiki</t>
  </si>
  <si>
    <t>B. O. PLENTY</t>
  </si>
  <si>
    <t>Oscillates laterally, while hat pops up and down</t>
  </si>
  <si>
    <t>6x7x22</t>
  </si>
  <si>
    <t>Caracter from Dick Tracy Comic strip; the baby is his daugther "Sparkle"; on the back "by permission of Famous Artists Syndicate Copyright by Chicago Trade (?)"</t>
  </si>
  <si>
    <t>Greenberg's Guide to Marx Toys vol.2</t>
  </si>
  <si>
    <t>PC150002</t>
  </si>
  <si>
    <t>250-300 (2024) w/ box</t>
  </si>
  <si>
    <t>Royal Cub</t>
  </si>
  <si>
    <t>Bear moves legs and pushes pram, baby bear lifts bottle to mouth and makes a crying sound</t>
  </si>
  <si>
    <t>19x10x19</t>
  </si>
  <si>
    <t>300-500 (2024) w/ box</t>
  </si>
  <si>
    <t>17 (34) 35 (151)</t>
  </si>
  <si>
    <t>Baby and Carriage with Pony Tail Girl</t>
  </si>
  <si>
    <t>Girl moves legs and pushes pram, baby lifts bottle to mouth and makes a crying sound</t>
  </si>
  <si>
    <t>16x8x20</t>
  </si>
  <si>
    <t xml:space="preserve">desirability 4/6 </t>
  </si>
  <si>
    <t>17 (61)</t>
  </si>
  <si>
    <t>S-3100</t>
  </si>
  <si>
    <t>Hungry Baby Bear</t>
  </si>
  <si>
    <t>Spanky Bear</t>
  </si>
  <si>
    <t>Mamma bear spanking a baby bear</t>
  </si>
  <si>
    <t>Moves head, opens and closes eyes, feeds baby; when removes the bottle, the baby kicks arms and cries</t>
  </si>
  <si>
    <t>Moves head and opens and closes eyes; spanks the baby bottom several times, causing the baby to kick arms and legs and cry, moving mouth</t>
  </si>
  <si>
    <t>15x13x23</t>
  </si>
  <si>
    <t>13x13x23</t>
  </si>
  <si>
    <t>scarcity 2/10 desirability 4/6</t>
  </si>
  <si>
    <t>scarcity 5/10 desirability 5/6</t>
  </si>
  <si>
    <t>17 (34) 35 (94)</t>
  </si>
  <si>
    <t>17 (34) 35 (174)</t>
  </si>
  <si>
    <t>240 (2024)</t>
  </si>
  <si>
    <t>hand new; fur in ears is missing</t>
  </si>
  <si>
    <t>Lady Pup watering a flower</t>
  </si>
  <si>
    <t>Bends forward and "waters" a flower, bends back and sees flower opening and inner light turn on</t>
  </si>
  <si>
    <t>18x11x20</t>
  </si>
  <si>
    <t>Lady Pup Tending Her Garden</t>
  </si>
  <si>
    <t>17 (48) 35 (102)</t>
  </si>
  <si>
    <t>rubber hand fragile</t>
  </si>
  <si>
    <t>"It's Gragstan for Toys" "Watch the flower open and light up as she realistically simulates watering her garden" scarcity 6/10 desirability 5/6</t>
  </si>
  <si>
    <t>Cragstan</t>
  </si>
  <si>
    <t>Excellent, with instructions</t>
  </si>
  <si>
    <t>The Jolly Bear Peanut Vendor - Walking Bear and Rolling Cart</t>
  </si>
  <si>
    <t>Walks pushing the smoking cart, while the inside of the cart lights up and the peanuts jump</t>
  </si>
  <si>
    <t>21x13x21</t>
  </si>
  <si>
    <t>Offered by André, purchased in Buenos Aires</t>
  </si>
  <si>
    <t>Dec 2021</t>
  </si>
  <si>
    <t>17 (43) 35 (187)</t>
  </si>
  <si>
    <t>"It's Cragstan for Toys" scarcity 5/10 desirability 4/6</t>
  </si>
  <si>
    <t>Pop Corn Vendor</t>
  </si>
  <si>
    <t>Walks pushing cart and shaking head while corn pops inside cart</t>
  </si>
  <si>
    <t>23x10x17</t>
  </si>
  <si>
    <t>July 2024</t>
  </si>
  <si>
    <t>Holland-Toy Collector (internet)</t>
  </si>
  <si>
    <t>17 (43) 35 (139)</t>
  </si>
  <si>
    <t>Hungry Cat</t>
  </si>
  <si>
    <t>J-2519</t>
  </si>
  <si>
    <t>Cat trying to catch a fish in a bowl</t>
  </si>
  <si>
    <t>Bowl must have water and 2 fishes; these swim around while cat swings paw and tail and eyes light</t>
  </si>
  <si>
    <t>20x12x22</t>
  </si>
  <si>
    <t>17 (44) 35 (94)</t>
  </si>
  <si>
    <t>300-400 (2024) w/ box</t>
  </si>
  <si>
    <t>Kiddy Cyclist</t>
  </si>
  <si>
    <t>Kid on a tricycle</t>
  </si>
  <si>
    <t>18x11x21</t>
  </si>
  <si>
    <t>7 (94) 50 (65,66)</t>
  </si>
  <si>
    <t>30 (26)</t>
  </si>
  <si>
    <t>Kid pedals tricycle in a circular path, a bell rings</t>
  </si>
  <si>
    <t>Heiny</t>
  </si>
  <si>
    <t>PL 507</t>
  </si>
  <si>
    <t>Kid on a yellow hand car</t>
  </si>
  <si>
    <t>Kid's arms pull lever of the handcar and this moves forward</t>
  </si>
  <si>
    <t>15x9x14</t>
  </si>
  <si>
    <t>Ski-Jumper "Skilaufer"</t>
  </si>
  <si>
    <t>1953</t>
  </si>
  <si>
    <t>1962</t>
  </si>
  <si>
    <t>46 (196</t>
  </si>
  <si>
    <t>Tricycle Tot</t>
  </si>
  <si>
    <t>Girl pushing a tricycle</t>
  </si>
  <si>
    <t>Girl bends forward and with left foot pushes tricycle forward</t>
  </si>
  <si>
    <t>13x7x11</t>
  </si>
  <si>
    <t>scarcity 3.5/5</t>
  </si>
  <si>
    <t>Kiddy Hand Car</t>
  </si>
  <si>
    <t>Boy in a red hand car</t>
  </si>
  <si>
    <t>Moves body backwards to pull lever and make car move forward while bell rings</t>
  </si>
  <si>
    <t>Tin and vinyl</t>
  </si>
  <si>
    <t>13x6x10</t>
  </si>
  <si>
    <t>HAJI</t>
  </si>
  <si>
    <t>60 (2024) w/ box</t>
  </si>
  <si>
    <t>Skip Rope Animals</t>
  </si>
  <si>
    <t>Kid bear jumping over a yellow rope</t>
  </si>
  <si>
    <t>Dog's arm rotates rope, while bear jumps over and squirrel oscillates forward/backwards</t>
  </si>
  <si>
    <t>Mostly tin</t>
  </si>
  <si>
    <t>21x412</t>
  </si>
  <si>
    <t>Good (teared)</t>
  </si>
  <si>
    <t>PC150039</t>
  </si>
  <si>
    <t>170 (2024) w/ box</t>
  </si>
  <si>
    <t>Girl Skipping Rope</t>
  </si>
  <si>
    <t>Girl jumping over a yellow rope</t>
  </si>
  <si>
    <t>Boy's and girl's rigth arm rotates rope, while girl jumps over and boy's head moves up and down</t>
  </si>
  <si>
    <t>Tin, vinyl and cloth</t>
  </si>
  <si>
    <t>31x5x14</t>
  </si>
  <si>
    <t>Patent 37-3468 (1962); scarcity 3/5</t>
  </si>
  <si>
    <t>Suzy Bouncing Ball</t>
  </si>
  <si>
    <t>10x6x14</t>
  </si>
  <si>
    <t>200-300 (2024) w/ box</t>
  </si>
  <si>
    <t xml:space="preserve">We have also a version by Schylling "Basketball Girl" in box </t>
  </si>
  <si>
    <t>Girl moves both arms and ball moves up and down</t>
  </si>
  <si>
    <t>Monkey and boy on a tricycle</t>
  </si>
  <si>
    <t>Monkey pedals and tricycle moves forward while bell rings</t>
  </si>
  <si>
    <t>13x7x10</t>
  </si>
  <si>
    <t>Holland Toys, Amsterdam</t>
  </si>
  <si>
    <t>1990s</t>
  </si>
  <si>
    <t>Funland Cup Ride</t>
  </si>
  <si>
    <t>Cups rotate on rotating base</t>
  </si>
  <si>
    <t xml:space="preserve">Tin and vinyl </t>
  </si>
  <si>
    <t>18x18x17</t>
  </si>
  <si>
    <t>300 (2024) w/ box</t>
  </si>
  <si>
    <t>trademark on box: SONSCO (variant box with Kanto Toys); box reads "Twists and Spills Fun and Chills"; scarcity 5/10 desirability 2/6</t>
  </si>
  <si>
    <t>17 (54) 35 (82)</t>
  </si>
  <si>
    <t>Couple rotates within the rotating spinning top</t>
  </si>
  <si>
    <t>Karl Rohrseitz</t>
  </si>
  <si>
    <t>Roundabout</t>
  </si>
  <si>
    <t>Manual lever rotates carroucel and makes noise</t>
  </si>
  <si>
    <t>15x13x18</t>
  </si>
  <si>
    <t>46 (224)</t>
  </si>
  <si>
    <t>P1010034</t>
  </si>
  <si>
    <t>JW</t>
  </si>
  <si>
    <t>Joseph Wagner</t>
  </si>
  <si>
    <t xml:space="preserve">Emskirchen near Brunn, Germany </t>
  </si>
  <si>
    <t>Josef Wagner</t>
  </si>
  <si>
    <t>manufactures with the original tools of the former tin toy manufacturer Tipp &amp; Co., Blomer and Schüler as well as NBZ</t>
  </si>
  <si>
    <t>Planet Rocket Go Round</t>
  </si>
  <si>
    <t xml:space="preserve">Manual lever rotates carroucel </t>
  </si>
  <si>
    <t>13x13x20</t>
  </si>
  <si>
    <t>Pushing down helical plate creates rotation of the carroucel</t>
  </si>
  <si>
    <t>14x12x20</t>
  </si>
  <si>
    <t>1934</t>
  </si>
  <si>
    <t>66 (221)</t>
  </si>
  <si>
    <t>13x13x16</t>
  </si>
  <si>
    <t xml:space="preserve">66 (221) </t>
  </si>
  <si>
    <t>Vacation Land Airplane Ride</t>
  </si>
  <si>
    <t>Planes and boats rotate</t>
  </si>
  <si>
    <t>12x12x13</t>
  </si>
  <si>
    <t>70 (2024) w/ box</t>
  </si>
  <si>
    <t>Play Land Sky Bus Ride</t>
  </si>
  <si>
    <t>16x10x7</t>
  </si>
  <si>
    <t>Ships rotate, bell rings, arms can be extended</t>
  </si>
  <si>
    <t>1970</t>
  </si>
  <si>
    <t>90 (2024) w/ box</t>
  </si>
  <si>
    <t>Ferris Wheel</t>
  </si>
  <si>
    <t>1975</t>
  </si>
  <si>
    <t>10x7x11</t>
  </si>
  <si>
    <t>P1010031</t>
  </si>
  <si>
    <t>1st Year of Manufacture</t>
  </si>
  <si>
    <t>Last year of manufacture</t>
  </si>
  <si>
    <t>1969</t>
  </si>
  <si>
    <t>1989</t>
  </si>
  <si>
    <t>2009</t>
  </si>
  <si>
    <t>1939</t>
  </si>
  <si>
    <t>1919</t>
  </si>
  <si>
    <t>1929</t>
  </si>
  <si>
    <t>1963</t>
  </si>
  <si>
    <t>1949</t>
  </si>
  <si>
    <t>2024</t>
  </si>
  <si>
    <t>1938</t>
  </si>
  <si>
    <t>1979</t>
  </si>
  <si>
    <t>PB190383</t>
  </si>
  <si>
    <t xml:space="preserve"> PB190384</t>
  </si>
  <si>
    <t xml:space="preserve"> PB190385</t>
  </si>
  <si>
    <t>PB200005</t>
  </si>
  <si>
    <t>PB190375</t>
  </si>
  <si>
    <t>PB200002</t>
  </si>
  <si>
    <t>PB200001</t>
  </si>
  <si>
    <t>PB200003</t>
  </si>
  <si>
    <t xml:space="preserve"> PB200004</t>
  </si>
  <si>
    <t>PB200006</t>
  </si>
  <si>
    <t>PB200007</t>
  </si>
  <si>
    <t>PB190357</t>
  </si>
  <si>
    <t xml:space="preserve"> PB200008</t>
  </si>
  <si>
    <t>PB190358</t>
  </si>
  <si>
    <t>PB200011</t>
  </si>
  <si>
    <t>PB200009</t>
  </si>
  <si>
    <t>PB200010</t>
  </si>
  <si>
    <t xml:space="preserve"> PB190359</t>
  </si>
  <si>
    <t>PB190368</t>
  </si>
  <si>
    <t>PB190378</t>
  </si>
  <si>
    <t>PB190367</t>
  </si>
  <si>
    <t>PB190366</t>
  </si>
  <si>
    <t>PB190370</t>
  </si>
  <si>
    <t>PB190369</t>
  </si>
  <si>
    <t>PB190379</t>
  </si>
  <si>
    <t>PB190373</t>
  </si>
  <si>
    <t>PB190371</t>
  </si>
  <si>
    <t>PB190372</t>
  </si>
  <si>
    <t>PB190382</t>
  </si>
  <si>
    <t>PB190374</t>
  </si>
  <si>
    <t>PB190377</t>
  </si>
  <si>
    <t>PB190376</t>
  </si>
  <si>
    <t>PB200023</t>
  </si>
  <si>
    <t>PB200016</t>
  </si>
  <si>
    <t>PB190381</t>
  </si>
  <si>
    <t>PB190380</t>
  </si>
  <si>
    <t>PB200019</t>
  </si>
  <si>
    <t xml:space="preserve"> PB200020</t>
  </si>
  <si>
    <t>PB200022</t>
  </si>
  <si>
    <t>PB200013</t>
  </si>
  <si>
    <t xml:space="preserve"> PB200014</t>
  </si>
  <si>
    <t xml:space="preserve"> PB200015</t>
  </si>
  <si>
    <t>PB200033</t>
  </si>
  <si>
    <t>PB200031</t>
  </si>
  <si>
    <t>PB200032</t>
  </si>
  <si>
    <t>PB200030</t>
  </si>
  <si>
    <t>PB200027</t>
  </si>
  <si>
    <t>PB200028</t>
  </si>
  <si>
    <t>PB200029</t>
  </si>
  <si>
    <t>PB210049</t>
  </si>
  <si>
    <t>PB210037</t>
  </si>
  <si>
    <t xml:space="preserve"> PB210038</t>
  </si>
  <si>
    <t>PB210058</t>
  </si>
  <si>
    <t xml:space="preserve"> PB210039</t>
  </si>
  <si>
    <t xml:space="preserve"> PB210040</t>
  </si>
  <si>
    <t xml:space="preserve"> PB210050</t>
  </si>
  <si>
    <t>PB210057</t>
  </si>
  <si>
    <t>PB210054</t>
  </si>
  <si>
    <t>PB210056</t>
  </si>
  <si>
    <t>PB210063</t>
  </si>
  <si>
    <t>PB210060</t>
  </si>
  <si>
    <t>PB210061</t>
  </si>
  <si>
    <t>Photo</t>
  </si>
  <si>
    <t>PB210068</t>
  </si>
  <si>
    <t>PB210065</t>
  </si>
  <si>
    <t xml:space="preserve"> PB210066</t>
  </si>
  <si>
    <t>PB230026</t>
  </si>
  <si>
    <t>PB210067</t>
  </si>
  <si>
    <t>PB230037</t>
  </si>
  <si>
    <t>PB230028</t>
  </si>
  <si>
    <t>PB230023</t>
  </si>
  <si>
    <t>PB230025</t>
  </si>
  <si>
    <t>PB230035</t>
  </si>
  <si>
    <t>PB230046</t>
  </si>
  <si>
    <t>PB230016</t>
  </si>
  <si>
    <t>PB230031</t>
  </si>
  <si>
    <t>PB230029</t>
  </si>
  <si>
    <t xml:space="preserve"> PB230030</t>
  </si>
  <si>
    <t>PB230034</t>
  </si>
  <si>
    <t>PB230041</t>
  </si>
  <si>
    <t>PB230044</t>
  </si>
  <si>
    <t>PB230049</t>
  </si>
  <si>
    <t>PB230032</t>
  </si>
  <si>
    <t>PB230038</t>
  </si>
  <si>
    <t>PB230048</t>
  </si>
  <si>
    <t>PB230018</t>
  </si>
  <si>
    <t>PB230040</t>
  </si>
  <si>
    <t>PB230042</t>
  </si>
  <si>
    <t>PB230043</t>
  </si>
  <si>
    <t>PB230013</t>
  </si>
  <si>
    <t>PB230045</t>
  </si>
  <si>
    <t>PB230006</t>
  </si>
  <si>
    <t>PB230001</t>
  </si>
  <si>
    <t xml:space="preserve"> PB230004</t>
  </si>
  <si>
    <t>PB230005</t>
  </si>
  <si>
    <t>PB230015</t>
  </si>
  <si>
    <t>PB230014</t>
  </si>
  <si>
    <t>PB230012</t>
  </si>
  <si>
    <t>PB260003</t>
  </si>
  <si>
    <t>PB230019</t>
  </si>
  <si>
    <t>PB230017</t>
  </si>
  <si>
    <t>PB270008</t>
  </si>
  <si>
    <t>PB270018</t>
  </si>
  <si>
    <t xml:space="preserve"> PB230021</t>
  </si>
  <si>
    <t>PB230020</t>
  </si>
  <si>
    <t>PB2700010</t>
  </si>
  <si>
    <t>PB270009</t>
  </si>
  <si>
    <t>PB270049</t>
  </si>
  <si>
    <t>PB260002</t>
  </si>
  <si>
    <t>PB270016</t>
  </si>
  <si>
    <t>PB270017</t>
  </si>
  <si>
    <t>PB270047</t>
  </si>
  <si>
    <t>PB260001</t>
  </si>
  <si>
    <t>PB260004</t>
  </si>
  <si>
    <t>PB260005</t>
  </si>
  <si>
    <t>PB270048</t>
  </si>
  <si>
    <t xml:space="preserve"> PB270046A</t>
  </si>
  <si>
    <t>PB270046</t>
  </si>
  <si>
    <t>PB270021</t>
  </si>
  <si>
    <t>PB270020</t>
  </si>
  <si>
    <t>PB270024</t>
  </si>
  <si>
    <t>PB270023</t>
  </si>
  <si>
    <t>PB270030</t>
  </si>
  <si>
    <t>PB270028</t>
  </si>
  <si>
    <t>PB270029</t>
  </si>
  <si>
    <t>PB270039</t>
  </si>
  <si>
    <t>PB270036</t>
  </si>
  <si>
    <t>PB270037</t>
  </si>
  <si>
    <t>PB270044</t>
  </si>
  <si>
    <t>PB270041</t>
  </si>
  <si>
    <t>PB270042</t>
  </si>
  <si>
    <t>PC120007</t>
  </si>
  <si>
    <t>PC120004</t>
  </si>
  <si>
    <t>PC120006</t>
  </si>
  <si>
    <t>PC120011</t>
  </si>
  <si>
    <t>PC120009</t>
  </si>
  <si>
    <t>PC120010</t>
  </si>
  <si>
    <t>PC120013</t>
  </si>
  <si>
    <t>PC120012</t>
  </si>
  <si>
    <t>PC120058</t>
  </si>
  <si>
    <t>PC120056</t>
  </si>
  <si>
    <t>PC120016</t>
  </si>
  <si>
    <t>PC120014</t>
  </si>
  <si>
    <t>PC120015</t>
  </si>
  <si>
    <t>PC120025</t>
  </si>
  <si>
    <t>PC120017</t>
  </si>
  <si>
    <t>PC120018</t>
  </si>
  <si>
    <t xml:space="preserve"> PC120019</t>
  </si>
  <si>
    <t>PC120023</t>
  </si>
  <si>
    <t>PC120020</t>
  </si>
  <si>
    <t>PC120021</t>
  </si>
  <si>
    <t>PC120026</t>
  </si>
  <si>
    <t>PC120024</t>
  </si>
  <si>
    <t>PC120035</t>
  </si>
  <si>
    <t>PC120030</t>
  </si>
  <si>
    <t>PC120027</t>
  </si>
  <si>
    <t>PC120029</t>
  </si>
  <si>
    <t>PC120032</t>
  </si>
  <si>
    <t>PC120031</t>
  </si>
  <si>
    <t>PC120034</t>
  </si>
  <si>
    <t>PC120043</t>
  </si>
  <si>
    <t>PC120040</t>
  </si>
  <si>
    <t xml:space="preserve"> PC120042</t>
  </si>
  <si>
    <t>PC120047</t>
  </si>
  <si>
    <t>PC120045</t>
  </si>
  <si>
    <t>PC120049</t>
  </si>
  <si>
    <t>PC120048</t>
  </si>
  <si>
    <t>PC120051</t>
  </si>
  <si>
    <t>PC120050</t>
  </si>
  <si>
    <t xml:space="preserve"> PC150005</t>
  </si>
  <si>
    <t>bought when André was born</t>
  </si>
  <si>
    <t>PC150003</t>
  </si>
  <si>
    <t>PC150018</t>
  </si>
  <si>
    <t>PC150017</t>
  </si>
  <si>
    <t>PC150008</t>
  </si>
  <si>
    <t>PC150006</t>
  </si>
  <si>
    <t>PC150007</t>
  </si>
  <si>
    <t>PC150011</t>
  </si>
  <si>
    <t>PC150009</t>
  </si>
  <si>
    <t>PC150010</t>
  </si>
  <si>
    <t>PC150016</t>
  </si>
  <si>
    <t>PC150014</t>
  </si>
  <si>
    <t>PC150015</t>
  </si>
  <si>
    <t>PC150035</t>
  </si>
  <si>
    <t>PC150013</t>
  </si>
  <si>
    <t>PC150012</t>
  </si>
  <si>
    <t xml:space="preserve"> P1010005</t>
  </si>
  <si>
    <t>P1010003</t>
  </si>
  <si>
    <t>P1010004</t>
  </si>
  <si>
    <t>PC150034</t>
  </si>
  <si>
    <t xml:space="preserve"> PC150031</t>
  </si>
  <si>
    <t>PC150030</t>
  </si>
  <si>
    <t>PC150029</t>
  </si>
  <si>
    <t>PC150026</t>
  </si>
  <si>
    <t xml:space="preserve"> PC150028</t>
  </si>
  <si>
    <t>PC150023</t>
  </si>
  <si>
    <t>PC150021</t>
  </si>
  <si>
    <t xml:space="preserve"> PC150022</t>
  </si>
  <si>
    <t>PC150020</t>
  </si>
  <si>
    <t>PC150019</t>
  </si>
  <si>
    <t>PC150033</t>
  </si>
  <si>
    <t>PC150036</t>
  </si>
  <si>
    <t xml:space="preserve"> PC150038</t>
  </si>
  <si>
    <t>PC150037</t>
  </si>
  <si>
    <t>PC150042</t>
  </si>
  <si>
    <t>PC150041</t>
  </si>
  <si>
    <t>PC150044</t>
  </si>
  <si>
    <t>PC150043</t>
  </si>
  <si>
    <t>P1010040</t>
  </si>
  <si>
    <t>P1010039</t>
  </si>
  <si>
    <t>P1010037</t>
  </si>
  <si>
    <t>P1010035</t>
  </si>
  <si>
    <t>P1010027</t>
  </si>
  <si>
    <t>P1010025</t>
  </si>
  <si>
    <t>P1010024</t>
  </si>
  <si>
    <t>P1010023</t>
  </si>
  <si>
    <t>P1010016</t>
  </si>
  <si>
    <t>P1010015</t>
  </si>
  <si>
    <t>P1010018</t>
  </si>
  <si>
    <t>P1010017</t>
  </si>
  <si>
    <t>P1010014</t>
  </si>
  <si>
    <t>P1010011</t>
  </si>
  <si>
    <t>Drumming Bunny Duracell</t>
  </si>
  <si>
    <t>Wheel rotates, bell rings, clock pointer rotates</t>
  </si>
  <si>
    <t>Plays drums with both hands, waves head</t>
  </si>
  <si>
    <t>Plastic and plush</t>
  </si>
  <si>
    <t>18x14x34</t>
  </si>
  <si>
    <t>50-700 (2024) w/ box</t>
  </si>
  <si>
    <t>1988</t>
  </si>
  <si>
    <t>Boy on Tricycle</t>
  </si>
  <si>
    <t>Tricycle moves forward, bell rings</t>
  </si>
  <si>
    <t>Plastic and Tin</t>
  </si>
  <si>
    <t>9x6x10</t>
  </si>
  <si>
    <t>Made in Spain</t>
  </si>
  <si>
    <t>Ice Cream Vender</t>
  </si>
  <si>
    <t>12x9x10</t>
  </si>
  <si>
    <t>Cart moves forward a and backwards, monkey jumps, sunshade rotates</t>
  </si>
  <si>
    <t>P1010006</t>
  </si>
  <si>
    <t>PA010007</t>
  </si>
  <si>
    <t>PA010008</t>
  </si>
  <si>
    <t>Playful Puppy with Caterpillar</t>
  </si>
  <si>
    <t>Tin and plush</t>
  </si>
  <si>
    <t>Dog moves up and down and head side to side while caterpillar wiggles</t>
  </si>
  <si>
    <t>18x10x12</t>
  </si>
  <si>
    <t>Scarcity 4/10 Desirability 4/6</t>
  </si>
  <si>
    <t>17 (35) 35 (137) 79 (62)</t>
  </si>
  <si>
    <t>PA010003</t>
  </si>
  <si>
    <t>PA010004</t>
  </si>
  <si>
    <t>140 (2021)</t>
  </si>
  <si>
    <t>Coca-Cola Bubble Blowing Polar Bear Ornament</t>
  </si>
  <si>
    <t>Raises arm and blows bubbles</t>
  </si>
  <si>
    <t>Plastic</t>
  </si>
  <si>
    <t>13x14x16</t>
  </si>
  <si>
    <t>1996</t>
  </si>
  <si>
    <t>2000</t>
  </si>
  <si>
    <t>Excellent, w/ instructions</t>
  </si>
  <si>
    <t>Made in China</t>
  </si>
  <si>
    <t>PA010009</t>
  </si>
  <si>
    <t>Around the World</t>
  </si>
  <si>
    <t>393-5230</t>
  </si>
  <si>
    <t>Rotates</t>
  </si>
  <si>
    <t>Tin and Plastic</t>
  </si>
  <si>
    <t>25x25x11</t>
  </si>
  <si>
    <t>I have a second, without box</t>
  </si>
  <si>
    <t>PA010017</t>
  </si>
  <si>
    <t>Initial cost 850$00</t>
  </si>
  <si>
    <t>Original cost 35 pesetas? (written in box)</t>
  </si>
  <si>
    <t>Airport Control Tower</t>
  </si>
  <si>
    <t>Control Tower and 3 planes</t>
  </si>
  <si>
    <t>Planes rotate around tower and their helices rotate</t>
  </si>
  <si>
    <t>34x34x21</t>
  </si>
  <si>
    <t>70-370 (2024) w/ box</t>
  </si>
  <si>
    <t>PA010015</t>
  </si>
  <si>
    <t>Snow White and the Dwarfs</t>
  </si>
  <si>
    <t>11x11x11</t>
  </si>
  <si>
    <t>50-80 (2024) w/ box</t>
  </si>
  <si>
    <t>Musical Merry-Go-Round</t>
  </si>
  <si>
    <t>24x24x18</t>
  </si>
  <si>
    <t>PA010019</t>
  </si>
  <si>
    <t>Carrousel with 3 airplanes</t>
  </si>
  <si>
    <t>Carrousel with 3 chairs</t>
  </si>
  <si>
    <r>
      <t xml:space="preserve">Name </t>
    </r>
    <r>
      <rPr>
        <i/>
        <sz val="10"/>
        <color theme="1"/>
        <rFont val="Calibri"/>
        <family val="2"/>
        <scheme val="minor"/>
      </rPr>
      <t>(italic when unknown formal name)</t>
    </r>
  </si>
  <si>
    <r>
      <t xml:space="preserve">Description of movement </t>
    </r>
    <r>
      <rPr>
        <i/>
        <sz val="10"/>
        <color theme="1"/>
        <rFont val="Calibri"/>
        <family val="2"/>
        <scheme val="minor"/>
      </rPr>
      <t>(italic when to be confirmed)</t>
    </r>
  </si>
  <si>
    <t>Rotates and bell rings</t>
  </si>
  <si>
    <t>Created in 1973; trademark lapsed in 1988; newer version in 2013; various boxes, different dates? Box has CE marking (this was created in 1985)</t>
  </si>
  <si>
    <t>21x10x11</t>
  </si>
  <si>
    <t>1958</t>
  </si>
  <si>
    <t>250-300 (2024)</t>
  </si>
  <si>
    <t>PC150045</t>
  </si>
  <si>
    <t>PC150046</t>
  </si>
  <si>
    <t>Has a second trademark: Fuji Press Kogyo (logo with "m.m" below a mountain (see 52(42))</t>
  </si>
  <si>
    <t xml:space="preserve"> has a second trademark: Fukuda Seisakusho (logo with R.F inside a losangle (see 52(35)) rarity 5/10 desirability 4/6</t>
  </si>
  <si>
    <t>Has a second trademark: SHOWA Kogyo Co Ltd (logo SHOWA , see 5s (37)) rarity 7/10 desirability 4/6</t>
  </si>
  <si>
    <t>has a second trademark "HTC" (Hishimo Dsangyo Ltd 52 (42)); scarcity 4/5</t>
  </si>
  <si>
    <t>Second trademark: Iwaia (Rock Valley Toys(VIA), 52 (40)) Variant with monkey scarcity 3/10 desirability 3/6</t>
  </si>
  <si>
    <t>Second trademark: Iwaya (Rock Valley Toys(VIA), 52 (40)) Patents:  32-26828.47809.14867.16154.5274 38-12251.12252 scarcity 3/10 desirability 2/6</t>
  </si>
  <si>
    <t>PA010010</t>
  </si>
  <si>
    <t>Boxes with and without "Cragstan" logo; box also reads "Pretty Little Girl with Ponytail Playing Bouncing the Ball"; scarcity 2/5</t>
  </si>
  <si>
    <t>Barber  waves head and arms with razor and cream</t>
  </si>
  <si>
    <t xml:space="preserve">Second trademark Tomiyama (ETCo 52 (28) used until 1959) scarcity 6/10 desirability 4/6 </t>
  </si>
  <si>
    <t>Playful Animal Swing</t>
  </si>
  <si>
    <t>1964</t>
  </si>
  <si>
    <t>Flagpole and flag missing</t>
  </si>
  <si>
    <t>Swings lateraly</t>
  </si>
  <si>
    <t>15x8x13</t>
  </si>
  <si>
    <t>10 (2024) w/ box</t>
  </si>
  <si>
    <t>Trademark "SY", later "YONE" (see 52 (38)</t>
  </si>
  <si>
    <t>P1010019</t>
  </si>
  <si>
    <t>P1010020</t>
  </si>
  <si>
    <t>P1010021</t>
  </si>
  <si>
    <t>P1010012</t>
  </si>
  <si>
    <t>Truck moves forward, carrousel rotates and bell rings</t>
  </si>
  <si>
    <t>Carrousel Carnival Ride Truck</t>
  </si>
  <si>
    <t>M-1957</t>
  </si>
  <si>
    <t>PAA90223</t>
  </si>
  <si>
    <t>PAA90226</t>
  </si>
  <si>
    <t>Ferris Wheel Truck</t>
  </si>
  <si>
    <t>M-1958</t>
  </si>
  <si>
    <t>Truck moves forward, wheel rotates and bell rings</t>
  </si>
  <si>
    <t>21x7x13</t>
  </si>
  <si>
    <t>PAA90229</t>
  </si>
  <si>
    <t>Nº 7</t>
  </si>
  <si>
    <t>Truck moves forward, animals appear and disappear</t>
  </si>
  <si>
    <t>25x6x9</t>
  </si>
  <si>
    <t>200-300 (2024)</t>
  </si>
  <si>
    <t>PAA90232</t>
  </si>
  <si>
    <t>PAA90233</t>
  </si>
  <si>
    <r>
      <rPr>
        <sz val="11"/>
        <color theme="1"/>
        <rFont val="Calibri"/>
        <family val="2"/>
        <scheme val="minor"/>
      </rPr>
      <t>Circus Truck</t>
    </r>
    <r>
      <rPr>
        <i/>
        <sz val="11"/>
        <color theme="1"/>
        <rFont val="Calibri"/>
        <family val="2"/>
        <scheme val="minor"/>
      </rPr>
      <t xml:space="preserve"> </t>
    </r>
    <r>
      <rPr>
        <sz val="11"/>
        <color theme="1"/>
        <rFont val="Calibri"/>
        <family val="2"/>
        <scheme val="minor"/>
      </rPr>
      <t>with 4 Animals and Voice</t>
    </r>
  </si>
  <si>
    <t>Circus Trailer</t>
  </si>
  <si>
    <t>Jeep moves forward, lion moves up and down</t>
  </si>
  <si>
    <t>24x6x9</t>
  </si>
  <si>
    <t>S-1110</t>
  </si>
  <si>
    <t>SSS</t>
  </si>
  <si>
    <t>Shioji Shoten</t>
  </si>
  <si>
    <t>Shioji</t>
  </si>
  <si>
    <t>Osaka</t>
  </si>
  <si>
    <t>PAA90235</t>
  </si>
  <si>
    <t>American Circus Truck</t>
  </si>
  <si>
    <t>M-816</t>
  </si>
  <si>
    <t>There is a variant with a different truck and the cage as a trailer</t>
  </si>
  <si>
    <t>Truck moves forward, giraffes move heads, lions jump</t>
  </si>
  <si>
    <t>24x6x12</t>
  </si>
  <si>
    <t>M inside triangle</t>
  </si>
  <si>
    <t>Mitsuhashi</t>
  </si>
  <si>
    <t>Mitsuhashi &amp; Co. Ltd</t>
  </si>
  <si>
    <t>PAA90231</t>
  </si>
  <si>
    <t>Tokyo</t>
  </si>
  <si>
    <t>17x12x41</t>
  </si>
  <si>
    <t>Les Voltigeurs</t>
  </si>
  <si>
    <t>1910</t>
  </si>
  <si>
    <t>73 (64)</t>
  </si>
  <si>
    <t>P.F.</t>
  </si>
  <si>
    <t>Pintel</t>
  </si>
  <si>
    <t>Paris</t>
  </si>
  <si>
    <t>Marche aux Puces, Paris</t>
  </si>
  <si>
    <t>1908</t>
  </si>
  <si>
    <t>200-400 (2024)</t>
  </si>
  <si>
    <t>Johny</t>
  </si>
  <si>
    <t>6x15x31</t>
  </si>
  <si>
    <t>Tin, plastic &amp; cloth</t>
  </si>
  <si>
    <t>French version (made in France) of the "Jimmy" version</t>
  </si>
  <si>
    <t>80 -100 (2024)</t>
  </si>
  <si>
    <t>Loop the Loop Clown</t>
  </si>
  <si>
    <t>Clown loops the bar, bell rings</t>
  </si>
  <si>
    <t>9x18x27</t>
  </si>
  <si>
    <t>Puppet-Show Pinocchio on the Swinging Stage</t>
  </si>
  <si>
    <t>Celuloid, paper, tin and metal</t>
  </si>
  <si>
    <t>Papier maché &amp; metal</t>
  </si>
  <si>
    <t>10x25x28</t>
  </si>
  <si>
    <t>150? (2024)</t>
  </si>
  <si>
    <t>135 (21)</t>
  </si>
  <si>
    <t>Patents 157635; 156267 Patent applied for 19391;6003</t>
  </si>
  <si>
    <t>paper is torned</t>
  </si>
  <si>
    <t>Mechanical Acrobat</t>
  </si>
  <si>
    <t>150-250 (2024) w/ box only girl</t>
  </si>
  <si>
    <t>the acrobat swings back and forth flipping around; raising or lowering the removable loop at the top adjusts the speed at which the acrobat swings</t>
  </si>
  <si>
    <t>135 (20)</t>
  </si>
  <si>
    <t>Usually, only with the girl, toy named "Branko" with different box label and CK mark but same number; box with nºG9238</t>
  </si>
  <si>
    <t>good label, some distortion</t>
  </si>
  <si>
    <t>A celuloid couple on the trapeze</t>
  </si>
  <si>
    <t>Celuloid &amp; metal</t>
  </si>
  <si>
    <t>21x22x45</t>
  </si>
  <si>
    <t>catawiki</t>
  </si>
  <si>
    <t>MP</t>
  </si>
  <si>
    <t>A. Migault</t>
  </si>
  <si>
    <t>Rue N.D. de Nazareth, 82 Paris</t>
  </si>
  <si>
    <t>A Migault</t>
  </si>
  <si>
    <t>started as a clock and toy maker; in 1924, the son Fernand opened another factory in Rue de la Roquette, 166; together with Marcel Goudet they created CIJ in 1931</t>
  </si>
  <si>
    <t>Migault &amp; Papin</t>
  </si>
  <si>
    <t>Feb/22</t>
  </si>
  <si>
    <t>Payaso circo com baston</t>
  </si>
  <si>
    <t>Vibrates, rotates cane, grows and shrinks</t>
  </si>
  <si>
    <t>Plastic &amp; cloth</t>
  </si>
  <si>
    <t>6x11x24</t>
  </si>
  <si>
    <t>120-150 (2024) w/box</t>
  </si>
  <si>
    <t>P1010065</t>
  </si>
  <si>
    <t>P1010066</t>
  </si>
  <si>
    <t>P1010069</t>
  </si>
  <si>
    <t>Smiling Sam the Carnival Man</t>
  </si>
  <si>
    <t>7x10x23</t>
  </si>
  <si>
    <t>Bozo Clown</t>
  </si>
  <si>
    <t>Sways lateraly while drumming, head moves</t>
  </si>
  <si>
    <t>9x9x20</t>
  </si>
  <si>
    <t>TK</t>
  </si>
  <si>
    <t>TK Toys</t>
  </si>
  <si>
    <t xml:space="preserve">150-200 (2024) </t>
  </si>
  <si>
    <t>original toys were remanufactured during the mid 1990's by Teruhisa Kitahara; These may have the original Nikko Kogyo trademark but the also carry Kitahara's own trademark</t>
  </si>
  <si>
    <t>1995</t>
  </si>
  <si>
    <t>1999</t>
  </si>
  <si>
    <t>P1010067</t>
  </si>
  <si>
    <t>P1010068</t>
  </si>
  <si>
    <t>PAA40021</t>
  </si>
  <si>
    <t>PAA40022</t>
  </si>
  <si>
    <t>Roly Poly Cycling Monkey</t>
  </si>
  <si>
    <t>15x6x15</t>
  </si>
  <si>
    <t>Richard Bertoia</t>
  </si>
  <si>
    <t>8 (130)</t>
  </si>
  <si>
    <t>some boxes are marked "TOKO made in Japan", others with "FLARE Toy Iem nº 2820</t>
  </si>
  <si>
    <t>SK Toys</t>
  </si>
  <si>
    <t>SK inside gear</t>
  </si>
  <si>
    <t>P1010057</t>
  </si>
  <si>
    <t>P1010058</t>
  </si>
  <si>
    <t>P1010059</t>
  </si>
  <si>
    <t>Devis Wheel with Car</t>
  </si>
  <si>
    <t>23x6x25</t>
  </si>
  <si>
    <t>Tension spring is the catapult, clockwork makes the car move and make sparks</t>
  </si>
  <si>
    <t>P1010062</t>
  </si>
  <si>
    <t>P1010063</t>
  </si>
  <si>
    <t>P1010064</t>
  </si>
  <si>
    <t>260 (2024)</t>
  </si>
  <si>
    <t>there is variant box naming it "LESTER the mechanical jester"</t>
  </si>
  <si>
    <t>Rhonrad</t>
  </si>
  <si>
    <t>wheel moves as the clown swings his arms</t>
  </si>
  <si>
    <t>Tin &amp; plastic</t>
  </si>
  <si>
    <t>14x4x15</t>
  </si>
  <si>
    <t>22 (253) 46 (189)</t>
  </si>
  <si>
    <t>P1010060</t>
  </si>
  <si>
    <t>P1010061</t>
  </si>
  <si>
    <t>Clown on Barrel</t>
  </si>
  <si>
    <t>As the barrel moves, he moves his arms to remain balanced</t>
  </si>
  <si>
    <t>8x9x19</t>
  </si>
  <si>
    <t>&gt;350 (2024)</t>
  </si>
  <si>
    <t>P1010054</t>
  </si>
  <si>
    <t>P1010055</t>
  </si>
  <si>
    <t>Joe the Acrobat</t>
  </si>
  <si>
    <t>9x6x10x16</t>
  </si>
  <si>
    <t>scarcity 4.5/5</t>
  </si>
  <si>
    <t>51 (114)</t>
  </si>
  <si>
    <t>330 (2024)</t>
  </si>
  <si>
    <t>PAA90219</t>
  </si>
  <si>
    <t>PAA90220</t>
  </si>
  <si>
    <t>Payaso Gimnasta</t>
  </si>
  <si>
    <t>22x10x14</t>
  </si>
  <si>
    <t>Very good; has written "Convenio local del timbre A-26"</t>
  </si>
  <si>
    <t>P1010049</t>
  </si>
  <si>
    <t>P1010050</t>
  </si>
  <si>
    <t>P1010051</t>
  </si>
  <si>
    <t>P1010053</t>
  </si>
  <si>
    <t>Acrobat Struwwelpeter</t>
  </si>
  <si>
    <t>Tin &amp; cloth</t>
  </si>
  <si>
    <t>9x7x9</t>
  </si>
  <si>
    <t>1947</t>
  </si>
  <si>
    <t>22 (267) 46 (234) 92 (103)</t>
  </si>
  <si>
    <t>P1010044</t>
  </si>
  <si>
    <t>P1010045</t>
  </si>
  <si>
    <t>549/1</t>
  </si>
  <si>
    <t xml:space="preserve">car and box "made in U.S. zone",  toy with different numbers: 550, 963 </t>
  </si>
  <si>
    <t>makes no sparks</t>
  </si>
  <si>
    <t>Devil Driver</t>
  </si>
  <si>
    <t>24x6x25</t>
  </si>
  <si>
    <t>PAA40039</t>
  </si>
  <si>
    <t>Le Clown Acrobate</t>
  </si>
  <si>
    <t>Clown balancing on wooden parallel bars or on chairs</t>
  </si>
  <si>
    <t>Papier mache, cloth, metal &amp; wood</t>
  </si>
  <si>
    <t>30x11x29</t>
  </si>
  <si>
    <t>original key</t>
  </si>
  <si>
    <t>sept/22</t>
  </si>
  <si>
    <t>&gt;1000</t>
  </si>
  <si>
    <t>1905</t>
  </si>
  <si>
    <t>Very good, has instructions</t>
  </si>
  <si>
    <t>Happy, the Violinist</t>
  </si>
  <si>
    <t>Clown on stilts playing the violin</t>
  </si>
  <si>
    <t>sways from side to side and moves right arm to play the violin</t>
  </si>
  <si>
    <t>8x7x22</t>
  </si>
  <si>
    <t>P1010073</t>
  </si>
  <si>
    <t>P1010074</t>
  </si>
  <si>
    <t>Clown on Roller Skate</t>
  </si>
  <si>
    <t>clown skates on left foot with right leg  pushes forward while body bends, in a skating motion</t>
  </si>
  <si>
    <t>10x8x15</t>
  </si>
  <si>
    <t>1954</t>
  </si>
  <si>
    <t>pat.5093</t>
  </si>
  <si>
    <t>220-400 (2024) w/ box</t>
  </si>
  <si>
    <t>380-500 (2024)</t>
  </si>
  <si>
    <t>scarcity 4.5/5; variant battery powered</t>
  </si>
  <si>
    <t>PAA40023</t>
  </si>
  <si>
    <t>PAA40024</t>
  </si>
  <si>
    <t>PAA40026</t>
  </si>
  <si>
    <t>PAA40028</t>
  </si>
  <si>
    <t>PAA40029</t>
  </si>
  <si>
    <t>PAA40031</t>
  </si>
  <si>
    <t>Clown on Roller Skate - White Face</t>
  </si>
  <si>
    <t>Payaso Patinador</t>
  </si>
  <si>
    <t>150-180 (2024) w/ box</t>
  </si>
  <si>
    <t>PAA40032</t>
  </si>
  <si>
    <t>PAA40033</t>
  </si>
  <si>
    <t>PAA40036</t>
  </si>
  <si>
    <t>Clown reitet Clown</t>
  </si>
  <si>
    <t>Clown seated on the back of another clown on his knees</t>
  </si>
  <si>
    <t>12x10x15</t>
  </si>
  <si>
    <t>15x6x13</t>
  </si>
  <si>
    <t>P1010071</t>
  </si>
  <si>
    <t>P1010072</t>
  </si>
  <si>
    <t>he sways his body laterally</t>
  </si>
  <si>
    <t>8x6x18</t>
  </si>
  <si>
    <t>PAA40041</t>
  </si>
  <si>
    <t>PAA40043</t>
  </si>
  <si>
    <t>PAA40045</t>
  </si>
  <si>
    <t>Handstand-Laufer</t>
  </si>
  <si>
    <t>The clowns tumble and descend gradually by action of gravity</t>
  </si>
  <si>
    <t>Johny clown acrobat in a trapeze</t>
  </si>
  <si>
    <t xml:space="preserve">By pulling a lever, we can control the acrobaciess of the clown </t>
  </si>
  <si>
    <t>Acrobat clown in a trapeze</t>
  </si>
  <si>
    <t>A puppet celuloid couple on a covered stage</t>
  </si>
  <si>
    <t>The couple (Pierrot and Columbine) jump (dance) and rotate</t>
  </si>
  <si>
    <t>Monkey on motorcycle inside a wheel</t>
  </si>
  <si>
    <t>Moto moves forward, forcing the wheel to rotate and advanvce in a circular path</t>
  </si>
  <si>
    <t>Clown hanging from his feet inside wheel</t>
  </si>
  <si>
    <t>Clown handstanding on a red barrel</t>
  </si>
  <si>
    <t>Clown handstanding on top of a moving ball</t>
  </si>
  <si>
    <t>As the ball moves, arms move to remain balanced and legs move up and down</t>
  </si>
  <si>
    <t>Clown in plastic handstanding</t>
  </si>
  <si>
    <t>While handstanding,  moves body up and down body, opens and closes legs</t>
  </si>
  <si>
    <t>he tumbles</t>
  </si>
  <si>
    <t>Structure holding a motorbike and rider and a man acrobat inside a wheel, which rotates around an axis</t>
  </si>
  <si>
    <t>Moto moves forward on the base and stops when leaves it, which is sufficient to make the structure rotate around an axis, man also rotates;  sparks</t>
  </si>
  <si>
    <t>clown skates on left foot, with right leg pushes forward while body bends, in a skating motion</t>
  </si>
  <si>
    <t>1926</t>
  </si>
  <si>
    <t>1920</t>
  </si>
  <si>
    <t>330 (2016)</t>
  </si>
  <si>
    <t>10 (206) 68 (14) 73 (63)</t>
  </si>
  <si>
    <t>65 (195) 68 (37)</t>
  </si>
  <si>
    <t>Sways his upper body while rings rotate</t>
  </si>
  <si>
    <t>7x21x27</t>
  </si>
  <si>
    <t>Plastic, cloth &amp; cardboard</t>
  </si>
  <si>
    <t>65 (195) 73 (69)</t>
  </si>
  <si>
    <t>The Famous Juggler</t>
  </si>
  <si>
    <t>West Germany</t>
  </si>
  <si>
    <t>HZ</t>
  </si>
  <si>
    <t>Hans Zitmann</t>
  </si>
  <si>
    <t>HZ below horse</t>
  </si>
  <si>
    <t>170-300 (2024) w/ box</t>
  </si>
  <si>
    <t>68 (50)</t>
  </si>
  <si>
    <t>PAA40047</t>
  </si>
  <si>
    <t>PAA40048</t>
  </si>
  <si>
    <t>Clown Juggler with 2 plates</t>
  </si>
  <si>
    <t>Body sways laterally while plates rotate</t>
  </si>
  <si>
    <t>5x22x21</t>
  </si>
  <si>
    <t>PAA40049</t>
  </si>
  <si>
    <t>PAA40050</t>
  </si>
  <si>
    <t>Clown Juggler with Monkey</t>
  </si>
  <si>
    <t>Clown arms rotate vertically; his right arm holds a stick which hits the legs of the chair causing its horizontal rotation</t>
  </si>
  <si>
    <t>7x7x24</t>
  </si>
  <si>
    <t>450-700 (2024) w/ box</t>
  </si>
  <si>
    <t>scarcity 4/5</t>
  </si>
  <si>
    <t>PAA40053</t>
  </si>
  <si>
    <t>Circus Clown</t>
  </si>
  <si>
    <t>Clown pedals and moves forward, spins, while arms swing up and down</t>
  </si>
  <si>
    <t>10x6x15</t>
  </si>
  <si>
    <t>Poor, one flap missing</t>
  </si>
  <si>
    <t>51 (65)</t>
  </si>
  <si>
    <t>PAA40058</t>
  </si>
  <si>
    <t>PAA40059</t>
  </si>
  <si>
    <t>PAA40060</t>
  </si>
  <si>
    <t>Skippy, the Tricky Cyclist</t>
  </si>
  <si>
    <t>10x8x14</t>
  </si>
  <si>
    <t>51 (170)</t>
  </si>
  <si>
    <t>scarcity 1.5/5</t>
  </si>
  <si>
    <t>PAA40057</t>
  </si>
  <si>
    <t>Handstanding clown</t>
  </si>
  <si>
    <t>7x5x12</t>
  </si>
  <si>
    <t>3 (441) 110 (658)</t>
  </si>
  <si>
    <t>made in Great Britain</t>
  </si>
  <si>
    <t>PAA40064</t>
  </si>
  <si>
    <t>PAA40065</t>
  </si>
  <si>
    <t>Oscillates lateraly his body</t>
  </si>
  <si>
    <t>J. Chein &amp; Co.</t>
  </si>
  <si>
    <t>J. Chein</t>
  </si>
  <si>
    <t>50-80 (2024)</t>
  </si>
  <si>
    <t>Tumbling Pierrot</t>
  </si>
  <si>
    <t>He tumbles while handstanding holding the bags</t>
  </si>
  <si>
    <t>13x7x9</t>
  </si>
  <si>
    <t>TTK - JOL</t>
  </si>
  <si>
    <t>320 (2024) w/ box</t>
  </si>
  <si>
    <t>126 (112)</t>
  </si>
  <si>
    <t>PAA40062</t>
  </si>
  <si>
    <t>PAA40063</t>
  </si>
  <si>
    <t>22 (248) 46 (77) 57 (43) 68 (57)</t>
  </si>
  <si>
    <t>Apr/21</t>
  </si>
  <si>
    <t>has a second trademark:  Nikko Toy (see 103 (226); original by Alps 1950, see 73 (25)</t>
  </si>
  <si>
    <t>17 (33) 35( 36) 73 (43)</t>
  </si>
  <si>
    <t>57 (14) 63 (28) 73 (58)</t>
  </si>
  <si>
    <t>73 (68)</t>
  </si>
  <si>
    <t>7 (97) 57 (42) 68 (37) 73 (68)</t>
  </si>
  <si>
    <t>51 (169) 73 (88)</t>
  </si>
  <si>
    <t>51 (48)</t>
  </si>
  <si>
    <t>51 (62)</t>
  </si>
  <si>
    <t>51 (77)</t>
  </si>
  <si>
    <t>51 (155)</t>
  </si>
  <si>
    <t>51 (192)</t>
  </si>
  <si>
    <t>51 (98)</t>
  </si>
  <si>
    <t>51 (183)</t>
  </si>
  <si>
    <t>51 (72) 73 (88)</t>
  </si>
  <si>
    <t>51 (73) 73 (88)</t>
  </si>
  <si>
    <t>pat. 23-8968; 23-14141</t>
  </si>
  <si>
    <t>51 (170) 57 (44) 73 (90)</t>
  </si>
  <si>
    <t>51 (107) 73 )97)</t>
  </si>
  <si>
    <t>57 (39) 73 (110)</t>
  </si>
  <si>
    <t>1931</t>
  </si>
  <si>
    <t>Moving Stairs</t>
  </si>
  <si>
    <t>the car is taken to the top of the structure by an elavator; then it descends along the four inclined tracks and the action repeats</t>
  </si>
  <si>
    <t>44x9x23</t>
  </si>
  <si>
    <t>Technofix trademark was adopted after 1935; before  G.E.N.</t>
  </si>
  <si>
    <t>GEN</t>
  </si>
  <si>
    <t>until 1935; tem, Technofix</t>
  </si>
  <si>
    <t>1 (31)</t>
  </si>
  <si>
    <t>Clown Trainer and His Acrobatic Dog</t>
  </si>
  <si>
    <t xml:space="preserve">Clown rotates  around to guide the dog, which runs around and jumps to cross the hood in flames when the arms's clown moves up </t>
  </si>
  <si>
    <t>17x14x17</t>
  </si>
  <si>
    <t>Good, says "watch her runs &amp; jumps through ring fire"</t>
  </si>
  <si>
    <t>51 (74)</t>
  </si>
  <si>
    <t>scarcity 3/5</t>
  </si>
  <si>
    <t>flames and wire are new</t>
  </si>
  <si>
    <t>PAA40067</t>
  </si>
  <si>
    <t>PAA40070</t>
  </si>
  <si>
    <t>220 (2024) w/ box</t>
  </si>
  <si>
    <t>Rotates, neck moves up and down while closes and opens eyes</t>
  </si>
  <si>
    <t>5x5x14</t>
  </si>
  <si>
    <t>Happy Clown</t>
  </si>
  <si>
    <t>PAA40074</t>
  </si>
  <si>
    <t>PAA40075</t>
  </si>
  <si>
    <t>Jonny</t>
  </si>
  <si>
    <t>While rotating backwards, removes hat, bows, puts hat, repeats</t>
  </si>
  <si>
    <t>5x8x15</t>
  </si>
  <si>
    <t>220-380 (2024)</t>
  </si>
  <si>
    <t>PAA40071</t>
  </si>
  <si>
    <t>PAA40072</t>
  </si>
  <si>
    <t>Lucky</t>
  </si>
  <si>
    <t>Clown moves along the wire; when reaches the end, rotates and moves in the opposite direction</t>
  </si>
  <si>
    <t>38x4x15</t>
  </si>
  <si>
    <t>1000  w/ box?</t>
  </si>
  <si>
    <t>colour a little faded</t>
  </si>
  <si>
    <t>Moves on two or four wheels; rotates in one direction, spins and rotates in the opposite direction, clown jumps</t>
  </si>
  <si>
    <t>18x9x23</t>
  </si>
  <si>
    <t>22 (248) 41 (78) 68 (13) 73 (122)</t>
  </si>
  <si>
    <t>Artie the Clown</t>
  </si>
  <si>
    <t>Dog name is "JoJo"</t>
  </si>
  <si>
    <t>180 (2024)</t>
  </si>
  <si>
    <t>PAA40076</t>
  </si>
  <si>
    <t>PAA40077</t>
  </si>
  <si>
    <t>Clown with Guitar</t>
  </si>
  <si>
    <t>Clown with Saxophone</t>
  </si>
  <si>
    <t>DP 810368 (1949) (66 (112))</t>
  </si>
  <si>
    <t>Moves right hand and head to play instrument, pling pling sound</t>
  </si>
  <si>
    <t>Clown on a circulat base, playing guitar</t>
  </si>
  <si>
    <t>Clown on a circulat base, playing saxophone</t>
  </si>
  <si>
    <t>8x8x21</t>
  </si>
  <si>
    <t>10 (78)</t>
  </si>
  <si>
    <t>10 (78) 22 (250) 46 (72)</t>
  </si>
  <si>
    <t>PAA50094</t>
  </si>
  <si>
    <t>PAA50096</t>
  </si>
  <si>
    <t>PAA50098</t>
  </si>
  <si>
    <t>PAA50099</t>
  </si>
  <si>
    <t>Atom Rocket</t>
  </si>
  <si>
    <t>Clown mounting a rocket</t>
  </si>
  <si>
    <t>Moves in a circular motion while clown waves head from side to side, with sparks</t>
  </si>
  <si>
    <t>18x7x12</t>
  </si>
  <si>
    <t>eBay</t>
  </si>
  <si>
    <t>22 (258) 46 (61) 66 (84)</t>
  </si>
  <si>
    <t>PAA40091</t>
  </si>
  <si>
    <t>PAA40092</t>
  </si>
  <si>
    <t>may/18</t>
  </si>
  <si>
    <t>Clown pulling the tail of a donkey</t>
  </si>
  <si>
    <t>clown "pulls" tail, his body moving oscillating to right and left</t>
  </si>
  <si>
    <t>18x4x12</t>
  </si>
  <si>
    <t>KK in losangle</t>
  </si>
  <si>
    <t>Kamiya</t>
  </si>
  <si>
    <t>Kamyia Seisakusho</t>
  </si>
  <si>
    <t>The Obstinate Donkey</t>
  </si>
  <si>
    <t xml:space="preserve">a similar toy (different face of the clown) was also made by KT </t>
  </si>
  <si>
    <t>130 (2024)</t>
  </si>
  <si>
    <t>PAA40080</t>
  </si>
  <si>
    <t>PAA40082</t>
  </si>
  <si>
    <t>Zilotone</t>
  </si>
  <si>
    <t>Clown playing xylophone</t>
  </si>
  <si>
    <t>Clown plays xylophone, the music is defined by an exchangable cam</t>
  </si>
  <si>
    <t>Wolverine</t>
  </si>
  <si>
    <t>Wolverine Supply &amp; Mfg. Co.</t>
  </si>
  <si>
    <t>Pittsburg, PA</t>
  </si>
  <si>
    <t>U.S.A.</t>
  </si>
  <si>
    <t>22x18x18</t>
  </si>
  <si>
    <t>Tin &amp; Steel</t>
  </si>
  <si>
    <t>we have only one "record"</t>
  </si>
  <si>
    <t>7 (89) 108 (52)</t>
  </si>
  <si>
    <t>500-700 (2024)</t>
  </si>
  <si>
    <t>PAA50100</t>
  </si>
  <si>
    <t>PAA50103</t>
  </si>
  <si>
    <t>PAA50104</t>
  </si>
  <si>
    <t>986/2</t>
  </si>
  <si>
    <t>Solisto</t>
  </si>
  <si>
    <t>Clown in red jacket playing violin</t>
  </si>
  <si>
    <t>Body vibrates and rotates while right arm plays violin</t>
  </si>
  <si>
    <t>made in US Zone Germany</t>
  </si>
  <si>
    <t>7x8x11</t>
  </si>
  <si>
    <t>22 (254) 46 (235) 92 (133)</t>
  </si>
  <si>
    <t>after 1956 came with a conical hat (rare)</t>
  </si>
  <si>
    <t>PAA50109</t>
  </si>
  <si>
    <t>PAA50110</t>
  </si>
  <si>
    <t>PAA50111</t>
  </si>
  <si>
    <t>987/2</t>
  </si>
  <si>
    <t>Monkey in green jacket playing violin</t>
  </si>
  <si>
    <t>150-170 (2024)</t>
  </si>
  <si>
    <t>coat has a few holes, bow and bonnet missing</t>
  </si>
  <si>
    <t>46 (235) 92 (132)</t>
  </si>
  <si>
    <t>987/1</t>
  </si>
  <si>
    <t>Monkey in green jacket playing drums</t>
  </si>
  <si>
    <t>Body vibrates and rotates while plays drums</t>
  </si>
  <si>
    <t>7x6x11</t>
  </si>
  <si>
    <t>PAA50114</t>
  </si>
  <si>
    <t>PAA50115</t>
  </si>
  <si>
    <t>PAA50118</t>
  </si>
  <si>
    <t>PAA50112</t>
  </si>
  <si>
    <t>PAA50113</t>
  </si>
  <si>
    <t>Clown Jongleur</t>
  </si>
  <si>
    <t>7x7x12</t>
  </si>
  <si>
    <t>1968</t>
  </si>
  <si>
    <t>an earlier version had tin shoes</t>
  </si>
  <si>
    <t>PAA50105</t>
  </si>
  <si>
    <t>PAA50106</t>
  </si>
  <si>
    <t>PAA50107</t>
  </si>
  <si>
    <t>Monkey Cycle</t>
  </si>
  <si>
    <t>Pedals cycle , right arm rings bell and eyes protrude</t>
  </si>
  <si>
    <t>12x6x11</t>
  </si>
  <si>
    <t>1961</t>
  </si>
  <si>
    <t>Good, colours faded</t>
  </si>
  <si>
    <t>another version of the box seems newer</t>
  </si>
  <si>
    <t>400 (2024) w/ box</t>
  </si>
  <si>
    <t>PAA40088</t>
  </si>
  <si>
    <t>8 (129)</t>
  </si>
  <si>
    <t>Peter</t>
  </si>
  <si>
    <t>Clown in black hat and red jacket driving a 3-wheel car</t>
  </si>
  <si>
    <t>Car has excentric wheels, it waves while moving in random direction, clown's body waves up and down and also laterally</t>
  </si>
  <si>
    <t>12x7x13</t>
  </si>
  <si>
    <t>1948</t>
  </si>
  <si>
    <t>&gt;600</t>
  </si>
  <si>
    <t>1946</t>
  </si>
  <si>
    <t>59 (149)</t>
  </si>
  <si>
    <t>PAA40084</t>
  </si>
  <si>
    <t>PAA40086</t>
  </si>
  <si>
    <t>Clown head and chest money bank</t>
  </si>
  <si>
    <t>When lever is pressed sticks out tongue to accept a coin</t>
  </si>
  <si>
    <t>7 (105)</t>
  </si>
  <si>
    <t>PAA50125</t>
  </si>
  <si>
    <t>PAA50126</t>
  </si>
  <si>
    <t>Monkey see-saw</t>
  </si>
  <si>
    <t>28x6x18</t>
  </si>
  <si>
    <t>See-saw works, flag rotates; when each side touches the floor, monkey puts hat on his head</t>
  </si>
  <si>
    <t>apr/21</t>
  </si>
  <si>
    <t>&gt;500</t>
  </si>
  <si>
    <t>PAA50129</t>
  </si>
  <si>
    <t>Wild West Bucking Broncho</t>
  </si>
  <si>
    <t>1909</t>
  </si>
  <si>
    <t>Cowboy and clown on a platform</t>
  </si>
  <si>
    <t>as the platform moves, clown jumps on its rear legs, cowboy is thrown forward</t>
  </si>
  <si>
    <t>16x7x18</t>
  </si>
  <si>
    <t>&gt;800</t>
  </si>
  <si>
    <t>"Wild West" was the show with which Buffalo Bill (FredericK Cody) travelled around Europe; DRP 202941 (1906) - author: Charles  Aaron Lewis, Denver, Colorado; pat. 42374 (1906)</t>
  </si>
  <si>
    <t>PAA50122</t>
  </si>
  <si>
    <t>PAA50123</t>
  </si>
  <si>
    <t>PAA50124</t>
  </si>
  <si>
    <t>Body vibrates and rotates while arms raise and lower and balls rotate</t>
  </si>
  <si>
    <t>22 (252) 39 (81) 57 (50) 68 (21) 73 (54) 92 (134)</t>
  </si>
  <si>
    <t>Bump Car with Pop Up Clown</t>
  </si>
  <si>
    <t>when car hits obstacle, clown jumps and pushes the roof up</t>
  </si>
  <si>
    <t>18x8x12</t>
  </si>
  <si>
    <t>W TOY inside circle</t>
  </si>
  <si>
    <t>Wakasuto</t>
  </si>
  <si>
    <t>Wakasuto Boeki</t>
  </si>
  <si>
    <t>PAA50119</t>
  </si>
  <si>
    <t>PAA50121</t>
  </si>
  <si>
    <t>variant with yellow car</t>
  </si>
  <si>
    <t>Comical Driver</t>
  </si>
  <si>
    <t>M-1115</t>
  </si>
  <si>
    <t>car can move in a circular path on the two back wheels; clown is sitted and then falls backwards</t>
  </si>
  <si>
    <t>14x8x15</t>
  </si>
  <si>
    <t>200-220 (2024) w/ box</t>
  </si>
  <si>
    <t>pat. 14416; a similar "Circus Car" but with poor litography (and different green box) was made by TeT Toys, citing the same patent</t>
  </si>
  <si>
    <t>PAA50145</t>
  </si>
  <si>
    <t>73 (85)</t>
  </si>
  <si>
    <t>46 (235) 73 (31) 92 (132)</t>
  </si>
  <si>
    <t>51 (71) 73 (45)</t>
  </si>
  <si>
    <t>Clown on Donkey</t>
  </si>
  <si>
    <t>1951</t>
  </si>
  <si>
    <t>Donkey walks on four legs, clown s free to jump slightly</t>
  </si>
  <si>
    <t>17x5x15</t>
  </si>
  <si>
    <t>clown "made in Germany", donkey "Made in US Zone Germany"</t>
  </si>
  <si>
    <t>200-350 (2024)</t>
  </si>
  <si>
    <t>PAA50134</t>
  </si>
  <si>
    <t>PAA50137</t>
  </si>
  <si>
    <t>17x8x16</t>
  </si>
  <si>
    <t>&gt;130</t>
  </si>
  <si>
    <t>offered by Olga Coutinho</t>
  </si>
  <si>
    <t>PAA50131</t>
  </si>
  <si>
    <t>Bump-and-go and ringing sound, clown waves head laterally</t>
  </si>
  <si>
    <t>there is a variant with red car and clown with different make-up;  desirability 2/6 scarcity 5/10</t>
  </si>
  <si>
    <t>17 (66) 21 (39) 35 (88)</t>
  </si>
  <si>
    <t>Happy Clown Car</t>
  </si>
  <si>
    <t>Merry Ball Blower Circus Car</t>
  </si>
  <si>
    <t>Moves forward while blowing a ball that levitates</t>
  </si>
  <si>
    <t>12x8x14</t>
  </si>
  <si>
    <t>KO inside losangle</t>
  </si>
  <si>
    <t>Yoshiya</t>
  </si>
  <si>
    <t>250-500 (2024) w/ box</t>
  </si>
  <si>
    <t>3 colors, red, blue and green</t>
  </si>
  <si>
    <t>we have 2 cars, red and blue, 1 box</t>
  </si>
  <si>
    <t>PAA50132</t>
  </si>
  <si>
    <t>PAA50133</t>
  </si>
  <si>
    <t>Merry Clown</t>
  </si>
  <si>
    <t>14x6x14</t>
  </si>
  <si>
    <t>Clown pedals and moves in a circular path, his head waves back and forward</t>
  </si>
  <si>
    <t>1 (74) 22 (257) 46 (250)</t>
  </si>
  <si>
    <t>700 (2024) w/ box</t>
  </si>
  <si>
    <t>PAA50138</t>
  </si>
  <si>
    <t>PAA50139</t>
  </si>
  <si>
    <t>Carambo</t>
  </si>
  <si>
    <t>When car hits an obstacle, flips over and runs on the opposite side, changing the driver's face</t>
  </si>
  <si>
    <t>13x6x6</t>
  </si>
  <si>
    <t>PAA50148</t>
  </si>
  <si>
    <t>PAA50149</t>
  </si>
  <si>
    <t>PAA50151</t>
  </si>
  <si>
    <t>Bimbo</t>
  </si>
  <si>
    <t>Small red car driven by a clown</t>
  </si>
  <si>
    <t>moves forward, spins, clown's body bends forward and backwards</t>
  </si>
  <si>
    <t>11x6x8</t>
  </si>
  <si>
    <t>Good, one flap poor</t>
  </si>
  <si>
    <t>there is a variant made by Joustra (1960-65)</t>
  </si>
  <si>
    <t>PAA50141</t>
  </si>
  <si>
    <t>PAA50142</t>
  </si>
  <si>
    <t>&gt;150 (2024) w /box</t>
  </si>
  <si>
    <t>Dare Devil</t>
  </si>
  <si>
    <t>Car in a "pit of death"</t>
  </si>
  <si>
    <t xml:space="preserve">Car drives around the pit at high speed </t>
  </si>
  <si>
    <t xml:space="preserve">Plastic &amp; tin </t>
  </si>
  <si>
    <t>20x20x12</t>
  </si>
  <si>
    <t>car can also be red (no. 5)</t>
  </si>
  <si>
    <t>PAA50159</t>
  </si>
  <si>
    <t>PAA50160</t>
  </si>
  <si>
    <t>Clown on cart pulled by a donkey</t>
  </si>
  <si>
    <t>While moving in a circular path, donkey and clown jump</t>
  </si>
  <si>
    <t>18x9x13</t>
  </si>
  <si>
    <t>1974</t>
  </si>
  <si>
    <t>1978</t>
  </si>
  <si>
    <t>inspired  in Lehmann toys Zirka and Balky Mule</t>
  </si>
  <si>
    <t>made in USSR</t>
  </si>
  <si>
    <t>456-БЛ </t>
  </si>
  <si>
    <t>100-250 (2024)</t>
  </si>
  <si>
    <t>PAA50152</t>
  </si>
  <si>
    <t>Clown on cart with orange wheels pulled by a grey donkey</t>
  </si>
  <si>
    <t>moves forward</t>
  </si>
  <si>
    <t>20x8x10</t>
  </si>
  <si>
    <t>44 (32) 45 (21) 46 (104)</t>
  </si>
  <si>
    <t>Clown chariot with donkey</t>
  </si>
  <si>
    <t>22 (246) 44 (28) 45 (94)</t>
  </si>
  <si>
    <t>PAA50153</t>
  </si>
  <si>
    <t>PAA50154</t>
  </si>
  <si>
    <t>Balky Mule</t>
  </si>
  <si>
    <t>1897</t>
  </si>
  <si>
    <t>While moving forward, donkey and clown jump</t>
  </si>
  <si>
    <t>19x7x12</t>
  </si>
  <si>
    <t>clockwork loose</t>
  </si>
  <si>
    <t>alternative names: the Balky Mule, Stubborn Donkey, the Comical Clown; DRP96081 (1897); this seems to be the earlier version of the toy (see 59 (60) for details) - before 1903?</t>
  </si>
  <si>
    <t>PAA50156</t>
  </si>
  <si>
    <t>PAA50157</t>
  </si>
  <si>
    <t>Tom</t>
  </si>
  <si>
    <t>Pulling the string, the monkey climbs it, moving arms and legs</t>
  </si>
  <si>
    <t>6x3x21</t>
  </si>
  <si>
    <t>1895</t>
  </si>
  <si>
    <t>DRP69040 (1892) invented by Shattuck (USA)</t>
  </si>
  <si>
    <t>300-500 (2024)</t>
  </si>
  <si>
    <t>180-250 (2024)</t>
  </si>
  <si>
    <t>PAA90214</t>
  </si>
  <si>
    <t>PAA90217</t>
  </si>
  <si>
    <t>1943</t>
  </si>
  <si>
    <t>7x3x17</t>
  </si>
  <si>
    <t>50 (52)</t>
  </si>
  <si>
    <t>Jocko the Climbing Monkey</t>
  </si>
  <si>
    <t>70-100 (2024) w/ box</t>
  </si>
  <si>
    <t>new name for the Zippo Monkey made by Marx in the 30s (50 (50)); another box version</t>
  </si>
  <si>
    <t>22 (251) 46 (55) 68 (58)</t>
  </si>
  <si>
    <t>57 (91) 73 (19)</t>
  </si>
  <si>
    <t>22 (261) 46 (47) 57 (45) 68 (18) 73 (93)</t>
  </si>
  <si>
    <t>Circus Lion</t>
  </si>
  <si>
    <t>Lion standing on a base</t>
  </si>
  <si>
    <t>2016x24</t>
  </si>
  <si>
    <t>Rock Valley Toys</t>
  </si>
  <si>
    <t>VIA inside circle</t>
  </si>
  <si>
    <t>Hit with the whip the right side of the carpet; lion stands up, roars and moves arms; touch the right side, it stops</t>
  </si>
  <si>
    <t>desirability 4/6 scarcity 8/10</t>
  </si>
  <si>
    <t>17 (21) 35 (47)</t>
  </si>
  <si>
    <t>450-650 (2024) w/ box</t>
  </si>
  <si>
    <t>PAA60161</t>
  </si>
  <si>
    <t>PAA60164</t>
  </si>
  <si>
    <t>MEGO Figuro (Speaking Dog)</t>
  </si>
  <si>
    <t>when lever is activated, bends its head forward and "barks"; it can be used to give the result of a calculation up to 20</t>
  </si>
  <si>
    <t>12x10x17</t>
  </si>
  <si>
    <t>46 (144)</t>
  </si>
  <si>
    <t>PAA60165</t>
  </si>
  <si>
    <t>PAA60166</t>
  </si>
  <si>
    <t>Tippy Joe</t>
  </si>
  <si>
    <t>30x6x23</t>
  </si>
  <si>
    <t>22 (263) 46 (159)</t>
  </si>
  <si>
    <t>Bear climbs stairs; when reaching a certain point, the stairs flip; he continues to advance until the end, when he stands up</t>
  </si>
  <si>
    <t>PAA90187</t>
  </si>
  <si>
    <t>PAA90188</t>
  </si>
  <si>
    <t>PAA90190</t>
  </si>
  <si>
    <t>120 (2024) w/ box</t>
  </si>
  <si>
    <t>Monkey</t>
  </si>
  <si>
    <t>includes carpet with two levers and whip</t>
  </si>
  <si>
    <t>tumbles foward by rotating its arms</t>
  </si>
  <si>
    <t>6x4x8</t>
  </si>
  <si>
    <t>46 (145) 73 (49)</t>
  </si>
  <si>
    <t>PAA60167</t>
  </si>
  <si>
    <t>PAA60168</t>
  </si>
  <si>
    <t>6x4x9</t>
  </si>
  <si>
    <t>moves forward oscillating its legs</t>
  </si>
  <si>
    <t>22 (264) 73 (49)</t>
  </si>
  <si>
    <t>Laufender Affe</t>
  </si>
  <si>
    <t>PAA60169</t>
  </si>
  <si>
    <t>PAA60170</t>
  </si>
  <si>
    <t>pedals tricycle  and changes direction with arms</t>
  </si>
  <si>
    <t>9x5x10</t>
  </si>
  <si>
    <t>PAA60175</t>
  </si>
  <si>
    <t>PAA60176</t>
  </si>
  <si>
    <t>Jo, L'Acrobate</t>
  </si>
  <si>
    <t>6x10x11</t>
  </si>
  <si>
    <t>PAA60171</t>
  </si>
  <si>
    <t>PAA60174</t>
  </si>
  <si>
    <t xml:space="preserve">Bromtol </t>
  </si>
  <si>
    <t>Excellent;  "mueve la cabeza, gira el baston, dobla las piernas"  and in the front "Convenio local del timbre A-26"</t>
  </si>
  <si>
    <t xml:space="preserve">there is variant with a nigger clown; both versions similar to the "Mixtum" EPL775 (1927-1941); toy made with the leftovers of many other toys; the logo is different from the conventional EPL, the horizontal trace of the "L" is missing. At the end of WWII, J. Ritcher was the owner (EP Lehmann died in 1934), and was allowed to resume production from 1946 to 1948, when the  company was confiscated by the russians and all the dies were destroyed. </t>
  </si>
  <si>
    <t>Good plus, many instructions and illustrations</t>
  </si>
  <si>
    <t>Good, with some tape</t>
  </si>
  <si>
    <t>Box names it "DollySeamstress"; rarity 4/10 desirability 4/6</t>
  </si>
  <si>
    <t>only 1/9 cams available</t>
  </si>
  <si>
    <t>re-released version of the original Snoopy World’s Greatest Chef Wind-up Toy made by Aviva in 1977; box mentions licence</t>
  </si>
  <si>
    <t>Cook Mario Batali; Rockey USA TM</t>
  </si>
  <si>
    <t>rubber nose is sagging with time</t>
  </si>
  <si>
    <t>Made in China; diificult to stand without batteries</t>
  </si>
  <si>
    <t>made in US  Zone Germany</t>
  </si>
  <si>
    <t xml:space="preserve">scarcity 2/10 desirability 4/6 </t>
  </si>
  <si>
    <t>second trademark: Shinkosha Co. Ltd (52 (43)) scarcity 7/10 desirability 4/6</t>
  </si>
  <si>
    <t>variant boxes contain Cragstan logo and item 76059; scarcity 1.5/5</t>
  </si>
  <si>
    <t>US Zone Germany; boy detaches  easily</t>
  </si>
  <si>
    <t>Original made in 1950s/1960s by Alps</t>
  </si>
  <si>
    <t>Mechanism does not work very well; we have a second toy with second trademark "T.T" (Takatoku Toys Co. Ltd) (see 52 (40)) - it misses the rear panel and one horse</t>
  </si>
  <si>
    <t>scarcity 2/5; some boxes have the Cragstan mark; this is version II of the toy; version I was launched in 1955, scarcity 4/5</t>
  </si>
  <si>
    <t>there is variant with wheels litographed with spirals instead of spikes</t>
  </si>
  <si>
    <t>Jumbo the Bubble Blowing Elephant</t>
  </si>
  <si>
    <t>Lowers head, raises head and blows bubbles</t>
  </si>
  <si>
    <t>Tin &amp; plush</t>
  </si>
  <si>
    <t>20x11x19</t>
  </si>
  <si>
    <t>plastic cup missing; top of hat incomplete</t>
  </si>
  <si>
    <t>second trademark: E.T.Co. (Tomy, see (51 (25)); scarcity 1/10 desirability 2/6</t>
  </si>
  <si>
    <t>17 (33) 35 (99)</t>
  </si>
  <si>
    <t>PAA90198</t>
  </si>
  <si>
    <t>PAA90199</t>
  </si>
  <si>
    <t>J-4792</t>
  </si>
  <si>
    <t>One monkey beats the drum, another plays cymbals, both move their heads,  and the elephant blows a three-barrel flute moving is trunk</t>
  </si>
  <si>
    <t>19x14x19</t>
  </si>
  <si>
    <t>(The) Jungle Trio</t>
  </si>
  <si>
    <t>17 (45) 35 (100)</t>
  </si>
  <si>
    <t>scarcity 8/10 desirability 6/6</t>
  </si>
  <si>
    <t>PAA90208</t>
  </si>
  <si>
    <t>PAA90211</t>
  </si>
  <si>
    <t>400-450 (2024) w/ box</t>
  </si>
  <si>
    <t>Very good, loose flaps</t>
  </si>
  <si>
    <t>Elephant on Tricycle</t>
  </si>
  <si>
    <t>Elephant with Seesaw</t>
  </si>
  <si>
    <t>Cycle moves  forward, 3 plates spin on top of trunk</t>
  </si>
  <si>
    <t>Seesaw balances right and left, plates spin on top of trunk</t>
  </si>
  <si>
    <t>Elephant with Seesaw with plates on top of trunk</t>
  </si>
  <si>
    <t>9x8x21</t>
  </si>
  <si>
    <t>8x20x19</t>
  </si>
  <si>
    <t>1 of the plates is missing; ball missing</t>
  </si>
  <si>
    <t>replica made in 1980 by Tucher &amp; Walther; versions with different tricycles</t>
  </si>
  <si>
    <t>PAA90194</t>
  </si>
  <si>
    <t>PAA90192</t>
  </si>
  <si>
    <t>PAA90193</t>
  </si>
  <si>
    <t>PAA90196</t>
  </si>
  <si>
    <t>22 (260) 66 (173)</t>
  </si>
  <si>
    <t>66 (172) identifies it as made by Adolf Hahn</t>
  </si>
  <si>
    <t>22 (249) 46 (205) 66 (328) 68 (83)</t>
  </si>
  <si>
    <t>Circus Horse Trainer</t>
  </si>
  <si>
    <t xml:space="preserve">Horse jumps on front legs and tail spins, trainer pulls animal with both arms </t>
  </si>
  <si>
    <t>22x6x15</t>
  </si>
  <si>
    <t>140 (2027)</t>
  </si>
  <si>
    <t>PAA60185</t>
  </si>
  <si>
    <t>PAA60186</t>
  </si>
  <si>
    <t>variant box with ROSKO trademark and nº. 3510</t>
  </si>
  <si>
    <t>22 (266) 46 (202) 73 (84)</t>
  </si>
  <si>
    <t>21 (74) 57 (46) 73 (60)</t>
  </si>
  <si>
    <t xml:space="preserve">Jumbo </t>
  </si>
  <si>
    <t>Jumbo elephant</t>
  </si>
  <si>
    <t>walks on four legs</t>
  </si>
  <si>
    <t>11x5x10</t>
  </si>
  <si>
    <t>toy is marked "made in Germany"; variant "made in US Zone Germany" made 1950/1958</t>
  </si>
  <si>
    <t>22 (269) 46 (56) 57 (75) 78 (39)</t>
  </si>
  <si>
    <t>PAA90200</t>
  </si>
  <si>
    <t>PAA90201</t>
  </si>
  <si>
    <t>Circus Elephant with monkey</t>
  </si>
  <si>
    <t>Elephant with monkey on trunk</t>
  </si>
  <si>
    <t>3 (384) 150 (2024)</t>
  </si>
  <si>
    <t>walks on four legs, raises and lowers trunk, moves ears</t>
  </si>
  <si>
    <t>13x8x7</t>
  </si>
  <si>
    <t>PAA90202</t>
  </si>
  <si>
    <t>PAA90203</t>
  </si>
  <si>
    <t>AHA</t>
  </si>
  <si>
    <t>1981</t>
  </si>
  <si>
    <t>Seal with red and yellow ball</t>
  </si>
  <si>
    <t>Seal moves forward, ball spins</t>
  </si>
  <si>
    <t>8x3x10</t>
  </si>
  <si>
    <t>59 (207) 73 (48)</t>
  </si>
  <si>
    <t>46 (203) 57 (76) 66 (328) 73 (52)</t>
  </si>
  <si>
    <t>55 (17) 57 (83) 73 (68)</t>
  </si>
  <si>
    <t>57 (85) 59 (128) 65 (234) 73 (75)</t>
  </si>
  <si>
    <t>PAA60177</t>
  </si>
  <si>
    <t>PAA60178</t>
  </si>
  <si>
    <t>Fips</t>
  </si>
  <si>
    <t>Cart driven by a monkey and followed by a dog</t>
  </si>
  <si>
    <t>Cart moves with excentric wheels, dog jumps on front legs</t>
  </si>
  <si>
    <t>30-40 (2024)</t>
  </si>
  <si>
    <t>16x8x6</t>
  </si>
  <si>
    <t>Sold in boxes with 6 units; made after no. 155 Joko (94 (125)); same book (p.31) shows differences in production before and after WW1 - our version is the older one; there is also a cheaper version without the dog</t>
  </si>
  <si>
    <t>65 (423) 94 (132)</t>
  </si>
  <si>
    <t>PAA60179</t>
  </si>
  <si>
    <t>PAA60182</t>
  </si>
  <si>
    <t>PAA60183</t>
  </si>
  <si>
    <t>Circus Parade</t>
  </si>
  <si>
    <t>Elephant pulling 3 acrobate clowns</t>
  </si>
  <si>
    <t>Elephant moves forward, two clowns on balls spin, a clown inside a hoop rotates</t>
  </si>
  <si>
    <t>28x4x8</t>
  </si>
  <si>
    <t>Variant boxes, one has Cragstan trademark; scarcity 2/6</t>
  </si>
  <si>
    <t>51 (67)</t>
  </si>
  <si>
    <t>130-150 (2024)</t>
  </si>
  <si>
    <t>PAA90207</t>
  </si>
  <si>
    <t>Coche-Feria Salva Obstaculos - Elétrico</t>
  </si>
  <si>
    <t>Clown  driving a fairground car no.7</t>
  </si>
  <si>
    <t>Bump-and-go action, clown jumps from his seat when the car hits an obstacle</t>
  </si>
  <si>
    <t>Plastic, tin base</t>
  </si>
  <si>
    <t>23x13x21</t>
  </si>
  <si>
    <t>Excellent; "Timbre de envasado Convenio local A-26"</t>
  </si>
  <si>
    <t>180-220 (2024) w/ box</t>
  </si>
  <si>
    <t>PAA90236</t>
  </si>
  <si>
    <t>Frisky Clown Band</t>
  </si>
  <si>
    <t>moves both arms to play drum and cymbals</t>
  </si>
  <si>
    <t>Clown in red and white stripped clothes playing drum and cymbals</t>
  </si>
  <si>
    <t>12x11x18</t>
  </si>
  <si>
    <t>1971</t>
  </si>
  <si>
    <t>Box also has the "ST" symbol (safe toy)</t>
  </si>
  <si>
    <t>MM under mountain</t>
  </si>
  <si>
    <t>Fuji</t>
  </si>
  <si>
    <t>Fuji Press Kogyo</t>
  </si>
  <si>
    <t>PAA90239</t>
  </si>
  <si>
    <t>Musical Clown</t>
  </si>
  <si>
    <t>Clown with red jacket playing  cymbals</t>
  </si>
  <si>
    <t>Vibrates moving around, arms play cymbals</t>
  </si>
  <si>
    <t>Plastic, cloth &amp; tin</t>
  </si>
  <si>
    <t>10x7x17</t>
  </si>
  <si>
    <t>73 (28)</t>
  </si>
  <si>
    <t>PAA90238</t>
  </si>
  <si>
    <t>Clown on a Motorcycle</t>
  </si>
  <si>
    <t>As motocycle advances, clown progressively handstands</t>
  </si>
  <si>
    <t>15x6x12</t>
  </si>
  <si>
    <t>HA HA Toy</t>
  </si>
  <si>
    <t>China</t>
  </si>
  <si>
    <t>Shanghai</t>
  </si>
  <si>
    <t>1990</t>
  </si>
  <si>
    <t>PAA90248</t>
  </si>
  <si>
    <t>Aero Car</t>
  </si>
  <si>
    <t>35 (2024) w/ box</t>
  </si>
  <si>
    <t>Ted car no. 3  that can tumble backwards</t>
  </si>
  <si>
    <t>Moves forward, periodically tumbles backwards</t>
  </si>
  <si>
    <t>9x5x5</t>
  </si>
  <si>
    <t>21 (44)</t>
  </si>
  <si>
    <t>PAA90254</t>
  </si>
  <si>
    <t>Cloth, plush &amp; tin</t>
  </si>
  <si>
    <t>14x7x18</t>
  </si>
  <si>
    <t>Sitting-Clown with Drum</t>
  </si>
  <si>
    <t>Monkey with Drum</t>
  </si>
  <si>
    <t>2 (57)</t>
  </si>
  <si>
    <t>1976</t>
  </si>
  <si>
    <t>Moves head, legs and arms to play drum</t>
  </si>
  <si>
    <t>Cloth, plastic &amp; papier-mache</t>
  </si>
  <si>
    <t>12x6x22</t>
  </si>
  <si>
    <t>2 (56) 73 (28)</t>
  </si>
  <si>
    <t>80 (2024)</t>
  </si>
  <si>
    <t>PAA90255</t>
  </si>
  <si>
    <t>PAA90258</t>
  </si>
  <si>
    <t>PAA90260</t>
  </si>
  <si>
    <t>PAA90242</t>
  </si>
  <si>
    <t>PAA90244</t>
  </si>
  <si>
    <t>Roli Zoli</t>
  </si>
  <si>
    <t>Advances and changes direction randomly</t>
  </si>
  <si>
    <t>11x6x13</t>
  </si>
  <si>
    <t>Lemezarugyar</t>
  </si>
  <si>
    <t>Hungary</t>
  </si>
  <si>
    <t>Pollock's London</t>
  </si>
  <si>
    <t>73 (83)</t>
  </si>
  <si>
    <t>PAA90245</t>
  </si>
  <si>
    <t>PAA90246</t>
  </si>
  <si>
    <t>20-30 (2024) w/ box</t>
  </si>
  <si>
    <t>Several different boxes</t>
  </si>
  <si>
    <t>Happy Drummer</t>
  </si>
  <si>
    <t>Dog playing a large vertical drum</t>
  </si>
  <si>
    <t>11x9x14</t>
  </si>
  <si>
    <t>Advances in a circular path while playing drum with both arms</t>
  </si>
  <si>
    <t>One rubber ball missing</t>
  </si>
  <si>
    <t>PAA90261</t>
  </si>
  <si>
    <t>PAA90262</t>
  </si>
  <si>
    <t>Single Bar Exercise</t>
  </si>
  <si>
    <t>Acrobat tumbles around the trapeze</t>
  </si>
  <si>
    <t>Celuloid, plastic &amp; metal</t>
  </si>
  <si>
    <t>14x14x17</t>
  </si>
  <si>
    <t>PAA90257</t>
  </si>
  <si>
    <t>PAA90240</t>
  </si>
  <si>
    <t>Clown</t>
  </si>
  <si>
    <t>525/K</t>
  </si>
  <si>
    <t>Upon pushing the base, wheel rotates and sparks, clown appears and opens arms</t>
  </si>
  <si>
    <t>3x5x13</t>
  </si>
  <si>
    <t>Space and clown</t>
  </si>
  <si>
    <t>10 (62)</t>
  </si>
  <si>
    <t>USA patent 20.11.1928 (10 (57); similar toy in 10 (57)</t>
  </si>
  <si>
    <t>10 (85) 22 (265) 46 (30) 57 (84) 66 (27)73 (83)</t>
  </si>
  <si>
    <t>10 (87) 22(272) 46 (36) 66 (27)73 (95)</t>
  </si>
  <si>
    <t>10 (92) 22  (267) 46 (33) 66 (27)</t>
  </si>
  <si>
    <t>10 (120) 22 (271) 46 (36) 66 (27)</t>
  </si>
  <si>
    <t>66 (32)</t>
  </si>
  <si>
    <t>Bobby</t>
  </si>
  <si>
    <t>DRP 642402 (1938); no production between 1943-1947; there is a Paya replica;</t>
  </si>
  <si>
    <t>Welsotoys</t>
  </si>
  <si>
    <t>Well-Brimtoy Distributors Ltd</t>
  </si>
  <si>
    <t>Alfred Wells started his metal toymaking business in 1919;Brimtoy started in 1923, rising from the embers of British Metal and Toy Manufacturers; the two companies became one in 1932, when Brimtoy was absorved; In 1949 A. Wells &amp; Co. Ltd. And Brimtoy Ltd. Formed the company of Well-Brimtoy Distributors Ltd.; trademark Wesotoys c.1955</t>
  </si>
  <si>
    <t>Walthamstow, London E17</t>
  </si>
  <si>
    <t>Punch &amp; Judy Shooting Game</t>
  </si>
  <si>
    <t>Pistol with cork held by a wire and target with 3 figures that will drop when hit</t>
  </si>
  <si>
    <t>2x28x18</t>
  </si>
  <si>
    <t>Loja de brinquedos, R. Capelistas</t>
  </si>
  <si>
    <t>no photo</t>
  </si>
  <si>
    <t>14 (40) 35 (111) 62 (13)</t>
  </si>
  <si>
    <t>62 (109) 71 (96) 73 (124)</t>
  </si>
  <si>
    <t>62 (107)</t>
  </si>
  <si>
    <t>62 (109)</t>
  </si>
  <si>
    <t>"Winner of the West" Overland Stagecoach with Four Galloping Horses</t>
  </si>
  <si>
    <t xml:space="preserve">Mostly tin </t>
  </si>
  <si>
    <t>The 4 horses "gallop" because of excentric rotation movement, driver jumps on his seat, cowboy in the rear shoots rifle, lantern flashes</t>
  </si>
  <si>
    <t>46x10x15</t>
  </si>
  <si>
    <t>17 (206)</t>
  </si>
  <si>
    <t>scarcity 7/10</t>
  </si>
  <si>
    <t>Pioneer Covered Wagon</t>
  </si>
  <si>
    <t>Horse moves head and legs, driver jumps on his seat, changes direction</t>
  </si>
  <si>
    <t>Tin &amp; Plastic canopy</t>
  </si>
  <si>
    <t>38x11x21</t>
  </si>
  <si>
    <t>Ichida</t>
  </si>
  <si>
    <t>ICHIDA with grapes</t>
  </si>
  <si>
    <t>Ichida Co. Ltd</t>
  </si>
  <si>
    <t>17 (135)</t>
  </si>
  <si>
    <t>Wagon Master</t>
  </si>
  <si>
    <t>Horses "gallop", driver jumps from his seat, galloping sound</t>
  </si>
  <si>
    <t>46x12x21</t>
  </si>
  <si>
    <t>120 -150; 240 (2024) w/ box</t>
  </si>
  <si>
    <t>patent no.68617, 48832; scarcity 6/10; for the Spanish market, is called "Caravana", with specific box and name on the canopy</t>
  </si>
  <si>
    <t>Abrojito el chacarero</t>
  </si>
  <si>
    <t>Vispa Halcon</t>
  </si>
  <si>
    <t>VISPA Halcon</t>
  </si>
  <si>
    <t>Argentina</t>
  </si>
  <si>
    <t>Vispa e Halcon existiam em separado, juntaram-se nos anos 50. A Vispa produzia brinquedos de corda, muitps inspirados/cipiados doa alamaes (nomeadamente Technofix). A Halcon produzia bicicletas, triciclos, skates e carabinas de pressão.</t>
  </si>
  <si>
    <t>78 (180)</t>
  </si>
  <si>
    <t>17x9x19</t>
  </si>
  <si>
    <t>P2020017</t>
  </si>
  <si>
    <t>P2020018</t>
  </si>
  <si>
    <t>Museo Argentino del Juguete - El Calafate, Argentina</t>
  </si>
  <si>
    <t>this is an adaptation of the Crazy Jeep, designed for Vista by the italian Adino Spadetto</t>
  </si>
  <si>
    <t>may/2015</t>
  </si>
  <si>
    <t>Vaquero Mareado</t>
  </si>
  <si>
    <t>Has a chaotic parh, spins and can stand on the rear wheels</t>
  </si>
  <si>
    <t>12x7x14</t>
  </si>
  <si>
    <t>200-290 (2024)</t>
  </si>
  <si>
    <t>P2020020</t>
  </si>
  <si>
    <t>P2020021</t>
  </si>
  <si>
    <t>The bull kicks the rider, who jumps, and blows bubbles from its nose</t>
  </si>
  <si>
    <t>17x11x17</t>
  </si>
  <si>
    <t>Toy says "Wild West Rodeo", but box says " Bubbling Bull"; original price $2 (USA); desirability 4/6 scarcity 5/10</t>
  </si>
  <si>
    <t xml:space="preserve">17 (59) 35 (37) </t>
  </si>
  <si>
    <t>P2020022</t>
  </si>
  <si>
    <t>P2020023</t>
  </si>
  <si>
    <t>Bends his body forward and backwards, while raises each arm in turn and shoots (noise);  w/ battery, pistols light when shooting</t>
  </si>
  <si>
    <t>Very good, w/ instructions</t>
  </si>
  <si>
    <t>110-140 (2024) w/ box</t>
  </si>
  <si>
    <t>P2020050</t>
  </si>
  <si>
    <t>P2020051</t>
  </si>
  <si>
    <t>P2020052</t>
  </si>
  <si>
    <t xml:space="preserve">Vaquero </t>
  </si>
  <si>
    <t>Cowboy</t>
  </si>
  <si>
    <t>The toy was not successful, was only made during one year and is rare</t>
  </si>
  <si>
    <t>1 (72)</t>
  </si>
  <si>
    <t>Made in US Zone Germany</t>
  </si>
  <si>
    <t>600 (2024) not very good</t>
  </si>
  <si>
    <t>P2020047</t>
  </si>
  <si>
    <t>P2020048</t>
  </si>
  <si>
    <t>P2020049</t>
  </si>
  <si>
    <t>Walking Monkey Cowboy with Two Guns</t>
  </si>
  <si>
    <t>299 (2024) w/ box</t>
  </si>
  <si>
    <t>170 (2024)</t>
  </si>
  <si>
    <t>Banjoist</t>
  </si>
  <si>
    <t>Rotates his torso, makes a shooting sound, moves eyes</t>
  </si>
  <si>
    <t>P2020045</t>
  </si>
  <si>
    <t>P2020046</t>
  </si>
  <si>
    <t>Body vibrates, head waves laterally, right arm "plays" banjo</t>
  </si>
  <si>
    <t>Body balances laterally, arms raise and fall in turn and shoots, hat moves up and down</t>
  </si>
  <si>
    <t>5x5x13</t>
  </si>
  <si>
    <t>51 (50)</t>
  </si>
  <si>
    <t>The manufacturer's logo is mostly cut by the hole for the key; was made by TPS, but box has Linemar trademark; jap. Pat. No. 128040 (1957); scarcity 4/5</t>
  </si>
  <si>
    <t>P2020044</t>
  </si>
  <si>
    <t>June /2021</t>
  </si>
  <si>
    <t>Bullfighter and bull</t>
  </si>
  <si>
    <t>They get quickly closer and apart and bend, so that bull lowers its head and bullfighter raises both arms</t>
  </si>
  <si>
    <t>17x5x12</t>
  </si>
  <si>
    <t>P2020039</t>
  </si>
  <si>
    <t>P2020040</t>
  </si>
  <si>
    <t>P2020043</t>
  </si>
  <si>
    <t>Small beije horse</t>
  </si>
  <si>
    <t>Front legs oscilate forwards/backwards, causing the horse to jump</t>
  </si>
  <si>
    <t>Bucking Horse</t>
  </si>
  <si>
    <t>10x2.5x8</t>
  </si>
  <si>
    <t>P2020037</t>
  </si>
  <si>
    <t>P2020038</t>
  </si>
  <si>
    <t>Bucking Horse with Lasso Spinning Rider</t>
  </si>
  <si>
    <t>30D</t>
  </si>
  <si>
    <t>Cowboy on a small beje horse</t>
  </si>
  <si>
    <t>Tin &amp; papier mache</t>
  </si>
  <si>
    <t>10x4x9</t>
  </si>
  <si>
    <t>Kohler</t>
  </si>
  <si>
    <t>Georg Kohler</t>
  </si>
  <si>
    <t>P2020032</t>
  </si>
  <si>
    <t>P2020033</t>
  </si>
  <si>
    <t>Ridem Cowboy</t>
  </si>
  <si>
    <t>Poor "Bucking Broncho with Twirling Lariat"</t>
  </si>
  <si>
    <t>6x3.5x16</t>
  </si>
  <si>
    <t xml:space="preserve">4-3632-1 </t>
  </si>
  <si>
    <t>P. patents: 16606, 2300</t>
  </si>
  <si>
    <t>126 (79)</t>
  </si>
  <si>
    <t>P2020034</t>
  </si>
  <si>
    <t>P2020035</t>
  </si>
  <si>
    <t>Toy vibrates, lasso rotates</t>
  </si>
  <si>
    <t>13x5x15</t>
  </si>
  <si>
    <t>Good, but one flip missing</t>
  </si>
  <si>
    <t>Lasso Spinning Cowboy</t>
  </si>
  <si>
    <t>P2020028</t>
  </si>
  <si>
    <t>P2020029</t>
  </si>
  <si>
    <t>Potro Salvaje</t>
  </si>
  <si>
    <t>Horse tail and lasso rotate</t>
  </si>
  <si>
    <t>14x11x19</t>
  </si>
  <si>
    <t>&gt;100 (2024) w/ box</t>
  </si>
  <si>
    <t>P2020030</t>
  </si>
  <si>
    <t>P2020031</t>
  </si>
  <si>
    <t>Barcelona</t>
  </si>
  <si>
    <t>Cowboy with Whirling Lasso</t>
  </si>
  <si>
    <t>7x14x24</t>
  </si>
  <si>
    <t>Tin &amp; celuloid</t>
  </si>
  <si>
    <t>150 (2024) w/ box</t>
  </si>
  <si>
    <t xml:space="preserve"> most toys have problems with hats</t>
  </si>
  <si>
    <t>toy in very good condition, but pistol is not original and hat is sagging (and broke a flap)</t>
  </si>
  <si>
    <t>P2060208</t>
  </si>
  <si>
    <t>P2060209</t>
  </si>
  <si>
    <t>Sparking Arab Gentleman</t>
  </si>
  <si>
    <t>Upon pressing lever, sparks leave mouth</t>
  </si>
  <si>
    <t>5x2x12</t>
  </si>
  <si>
    <t>1940</t>
  </si>
  <si>
    <t>P2030067</t>
  </si>
  <si>
    <t>260-300 (2024) on high range w/ box</t>
  </si>
  <si>
    <t xml:space="preserve">1930 </t>
  </si>
  <si>
    <t>7x7x14</t>
  </si>
  <si>
    <t>P2030074</t>
  </si>
  <si>
    <t>P2030075</t>
  </si>
  <si>
    <t>New Orleans, USA</t>
  </si>
  <si>
    <t>Moves forward, goose waves neck and head</t>
  </si>
  <si>
    <t>10x7x13</t>
  </si>
  <si>
    <t>22 (237) 46 (178)</t>
  </si>
  <si>
    <t>22 (237) 46 (191)</t>
  </si>
  <si>
    <t>Fuchs mit Gans im Koffer</t>
  </si>
  <si>
    <t>P2030068</t>
  </si>
  <si>
    <t>P2030069</t>
  </si>
  <si>
    <t>P2030070</t>
  </si>
  <si>
    <t>982/2</t>
  </si>
  <si>
    <t>Seppl mit Violine und Violinbogen</t>
  </si>
  <si>
    <t>Tirolinien man dressed playing violin</t>
  </si>
  <si>
    <t>Vibrates and rotates, right arm plays violin</t>
  </si>
  <si>
    <t>6x8x15</t>
  </si>
  <si>
    <t>P2030072</t>
  </si>
  <si>
    <t>P2030073</t>
  </si>
  <si>
    <t>66 (388) 92 (145)</t>
  </si>
  <si>
    <t xml:space="preserve">22 (225) 66 (390) 92(155) </t>
  </si>
  <si>
    <t>Li'L Abner and His Dogpatch Band</t>
  </si>
  <si>
    <t>13x24x20</t>
  </si>
  <si>
    <t>" Copr. 1945"</t>
  </si>
  <si>
    <t>P2030054</t>
  </si>
  <si>
    <t>arms of the old lady are new</t>
  </si>
  <si>
    <t>400-600 (2024)</t>
  </si>
  <si>
    <t>Upon pulling the toothed spinning rod and placing toy on floor, it will rotate</t>
  </si>
  <si>
    <t>108 (40)</t>
  </si>
  <si>
    <t>46 (191) 108 (48)</t>
  </si>
  <si>
    <t>7 (90) 108 (54)</t>
  </si>
  <si>
    <t>Marx Merry Makers</t>
  </si>
  <si>
    <t>The mouse standing dances, other playing piano waves its body, another plays drums, and a fourth violin</t>
  </si>
  <si>
    <t>The guy standing dances, the girl playing piano waves her body, the guy sitted plays drums, the old lady moves arms</t>
  </si>
  <si>
    <t>13x25x24</t>
  </si>
  <si>
    <t>one tin tap is broken</t>
  </si>
  <si>
    <t>1200 (2024)</t>
  </si>
  <si>
    <t xml:space="preserve">a variant has semi-circular scenario behind the violinist; another has the mouse sitted on the piano  waving a baton with its hands; original price $.98; our toy was made in England; pat. for the mechanism; for the brake: 1393936 (1921)1595702 (1924); </t>
  </si>
  <si>
    <t>P2030055</t>
  </si>
  <si>
    <t>P2030058</t>
  </si>
  <si>
    <t>Jazzbo-Jim The Dancer on the Roof</t>
  </si>
  <si>
    <t>1921</t>
  </si>
  <si>
    <t>Black man on top of a roof playing banjo</t>
  </si>
  <si>
    <t>He jiggs, moving arms and legs</t>
  </si>
  <si>
    <t>12x8x24</t>
  </si>
  <si>
    <t>Strauss</t>
  </si>
  <si>
    <t>The Ferdinand Strauss Corporation</t>
  </si>
  <si>
    <t>New York</t>
  </si>
  <si>
    <t>"Jazzbo Jim" is a trademark, but the same name is used for a different toy from Unique Art (108 (35))</t>
  </si>
  <si>
    <t>some rust and discoloration</t>
  </si>
  <si>
    <t>P2030059</t>
  </si>
  <si>
    <t>P2030060</t>
  </si>
  <si>
    <t>1000-1300 (2024)</t>
  </si>
  <si>
    <t>50 (50) 101 (149) 108 (42) 113 (94)</t>
  </si>
  <si>
    <t>Charlie McCarthy and his Benzine Buggy</t>
  </si>
  <si>
    <t>"crazy jeep": goes forward, reverse, spins,  stands on the two rear wheels, turns head</t>
  </si>
  <si>
    <t>based on the ventriloquist Edgar Bergen (friend of Marx); original price $.49; ; a variant has a red and white steering wheel</t>
  </si>
  <si>
    <t>Monocled figure dressed in black in a black crazy jeep</t>
  </si>
  <si>
    <t>18x7x17</t>
  </si>
  <si>
    <t>P2030062</t>
  </si>
  <si>
    <t>P2030063</t>
  </si>
  <si>
    <t>49 (117) 108 (49) 113 (95)</t>
  </si>
  <si>
    <t>Charlie McCarthy Walker or The McCarthy Strut</t>
  </si>
  <si>
    <t>waddles with a swaying motion, opens and closes his mouth</t>
  </si>
  <si>
    <t xml:space="preserve">Standing monocled figure dressed in black </t>
  </si>
  <si>
    <t>6x7x21</t>
  </si>
  <si>
    <t>P2030065</t>
  </si>
  <si>
    <t>P2030066</t>
  </si>
  <si>
    <t>50 (99) 108 (49)</t>
  </si>
  <si>
    <t>TUT TUT</t>
  </si>
  <si>
    <t>Gentleman blowing horn on an old white car</t>
  </si>
  <si>
    <t>1903</t>
  </si>
  <si>
    <t>17x9x17</t>
  </si>
  <si>
    <t>pat USA May, 12 (1903); for the steering device: DRP 136312, Feb 22, 1902); US Pat 769802, Sept 13 (1904); in Prussia, June 15, 1901, police regulation determined that evrry motor vehicle must be equipped with a horn - this was the first toy auto with a horn;</t>
  </si>
  <si>
    <t>moves forward changing direction and rotating the steering wheel and moving right arm while making a warning sound</t>
  </si>
  <si>
    <t>700-900 (2024)</t>
  </si>
  <si>
    <t>P2030076</t>
  </si>
  <si>
    <t>P2030077</t>
  </si>
  <si>
    <t>LI LA HAMSON CAB</t>
  </si>
  <si>
    <t>driver rides cahanging directions, while one lady knocks with umbrella the hatch on the roof, the other raises her arms, dog shakes head - apparently, they are frightened by the the driving and want to get out</t>
  </si>
  <si>
    <t>13x8x14</t>
  </si>
  <si>
    <t>P2030083</t>
  </si>
  <si>
    <t>P2030084</t>
  </si>
  <si>
    <t>P2030086</t>
  </si>
  <si>
    <t>900-1500 (2024)</t>
  </si>
  <si>
    <t>designed in 1889 on the model of hamson London cabs; LI and LA are diminutives for (Lieselotte and Laura), sisters of EPL; produced in various colours; pats. USA: May, 12 (1903) Jan 2 (1906) Jan, 22 (1907)</t>
  </si>
  <si>
    <t>New Century Cycle</t>
  </si>
  <si>
    <t>13x7x12</t>
  </si>
  <si>
    <t>direction stick is new</t>
  </si>
  <si>
    <t>two versions, different umbrella: earlier birds and flowers, later (ours) stripes; based on a pedal taxi designed by Hermann Ganzwindt in 1895 for Berlin</t>
  </si>
  <si>
    <t>moves forward, while gentleman lifts his hat and helper turns umbrella</t>
  </si>
  <si>
    <t>P2030088</t>
  </si>
  <si>
    <t>P2030091</t>
  </si>
  <si>
    <t>MASUYAMA</t>
  </si>
  <si>
    <t>400-800 (2024)</t>
  </si>
  <si>
    <t>18x8x16</t>
  </si>
  <si>
    <t>collie walks (moves legs), carriage moves forward, lady waves head and fan, umbrella rotates</t>
  </si>
  <si>
    <t>two versions, coolie with different hats (ours is the second); this type of vehicle - jinrikisha - was invented in 1889; toy designed by a japanese exchange student; in the 1920s Masuyama city was an intellectual pole; DRP Dec 2 (1911), USA pat Jan 25 (1927)</t>
  </si>
  <si>
    <t>P2030094</t>
  </si>
  <si>
    <t>P2030095</t>
  </si>
  <si>
    <t>P2030096</t>
  </si>
  <si>
    <t>1000-3000 (2024)</t>
  </si>
  <si>
    <t>Paddy and the Pig</t>
  </si>
  <si>
    <t xml:space="preserve">moves in circles backwards and forwards, the pig tilts, causing Paddy  to move his trunk </t>
  </si>
  <si>
    <t>Pats: USA May 12 (1903), April 25 (1905), Jan 22 (1907);  DRP Feb 15 145861 (1903) 147496; dancing on pigs was a popular circus atraction in 1900; there is na Irish expression: "as Irish as Paddy's pig"</t>
  </si>
  <si>
    <t>P2030098</t>
  </si>
  <si>
    <t>P2030099</t>
  </si>
  <si>
    <t>P2030100</t>
  </si>
  <si>
    <t>&gt;1000 (2024)</t>
  </si>
  <si>
    <t>1933</t>
  </si>
  <si>
    <t>ZIG-ZAG</t>
  </si>
  <si>
    <t>13x9x13</t>
  </si>
  <si>
    <t>the inspiration for this toy is not clear, but could be the Otto bicycle invented in 1882 (London); Daimler put a motor in 1885. Also, the reason for having one white and one black driver is unclear; USA pat: May, 12 (1903), Jan 2 (1906); DRP: Jan 22 (1907)</t>
  </si>
  <si>
    <t>P2030103</t>
  </si>
  <si>
    <t>P2030104</t>
  </si>
  <si>
    <t>P2030108</t>
  </si>
  <si>
    <t>800-1600 (2024)</t>
  </si>
  <si>
    <t>random movement (according to Lehmann it never repeats a movement), white man turns the wheel, black man pulls lever</t>
  </si>
  <si>
    <t>Open Sleigh</t>
  </si>
  <si>
    <t>Esquimo steering two dogs</t>
  </si>
  <si>
    <t>38x10x17</t>
  </si>
  <si>
    <t>mystery action, dogs jump, driver jumps on his seat, clink-clink sound, lantern lights</t>
  </si>
  <si>
    <t>35 (130) 62 (128) 78 (176)</t>
  </si>
  <si>
    <t>Pat: 40-025291; desirability 5/6 scarcity 7-8/10</t>
  </si>
  <si>
    <t>Le Petit Livreur</t>
  </si>
  <si>
    <t>Boy pulls cart running, moving legs and waving body</t>
  </si>
  <si>
    <t>18x8x17</t>
  </si>
  <si>
    <t>58 (126) 71 (140)</t>
  </si>
  <si>
    <t>1912</t>
  </si>
  <si>
    <t>F.M.</t>
  </si>
  <si>
    <t>Fernand Martin</t>
  </si>
  <si>
    <t>Feira Hotel Tuela</t>
  </si>
  <si>
    <t>700-1200 (2024)</t>
  </si>
  <si>
    <t>P2040109</t>
  </si>
  <si>
    <t>P2040110</t>
  </si>
  <si>
    <t>P2040111</t>
  </si>
  <si>
    <t>Traveller</t>
  </si>
  <si>
    <t>Moves forward by moving his legs</t>
  </si>
  <si>
    <t>41 (70)</t>
  </si>
  <si>
    <t>P2040115</t>
  </si>
  <si>
    <t>P2040116</t>
  </si>
  <si>
    <t>Joe Penner and his Duck Goo Goo</t>
  </si>
  <si>
    <t>Cigar is new, hat is missing</t>
  </si>
  <si>
    <t>Moves forward by moving his legs .- a hat was supposed to tilt up and down</t>
  </si>
  <si>
    <t>11x11x20</t>
  </si>
  <si>
    <t>50 (100)</t>
  </si>
  <si>
    <t>250-600 (2024)</t>
  </si>
  <si>
    <t>P2040118</t>
  </si>
  <si>
    <t>P2040119</t>
  </si>
  <si>
    <t>Original cost: $4.15/12; Joe Penner (1904 – 1941) was an American vaudeville, radio, and film comedian, noted for his famed catchphrase, “Wanna buy a duck?” which is printed in the basket.</t>
  </si>
  <si>
    <t>Arab on Camel</t>
  </si>
  <si>
    <t>Camel walks on the 4 legs</t>
  </si>
  <si>
    <t>P2040123</t>
  </si>
  <si>
    <t>P2040121</t>
  </si>
  <si>
    <t>&gt; 400</t>
  </si>
  <si>
    <t>Paddy's Pride</t>
  </si>
  <si>
    <t>Man on a carriage pulled by a pig</t>
  </si>
  <si>
    <t>20x9x11</t>
  </si>
  <si>
    <t>Wheels move forward, man raises arms and pulls the pig's ears</t>
  </si>
  <si>
    <t>P2040142</t>
  </si>
  <si>
    <t>P2040145</t>
  </si>
  <si>
    <t>Bedouin on Camel or Camel Rider</t>
  </si>
  <si>
    <t>22 (281) 46 (178) 66 (200)</t>
  </si>
  <si>
    <t>Tricycle with Driver</t>
  </si>
  <si>
    <t>pedals tricycle, neck grows ansd shortens</t>
  </si>
  <si>
    <t>14x8x12</t>
  </si>
  <si>
    <t>various colours, some photos show it carrying two bags</t>
  </si>
  <si>
    <t>41 (175) 66 (111)</t>
  </si>
  <si>
    <t>P2040125</t>
  </si>
  <si>
    <t>P2040126</t>
  </si>
  <si>
    <t>Oscar</t>
  </si>
  <si>
    <t>170-300 (2024)</t>
  </si>
  <si>
    <t>cart says ""Livraisons Oscar, jamais en retard" and "Klaxoner,…Oscar vous laissera passer"; variant "Punch" has white rider</t>
  </si>
  <si>
    <t>Mont-Blanc</t>
  </si>
  <si>
    <t>Jouets Mont-Blanc</t>
  </si>
  <si>
    <t>P2040127</t>
  </si>
  <si>
    <t>P2040129</t>
  </si>
  <si>
    <t>Express-Boy</t>
  </si>
  <si>
    <t>Porter pushing a brown suitcase</t>
  </si>
  <si>
    <t>boy runs, then jumps to the top of the suitcase and rides it; this achived by two levers hitting the legs, and other two linked to the arms</t>
  </si>
  <si>
    <t>57-1</t>
  </si>
  <si>
    <t>9x4x7</t>
  </si>
  <si>
    <t>we have a second toy with a red porter (poorer conditionn)</t>
  </si>
  <si>
    <t>two variants: handle of the bag flexible and litographed (we have this)</t>
  </si>
  <si>
    <t>P2040149</t>
  </si>
  <si>
    <t>P2040150</t>
  </si>
  <si>
    <t>P2040151</t>
  </si>
  <si>
    <t>P2060233</t>
  </si>
  <si>
    <t>22 (235) 46 (116) 66 (376)</t>
  </si>
  <si>
    <t>J-4099</t>
  </si>
  <si>
    <t xml:space="preserve"> Bubbling Bull or Wild West Rodeo</t>
  </si>
  <si>
    <t>Bell</t>
  </si>
  <si>
    <t>Vittorio Belloni</t>
  </si>
  <si>
    <t>Milan</t>
  </si>
  <si>
    <t>Italy</t>
  </si>
  <si>
    <t>Production was interrupted in 1943-1946</t>
  </si>
  <si>
    <t>clockwork toys</t>
  </si>
  <si>
    <t>Moves higs legs while moves forward</t>
  </si>
  <si>
    <t>7x8x12</t>
  </si>
  <si>
    <t>P2040152</t>
  </si>
  <si>
    <t>P2040153</t>
  </si>
  <si>
    <t>P2040154</t>
  </si>
  <si>
    <t>150-200 (2023)</t>
  </si>
  <si>
    <t>Traveller with Suitcase</t>
  </si>
  <si>
    <t>NU-NU</t>
  </si>
  <si>
    <t>Chinese pulling a Tea Chest</t>
  </si>
  <si>
    <t>Moves legs to advance</t>
  </si>
  <si>
    <t>12x5x14</t>
  </si>
  <si>
    <t>Variant of "Kadi", which has 2 chinese; DRP: May 12 (1903), Jan 22 (1907); USA pat Dec 2 (1903); initial version with string pull</t>
  </si>
  <si>
    <t>59 (68)</t>
  </si>
  <si>
    <t>P2040130</t>
  </si>
  <si>
    <t>P2040131</t>
  </si>
  <si>
    <t>P2040132</t>
  </si>
  <si>
    <t>400-700 (2024)</t>
  </si>
  <si>
    <t>Coolie moves legs, pulling the cart; a boy appears in the cart and tries to pull the coolie's braid</t>
  </si>
  <si>
    <t>15x9x12</t>
  </si>
  <si>
    <t>G&amp;K</t>
  </si>
  <si>
    <t>Gundka-Werk</t>
  </si>
  <si>
    <t>Vereinmigte Bleschspielwarenfabrik GmbH</t>
  </si>
  <si>
    <t>Brandeburg</t>
  </si>
  <si>
    <t>66 (459)</t>
  </si>
  <si>
    <t>Wheels can have a different litography</t>
  </si>
  <si>
    <t>1000-1500 (2024)</t>
  </si>
  <si>
    <t>P2040135</t>
  </si>
  <si>
    <t>P2040136</t>
  </si>
  <si>
    <t>P2040137</t>
  </si>
  <si>
    <t>17x7x15</t>
  </si>
  <si>
    <t>Coolie with Cart</t>
  </si>
  <si>
    <t>Man pulling a cart with a suitcase</t>
  </si>
  <si>
    <t>Man moves legs, suitcase can be opened</t>
  </si>
  <si>
    <t>We have the second version (c.1925), when each arm and half the upper body were made of one piece and the coat became green instead of blue; original price: 70 Pf; there are simpler versions without box and litographed spikes;K this was the last toy launched by Stock before WW1</t>
  </si>
  <si>
    <t>66 (423) 94 (146)</t>
  </si>
  <si>
    <t>The Walking Trolleyman</t>
  </si>
  <si>
    <t>&gt;250 (2023)</t>
  </si>
  <si>
    <t>P2040139</t>
  </si>
  <si>
    <t>P2040141</t>
  </si>
  <si>
    <t>Typical porter of a railway station</t>
  </si>
  <si>
    <t>Gentleman in yellow overcoat with suitcase</t>
  </si>
  <si>
    <t>Man with Suitcase</t>
  </si>
  <si>
    <t>6,5x5x11</t>
  </si>
  <si>
    <t>DGM 1694357 (1952)</t>
  </si>
  <si>
    <t>22 (225) 46 (273) 66 (467)</t>
  </si>
  <si>
    <t>Feet rotate giving seeming to walk and man moves forward waiving foward and backwards his left arm; if he hits an obstacle is supposed to change direction and contour it</t>
  </si>
  <si>
    <t>46 (273) 66 (467)</t>
  </si>
  <si>
    <t>500-800 (2024) w/ box</t>
  </si>
  <si>
    <t>P2040155</t>
  </si>
  <si>
    <t>P2040156</t>
  </si>
  <si>
    <t>P2040157</t>
  </si>
  <si>
    <t>Transport Worker</t>
  </si>
  <si>
    <t>The mechanism is in the box, which rotates; the man has his arms on the box, seemingly rotating it</t>
  </si>
  <si>
    <t>12x5x11</t>
  </si>
  <si>
    <t>22 (231) 46 (282) 66 (474)</t>
  </si>
  <si>
    <t>P2040158</t>
  </si>
  <si>
    <t>P2040159</t>
  </si>
  <si>
    <t>P2040160</t>
  </si>
  <si>
    <t>P2040167</t>
  </si>
  <si>
    <t>Goofy Trimardeur</t>
  </si>
  <si>
    <t>Bindschedler Imprimeto</t>
  </si>
  <si>
    <t>Worker rolling a wooden crate</t>
  </si>
  <si>
    <t>Goofy rolling a wooden crate</t>
  </si>
  <si>
    <t>The mechanism is in the box, which rotates; Goofy has his arms on the box, seemingly rotating it</t>
  </si>
  <si>
    <t>110 (2024)</t>
  </si>
  <si>
    <t>This toy is almost a copy of the Wuco (no. 255); the difference is the head - here Goofy, and the litography</t>
  </si>
  <si>
    <t>P2040162</t>
  </si>
  <si>
    <t>P2040163</t>
  </si>
  <si>
    <t>Baggage Porter</t>
  </si>
  <si>
    <t>Porter on a baggage car, signaling with his left arm</t>
  </si>
  <si>
    <t>11x6x10</t>
  </si>
  <si>
    <t>made in Germany</t>
  </si>
  <si>
    <t>Moves forward, then turns left, the porter raising his left arm (it turns left because a small wheel staggared 45º lowers to the floor; suitcase can be opened</t>
  </si>
  <si>
    <t>P2040170</t>
  </si>
  <si>
    <t>P2040171</t>
  </si>
  <si>
    <t>P2040172</t>
  </si>
  <si>
    <t>Hunter holding a rifle facing targets</t>
  </si>
  <si>
    <t>Ewhen pressing a lever, huinter raises  rifle, a shot is heard, and the target raised falls</t>
  </si>
  <si>
    <t>Mighty Hunter or Big Game Hunter</t>
  </si>
  <si>
    <t>75 (50)</t>
  </si>
  <si>
    <t>P2050182</t>
  </si>
  <si>
    <t>Happy Grand'Pa with Ringing Bell</t>
  </si>
  <si>
    <t>Old man reading near a house and 2 chicken</t>
  </si>
  <si>
    <t>Parasol rotaes, man waves back and forward, chickens vibrtae</t>
  </si>
  <si>
    <t>21x5.5x12</t>
  </si>
  <si>
    <t>10x11x11</t>
  </si>
  <si>
    <t>&gt;100 (2024)</t>
  </si>
  <si>
    <t>P2050180</t>
  </si>
  <si>
    <t>P2050181</t>
  </si>
  <si>
    <t>Sam the City Gardener</t>
  </si>
  <si>
    <t>Gentleman in white suit pushing a garden cart</t>
  </si>
  <si>
    <t>Cart advances, gardener moves his legs</t>
  </si>
  <si>
    <t>21x11x20</t>
  </si>
  <si>
    <t>200-250 (2024) w/ box</t>
  </si>
  <si>
    <t>Made in England; toys made in the USA have a different box and also came with 7 plastic tools</t>
  </si>
  <si>
    <t>P2050177</t>
  </si>
  <si>
    <t>P2050178</t>
  </si>
  <si>
    <t>B-Z Fork LIft</t>
  </si>
  <si>
    <t>Mystery action, operator moves levers</t>
  </si>
  <si>
    <t>26x10x18</t>
  </si>
  <si>
    <t>78 (238)</t>
  </si>
  <si>
    <t>P2050173</t>
  </si>
  <si>
    <t>P2050174</t>
  </si>
  <si>
    <t>P2050176</t>
  </si>
  <si>
    <t>scarcity 6/10; this model does not operate the lift; pat: 400627, (4?)21526, (4?)21527, (4?)28151</t>
  </si>
  <si>
    <t>Compressor</t>
  </si>
  <si>
    <t>Turning knob, man moves arms and hammer works (up and down); adjustable location of the man</t>
  </si>
  <si>
    <t>18x12x13</t>
  </si>
  <si>
    <t>P2050204</t>
  </si>
  <si>
    <t>P2050206</t>
  </si>
  <si>
    <t>1400 (2025) w/ box</t>
  </si>
  <si>
    <t>22 (230) 46 (117) 66 (378)</t>
  </si>
  <si>
    <t>TAP-TAP</t>
  </si>
  <si>
    <t>Wheelbarrow moves forward, gardener moves legs</t>
  </si>
  <si>
    <t>16x7x14</t>
  </si>
  <si>
    <t>Represents a gardener, came with a spade (with EPL logo); Pat: USA May 12 (1903); our version seems to be the oldest, makes ref to USA pat 1903 and does not have toy number; other versions have toy number and refer to USA pat Jan 25 (1927); this toy was popular among itinerant vendors</t>
  </si>
  <si>
    <t>59 (118)</t>
  </si>
  <si>
    <t>350-500 (2024)</t>
  </si>
  <si>
    <t>P2050202</t>
  </si>
  <si>
    <t>P2050203</t>
  </si>
  <si>
    <t>ZIKRA</t>
  </si>
  <si>
    <t>NA-OB</t>
  </si>
  <si>
    <t>Pat: May, 12 (1903), Jan 22 (1907), Dec 2 (1913)</t>
  </si>
  <si>
    <t>front legs of zebra are new</t>
  </si>
  <si>
    <t>250-850 (2024)</t>
  </si>
  <si>
    <t>200-250 (2024)</t>
  </si>
  <si>
    <t>P2050199</t>
  </si>
  <si>
    <t>P2050200</t>
  </si>
  <si>
    <t>P2060211</t>
  </si>
  <si>
    <t>P2060212</t>
  </si>
  <si>
    <t>As it advances, the driver moves up and down on the seat and the zebra bucks</t>
  </si>
  <si>
    <t>Pat: USA Dec 2 (1013), Jan 25 (1927); The toy was inspired by the ill-fated attempt in early 1900's to domesticate zebras as saddle animals and cross-bread them with horses (in Dar-es-Salam, then a German colony), called zebroids; some of these animals were shown as circus freaks or for advertising purposes, and they bucked and kicked frequently; the description of this toy is: "Mexican zebra team; the zebra refuses to be tamed and leaps about wildly". The reason for being Mexican is unknown..; there are 3 versions: "Dare Devil", "Zikra" and "Na-Nu".- until 1948</t>
  </si>
  <si>
    <t>It moves forward (wheels rotate)</t>
  </si>
  <si>
    <t xml:space="preserve">Camping Caravan </t>
  </si>
  <si>
    <t>580/81</t>
  </si>
  <si>
    <t>Car and Caravan, and a couple</t>
  </si>
  <si>
    <t>Car works by friction; caravan can operate shade and rear dor</t>
  </si>
  <si>
    <t>15x6x8</t>
  </si>
  <si>
    <t>39x9x 6.5</t>
  </si>
  <si>
    <t>59 (121)</t>
  </si>
  <si>
    <t>59  (175)</t>
  </si>
  <si>
    <t>two marks on the wheel not found in the remaining toys except EPL768</t>
  </si>
  <si>
    <t>22 (60) 46 (278) 66 (474)</t>
  </si>
  <si>
    <t>small pin in the front of the caravan is missing</t>
  </si>
  <si>
    <t>P2050193</t>
  </si>
  <si>
    <t>Hunter's Cottage</t>
  </si>
  <si>
    <t>Rabbit runs around the house followed by dog, then inverts movement, while hunter vtries to point rifle at it</t>
  </si>
  <si>
    <t>11x18x10</t>
  </si>
  <si>
    <t>KTS inside circle</t>
  </si>
  <si>
    <t>Tatsuya</t>
  </si>
  <si>
    <t>Tatsuya Shoten</t>
  </si>
  <si>
    <t>tip of rifle broken?</t>
  </si>
  <si>
    <t>P2050187</t>
  </si>
  <si>
    <t>P2050188</t>
  </si>
  <si>
    <t>Girl with Geese</t>
  </si>
  <si>
    <t>22 (233) 46 (188) 66 (215)</t>
  </si>
  <si>
    <t>DRGM 1787944 (1959)</t>
  </si>
  <si>
    <t>Girl and geese move their legs, girl raises and lowers right arm with baton</t>
  </si>
  <si>
    <t>17x6x11</t>
  </si>
  <si>
    <t>P2050184</t>
  </si>
  <si>
    <t>P2050186</t>
  </si>
  <si>
    <t>Ostrich and Cart</t>
  </si>
  <si>
    <t>Ostrich moves legs and neck/head</t>
  </si>
  <si>
    <t>22 (279) 46 (188) 66 (214)</t>
  </si>
  <si>
    <t>P2060254</t>
  </si>
  <si>
    <t>P2060256</t>
  </si>
  <si>
    <t>Horse with Cart and Driver</t>
  </si>
  <si>
    <t>Advances, wheels rotate</t>
  </si>
  <si>
    <t>23x8.5x13</t>
  </si>
  <si>
    <t>50 (43, 45)</t>
  </si>
  <si>
    <t>There are combinations of different horses, carts and drivers; this toy was made in England</t>
  </si>
  <si>
    <t>150-300 (2024)</t>
  </si>
  <si>
    <t>P2060222</t>
  </si>
  <si>
    <t>P2060223</t>
  </si>
  <si>
    <t>Plodding Donkey with Cowboy</t>
  </si>
  <si>
    <t>Donkey walks on the 4 four legs</t>
  </si>
  <si>
    <t>11x5x13</t>
  </si>
  <si>
    <t>The box has a different trademark (DAYA) but same toy number</t>
  </si>
  <si>
    <t>P2060217</t>
  </si>
  <si>
    <t>P2060218</t>
  </si>
  <si>
    <t>P2060219</t>
  </si>
  <si>
    <t>100-170 (2024) w/ box</t>
  </si>
  <si>
    <t>Horse jumps forward on four legs</t>
  </si>
  <si>
    <t>21x6x16</t>
  </si>
  <si>
    <t>Loja em Braga</t>
  </si>
  <si>
    <t>Western Hero</t>
  </si>
  <si>
    <t>Older versions of this toy  have a tin cowboy (and a different box); also, this plastic cowboy appears on a different horse, made in Korea, named "cowboy on horse"</t>
  </si>
  <si>
    <t>There is a variant named "Donkey boy" (this also writtenm in the saddle),  but boy mounts the donkey</t>
  </si>
  <si>
    <t>Donkey Express</t>
  </si>
  <si>
    <t>50 (2023) w/ box</t>
  </si>
  <si>
    <t>Feira da Ladra</t>
  </si>
  <si>
    <t>Donkey jumps forward on four legs</t>
  </si>
  <si>
    <t>18x5.5x8</t>
  </si>
  <si>
    <t>P2060231</t>
  </si>
  <si>
    <t>P2060232</t>
  </si>
  <si>
    <t>P2060220</t>
  </si>
  <si>
    <t>Music Band "General"</t>
  </si>
  <si>
    <t>8x7x17</t>
  </si>
  <si>
    <t>moves arms up and down to play cymbal (poor design, cymbals leave their position, and stops working) and rotates body</t>
  </si>
  <si>
    <t>there is a variant with black uniform</t>
  </si>
  <si>
    <t>P2060215</t>
  </si>
  <si>
    <t>P2060216</t>
  </si>
  <si>
    <t>SuperDozer with Revolving Lighted Engine</t>
  </si>
  <si>
    <t>T-27</t>
  </si>
  <si>
    <t>Orange buldozer</t>
  </si>
  <si>
    <t>Mystery action, engine lights</t>
  </si>
  <si>
    <t>19x10x13</t>
  </si>
  <si>
    <t>A variant box with different side colors has Frankonia trademark (a US importer)</t>
  </si>
  <si>
    <t>140 (2024) w/ box</t>
  </si>
  <si>
    <t>P2060213</t>
  </si>
  <si>
    <t>P2060214</t>
  </si>
  <si>
    <t>Tractor Perplex</t>
  </si>
  <si>
    <t>Red tractor</t>
  </si>
  <si>
    <t>Steerable, two gear shifting and stop</t>
  </si>
  <si>
    <t>18x19x10</t>
  </si>
  <si>
    <t>800 (2024)</t>
  </si>
  <si>
    <t>1300 (2024)  w/ box</t>
  </si>
  <si>
    <t>10 (186) 22 (167)</t>
  </si>
  <si>
    <t>P2060227</t>
  </si>
  <si>
    <t>P2060228</t>
  </si>
  <si>
    <t>driver is missing (this is common in internet)</t>
  </si>
  <si>
    <t>Tractor with Trailer</t>
  </si>
  <si>
    <t>77/6</t>
  </si>
  <si>
    <t>Steerable, trailer can tilt sideways</t>
  </si>
  <si>
    <t>28x7x8</t>
  </si>
  <si>
    <t>no. 77/6 or 776</t>
  </si>
  <si>
    <t>44 (49) 45 (69) 46 (96)</t>
  </si>
  <si>
    <t>P2060229</t>
  </si>
  <si>
    <t>Catterpillar with Shovel</t>
  </si>
  <si>
    <t>small  plastic chimney missing</t>
  </si>
  <si>
    <t>Moves forward, shovel can be risen with a lever</t>
  </si>
  <si>
    <t>13x8x6</t>
  </si>
  <si>
    <t>P2060241</t>
  </si>
  <si>
    <t>44 (52) 45 (75)</t>
  </si>
  <si>
    <t>Road Roller 1927</t>
  </si>
  <si>
    <t>KOVAP</t>
  </si>
  <si>
    <t>Kovap</t>
  </si>
  <si>
    <t>KOVAP Náchod, Ltd.</t>
  </si>
  <si>
    <t>Nový Hrádek</t>
  </si>
  <si>
    <t>Czech Republic</t>
  </si>
  <si>
    <t xml:space="preserve"> Active</t>
  </si>
  <si>
    <r>
      <t> </t>
    </r>
    <r>
      <rPr>
        <b/>
        <sz val="6"/>
        <color rgb="FF1D1D1B"/>
        <rFont val="Poppins"/>
      </rPr>
      <t>Sedlák brothers</t>
    </r>
    <r>
      <rPr>
        <sz val="6"/>
        <color rgb="FF1D1D1B"/>
        <rFont val="Poppins"/>
      </rPr>
      <t>.</t>
    </r>
  </si>
  <si>
    <t>Green road roller</t>
  </si>
  <si>
    <t>Moves foward and backwards</t>
  </si>
  <si>
    <t>P2060245</t>
  </si>
  <si>
    <t>Tractor and Trailer</t>
  </si>
  <si>
    <t>Seerable, 3 gears and reverse, brake</t>
  </si>
  <si>
    <t>18x10x14</t>
  </si>
  <si>
    <t>36x9x9</t>
  </si>
  <si>
    <t>55 (2024)</t>
  </si>
  <si>
    <t>64 (2024)</t>
  </si>
  <si>
    <t>Reproduction with certificate; made by  TRIX Modelleisenbhan</t>
  </si>
  <si>
    <t>legs move</t>
  </si>
  <si>
    <t>9x9x18</t>
  </si>
  <si>
    <t>Reproduction with certificate (original made in 1930-1934)</t>
  </si>
  <si>
    <t>Parents offer</t>
  </si>
  <si>
    <t>P2060250</t>
  </si>
  <si>
    <t>Maletero</t>
  </si>
  <si>
    <t>Playing Ping-Pong</t>
  </si>
  <si>
    <t>MS 358</t>
  </si>
  <si>
    <t>Two men playing ping-pong</t>
  </si>
  <si>
    <t>One man tilts forward, the racket hitting the ball, which moves to the other side of the table, where the other man awaits for it slight inclined backwards; the action repeats</t>
  </si>
  <si>
    <t>23x7x13</t>
  </si>
  <si>
    <t>40-60 (2024)</t>
  </si>
  <si>
    <t>P2060238</t>
  </si>
  <si>
    <t>P2060239</t>
  </si>
  <si>
    <t>Little Traveller</t>
  </si>
  <si>
    <t>MS 823</t>
  </si>
  <si>
    <t>Suitcase moves forward, man moves legs</t>
  </si>
  <si>
    <t>Tin, Plastic &amp; cloth</t>
  </si>
  <si>
    <t>9x9x15</t>
  </si>
  <si>
    <t>P2060236</t>
  </si>
  <si>
    <t>P2060237</t>
  </si>
  <si>
    <t>Slugger Champions</t>
  </si>
  <si>
    <t>MS 381</t>
  </si>
  <si>
    <t>Black and white boxeurs on the ring</t>
  </si>
  <si>
    <t>The boxeurs vibrate, moving bodies and one arm</t>
  </si>
  <si>
    <t>12x12x11</t>
  </si>
  <si>
    <t>This is a reproduction of the Biller toy with the same name</t>
  </si>
  <si>
    <t>30 (2024)</t>
  </si>
  <si>
    <t>P2060249</t>
  </si>
  <si>
    <t>Construction set for Steam Engine D5</t>
  </si>
  <si>
    <t>D5/C5</t>
  </si>
  <si>
    <t>Steam engine on a platform</t>
  </si>
  <si>
    <t>Steam engine</t>
  </si>
  <si>
    <t>Wilesco</t>
  </si>
  <si>
    <t>Wilh. Schroder &amp; Co.</t>
  </si>
  <si>
    <t>Schutzenstrasse 12 / 588 Ludenscheid</t>
  </si>
  <si>
    <t>20x14x21</t>
  </si>
  <si>
    <t>Excellent, with instructions, printed in 1974</t>
  </si>
  <si>
    <t>150-200 (2024)</t>
  </si>
  <si>
    <t>P2060251</t>
  </si>
  <si>
    <t>P2060253</t>
  </si>
  <si>
    <t>Wilesco sells it for 130€ (2024); we have also accessories M66 (dynamo) and M51 (drilling machine)</t>
  </si>
  <si>
    <t>Twinkle Toes or The Ballet Dancer</t>
  </si>
  <si>
    <t>there are several variants with different dresses; for this particular toy, two different boxes, one of each calls it "Twinkle Toes"; similar toys were made by Einfalt</t>
  </si>
  <si>
    <t>Toonerville Trolley</t>
  </si>
  <si>
    <t>6-310-50</t>
  </si>
  <si>
    <t xml:space="preserve">Toy wobbles as it moves forward,driver moves forward and back and steers. The trolley stops, the driver rotates the tiller in opposite directions until the trolley moves again. </t>
  </si>
  <si>
    <t>Fischer, H</t>
  </si>
  <si>
    <t>H Fischer</t>
  </si>
  <si>
    <t>Reproduction box (too small, probably for one variant of this toy)</t>
  </si>
  <si>
    <t>Feb/2025</t>
  </si>
  <si>
    <t>350-450 (2025)</t>
  </si>
  <si>
    <t>Large blue, red and yellow crane on wheels</t>
  </si>
  <si>
    <t>Tavira</t>
  </si>
  <si>
    <t>12.5x7x18</t>
  </si>
  <si>
    <t>45x14x23</t>
  </si>
  <si>
    <t>46 (209)</t>
  </si>
  <si>
    <t>Fontaine Fox was a popular American cartoonist, with the Toonerville Trolley as a syndicated cartoon featuring a trolley with "Skipper" at the helm. Some felt that Fontaine's inspiration for the Trolley was based on a Trolley Ride he took through Pelham New York in 1909. F.F. continued this comic strip until 1955 when he retired. Marked Trolley No. 280098, G.M. 33967 and D.R.P. 257554 (1912). Distributed in the USA by Nifty. There are four toy variants, 3 made in Germany in the mid-1920s by H. Fischer, Nuremberg, and a fourth was made in Japan, maker unknown, probably circa 1930. Variant 1 is the one most readily available today (our toy), which means it greatly outsold the others in the 1920s. The mechanism involves stop-and-go and shaking and an eccentric axle with offset wheels that cause the toy to wobble as it moves forward. The Skipper holds the tiller in one hand, which is connected by a rod to the mechanism, so that when the trolley moves forward the Skipper moves forward and back and the tiller is moved as if he is steering. The second variant has a simpler mechanism: it has an offset wheel so that it does wobble, but the Skipper’s arm is not connected to the mechanism. To create movement around the Skipper, he is placed on a spring.  No electric take-up wire on the roof, and slightly smaller box. The third variant is designed to run on railroad tracks. It sold in a bigger box that included the track. The Japanese variant was made circa 1930 and was larger. Same markings and copyright date 1922, but just above the Skipper’s head on the roof canopy it reads “Made In Japan.”</t>
  </si>
  <si>
    <t>The lever has four horizontal positions (X), for rotation directions and raise/lower load</t>
  </si>
  <si>
    <t>2 variants: the one we have, another where the crane sits on four legs</t>
  </si>
  <si>
    <t>Crane</t>
  </si>
  <si>
    <t xml:space="preserve">La Boule Mystérieuse </t>
  </si>
  <si>
    <t>Pulling the string, the ball closes and rolls down the spiral, and then  it ascends back to the top and opens</t>
  </si>
  <si>
    <t>11x11x36</t>
  </si>
  <si>
    <t>The design was inspired by an act performed by acrobat Léon LeRoche at the Barnum &amp; Bailey Circus in 1902, where he scaled a 3.6 meter high spiral inside a rolling metal ball. French inventor M. Célestin Gasselin patented the design on December 6, 1905. Fernand Martin acquired the patent and began production in 1906. The toy was registered in Germany under patent number D.R.G.M. 269277.</t>
  </si>
  <si>
    <t>800-1200 (2025)</t>
  </si>
  <si>
    <t>Interplanetary Spaceship ATOM-ROCKET-15</t>
  </si>
  <si>
    <t>Bump-and-go action, flashing engine, rotating antena, engine noise</t>
  </si>
  <si>
    <t>32x16x13</t>
  </si>
  <si>
    <t>one side "missile" missing</t>
  </si>
  <si>
    <t>Yonezawa Toys Co Ltd</t>
  </si>
  <si>
    <t>No.16-6, Asakusabashi 3-Chrome, Taito-Ku, Tokyo</t>
  </si>
  <si>
    <t>Holdraketa</t>
  </si>
  <si>
    <t>Vertical grey rocket</t>
  </si>
  <si>
    <t>When the tip hits an obstacle, the rocket raises vertically, opens hatchet and articulated stairs open</t>
  </si>
  <si>
    <t>40x11x11</t>
  </si>
  <si>
    <t>This Hungarian toy is a copy of a japanese original made by  Mausya in the 60s</t>
  </si>
  <si>
    <t>43 (178)</t>
  </si>
  <si>
    <t>Long Distance Jetliner</t>
  </si>
  <si>
    <t>25x13x9</t>
  </si>
  <si>
    <t>Space Rocket Apollo-11</t>
  </si>
  <si>
    <t>Jet Plane MF-105</t>
  </si>
  <si>
    <t>White rocket Apollo-11</t>
  </si>
  <si>
    <t>scarcity 6/10</t>
  </si>
  <si>
    <t>35 (22)</t>
  </si>
  <si>
    <t>35 (19)</t>
  </si>
  <si>
    <t>scarcity 5/10</t>
  </si>
  <si>
    <t>35x13x11</t>
  </si>
  <si>
    <t>50-100 (2024)</t>
  </si>
  <si>
    <t>Apollo -X Moon Challenger</t>
  </si>
  <si>
    <t>Moves forward, stops, raises vertically, petals open and space capsule extends tem retreats and petals close, lowers, moves, with engine blinking light</t>
  </si>
  <si>
    <t>42x12x11</t>
  </si>
  <si>
    <t>35 (20)</t>
  </si>
  <si>
    <t>made in Japan; the toy is complete, although the box shows shovel</t>
  </si>
  <si>
    <t>Space  Rocket Solar-X</t>
  </si>
  <si>
    <t>Grey and red vertical rocket 7</t>
  </si>
  <si>
    <t>Moves forward, stops, raises vertically,  lowers, moves, with engine light and sound</t>
  </si>
  <si>
    <t>40x12x13</t>
  </si>
  <si>
    <t>Moves forward, raises vertically, wings spread and recoil, lowers, with engine light and sound</t>
  </si>
  <si>
    <t>Space Rocket Saturn-X5</t>
  </si>
  <si>
    <t>Mystery action, door opens and closes, engine sound</t>
  </si>
  <si>
    <t>28x8x10</t>
  </si>
  <si>
    <t>scarcity 3/10; a second later variant was called Solar X-8 with different litography</t>
  </si>
  <si>
    <t>35 (171) 62 (115) 132 (139)</t>
  </si>
  <si>
    <t>lid of battery box with rust</t>
  </si>
  <si>
    <t>Clown Head Mechanical Bank</t>
  </si>
  <si>
    <t>P1010041</t>
  </si>
  <si>
    <t>P1010070</t>
  </si>
  <si>
    <t>P1010070A</t>
  </si>
  <si>
    <t>P1200005</t>
  </si>
  <si>
    <t>P1200006</t>
  </si>
  <si>
    <t>P1200003</t>
  </si>
  <si>
    <t>P1200001</t>
  </si>
  <si>
    <t>P1200002</t>
  </si>
  <si>
    <t>PC110001</t>
  </si>
  <si>
    <t>PC120001</t>
  </si>
  <si>
    <t>PC120002</t>
  </si>
  <si>
    <t>PC120005</t>
  </si>
  <si>
    <t>PC120037</t>
  </si>
  <si>
    <t>P1220007</t>
  </si>
  <si>
    <t>P1220009</t>
  </si>
  <si>
    <t>P1220016</t>
  </si>
  <si>
    <t>PAA40040</t>
  </si>
  <si>
    <t>PAA40078</t>
  </si>
  <si>
    <t>PAA40079</t>
  </si>
  <si>
    <t>P2020001</t>
  </si>
  <si>
    <t>P2020002</t>
  </si>
  <si>
    <t>P2020003</t>
  </si>
  <si>
    <t>P2060246</t>
  </si>
  <si>
    <t>P2030078</t>
  </si>
  <si>
    <t>P2030079</t>
  </si>
  <si>
    <t>P2030080</t>
  </si>
  <si>
    <t>PD260012</t>
  </si>
  <si>
    <t>PD260013</t>
  </si>
  <si>
    <t>PD020081</t>
  </si>
  <si>
    <t>PD020082</t>
  </si>
  <si>
    <t>PD260015</t>
  </si>
  <si>
    <t>PD260017</t>
  </si>
  <si>
    <t>PD260018</t>
  </si>
  <si>
    <t>PD260019</t>
  </si>
  <si>
    <t>PD260021</t>
  </si>
  <si>
    <t>PD260022</t>
  </si>
  <si>
    <t>PD020085</t>
  </si>
  <si>
    <t>PD020086</t>
  </si>
  <si>
    <t>PD020088</t>
  </si>
  <si>
    <t>NIKE</t>
  </si>
  <si>
    <t>Blue and White Rocket NIKE</t>
  </si>
  <si>
    <t>MS-84</t>
  </si>
  <si>
    <t>Moves by friction, when it hits na obstacle stands-up</t>
  </si>
  <si>
    <t>19x7x7</t>
  </si>
  <si>
    <t>Masuya</t>
  </si>
  <si>
    <t>M with an S inside</t>
  </si>
  <si>
    <t>Masuya Toys</t>
  </si>
  <si>
    <t>PD020083</t>
  </si>
  <si>
    <t>PD020084</t>
  </si>
  <si>
    <t>132 (53)</t>
  </si>
  <si>
    <t>DUX ASTROMAN</t>
  </si>
  <si>
    <t>10x12x35</t>
  </si>
  <si>
    <t>Excellent w/ instructions</t>
  </si>
  <si>
    <t>Yellow button: raise and lower arms; green button: opens and closes arms laterally; red button: move forward; blue button: bend over and back</t>
  </si>
  <si>
    <t>Green plastic transparent robot</t>
  </si>
  <si>
    <t>several variants with different litographies; pat. P. 55095</t>
  </si>
  <si>
    <t>spare antena (incomplete); cargo boxes missing</t>
  </si>
  <si>
    <t>PD020089</t>
  </si>
  <si>
    <t>PD020090</t>
  </si>
  <si>
    <t>1500-2000 (2024) w/ box</t>
  </si>
  <si>
    <t>Rotate-O-Matic Super Astronaut</t>
  </si>
  <si>
    <t>scarcity 1/10</t>
  </si>
  <si>
    <t>35 (151) 132 (162)</t>
  </si>
  <si>
    <t>9x14x30</t>
  </si>
  <si>
    <t>Moves forward, stops, swings doors, rotates body while shooting (blinking lights and sound)</t>
  </si>
  <si>
    <t>PD020093</t>
  </si>
  <si>
    <t>Musical Robot</t>
  </si>
  <si>
    <t>Moves forward while plays music, stops with blinking light</t>
  </si>
  <si>
    <t>HC Toys</t>
  </si>
  <si>
    <t>Unit 1906, Block B, Wah Fat Industrial Building, 10-14 Kung Yip Street, Kwai Chung, Hong Kong.</t>
  </si>
  <si>
    <t>10x16x30</t>
  </si>
  <si>
    <t>does not play music</t>
  </si>
  <si>
    <t>PD020091</t>
  </si>
  <si>
    <t>PD020094</t>
  </si>
  <si>
    <t>PD020095</t>
  </si>
  <si>
    <t>SATURN Robot</t>
  </si>
  <si>
    <t>K</t>
  </si>
  <si>
    <t>KAMCO</t>
  </si>
  <si>
    <t>Hong Kong</t>
  </si>
  <si>
    <t>150-250 (2025) w/ box</t>
  </si>
  <si>
    <t>Moves forward as a space scene scrolls across the TV screen; 4 missiles can be manually shot</t>
  </si>
  <si>
    <t>11x17x30</t>
  </si>
  <si>
    <t>PD030210</t>
  </si>
  <si>
    <t>PD030211</t>
  </si>
  <si>
    <t>Television Spaceman</t>
  </si>
  <si>
    <t>Moves forward in a sinusoidal path, while space scene scrolls in chest and antena rotates; arms can be raised manually</t>
  </si>
  <si>
    <t>5x6x19</t>
  </si>
  <si>
    <t>300-500 (2025) w/ box</t>
  </si>
  <si>
    <t>PD020103</t>
  </si>
  <si>
    <t>PD020104</t>
  </si>
  <si>
    <t>TOBOR Robot Mecanico Centelleante</t>
  </si>
  <si>
    <t>Moves forward, sparks in chest</t>
  </si>
  <si>
    <t>7x11.5x16</t>
  </si>
  <si>
    <t>Capri</t>
  </si>
  <si>
    <t xml:space="preserve"> Good</t>
  </si>
  <si>
    <t>PLÁSTICOS CAPRI SRL</t>
  </si>
  <si>
    <t>&gt;200 (2024) w/ box</t>
  </si>
  <si>
    <t>PD020102</t>
  </si>
  <si>
    <t>PD020100</t>
  </si>
  <si>
    <t>Roboy ST-1</t>
  </si>
  <si>
    <t>Silver robot</t>
  </si>
  <si>
    <t>Legs walk, makes sparks</t>
  </si>
  <si>
    <t>10x6x20</t>
  </si>
  <si>
    <t>&gt; 300 (2024)</t>
  </si>
  <si>
    <t>PD020097</t>
  </si>
  <si>
    <t>PD020098</t>
  </si>
  <si>
    <t>11x16x38</t>
  </si>
  <si>
    <t>On/off button is antena; walks as a space scene scrolls across the TV screen and swings arms; rolls eyes</t>
  </si>
  <si>
    <t>35 (186) 62 (106) 132 (27)</t>
  </si>
  <si>
    <t>43 (31) 47 (98) 132 (75)</t>
  </si>
  <si>
    <t>Similar to "Zoomer the Robot" by Nomura; desirability 5/8</t>
  </si>
  <si>
    <t>3 (247) 43 (65)</t>
  </si>
  <si>
    <t>This is an Argentinian version of the Noguchi (logo N inside a triangle) "Mechanical Sparking Spaceman"; desirability 4/8</t>
  </si>
  <si>
    <t>Designed by Lothar Stanetzki of Bonn; The original patent, was filed in January 1960 and granted in April 1964; considered as the first plastic robot; desirability 6/8</t>
  </si>
  <si>
    <t>43 (107)</t>
  </si>
  <si>
    <t>43 (111) 132 (94)</t>
  </si>
  <si>
    <t>desirability 4/8</t>
  </si>
  <si>
    <t xml:space="preserve">Was made in 4 variants throughout the 1960s, but with the same box showing a metal antena;  variant 1 (1961-1963) had metal feet and legs, smaller television screen, clear mask, golden eyes that are closer to the front of the mask, tin battery cover, small u shaped hands, and diamond shaped metal radar dish. Variant 2 (1964) had plastic feet with three ridges on the front, and a plastic battery door.  Variant 3 (1965-1966) had red plastic circular antenna, plastic battery door and feet, but metal legs. Variant 4 (ours) (1967-1969) had plastic legs, large C shaped hands, a slightly larger TV screen, a red plastic hole for the antenna to go into, a rose tint facial mask, a slightly different color band for the mouth, the eyes are more set to the back of the head, and the trimming of the control panel is gray instead of it being a light sky blue.    Cost: $3.49 (1961), $3.79 (1963), $3.99 (1964), $4.49 (1968); scarcity 7/10; </t>
  </si>
  <si>
    <t>1000-2500 (2024) w/ box</t>
  </si>
  <si>
    <t>PD260029</t>
  </si>
  <si>
    <t>PD260030</t>
  </si>
  <si>
    <t>PD260031</t>
  </si>
  <si>
    <t>Universe Rocket</t>
  </si>
  <si>
    <t>Grey "Universe " rocket</t>
  </si>
  <si>
    <t>28x14x6</t>
  </si>
  <si>
    <t>Moves forward, makes sparks; retractable tip</t>
  </si>
  <si>
    <t>MF 030</t>
  </si>
  <si>
    <t>desirability 3/8</t>
  </si>
  <si>
    <t>Viscount Plane</t>
  </si>
  <si>
    <t>TP-237</t>
  </si>
  <si>
    <t>American Airlines plane, showing stewardess and passengers</t>
  </si>
  <si>
    <t>lever opens canopy:  central switch turns lights on the wings and stewerdess walks to and fro; right and left switches turn on respective helices; close canopy and plane starts to run; pull front lever and plane stops</t>
  </si>
  <si>
    <t>45x48x18</t>
  </si>
  <si>
    <t xml:space="preserve">400-600 (2024) </t>
  </si>
  <si>
    <t xml:space="preserve">The Vickers Viscount passenger plane entered service in 1953. Tomy catalogue (1966) mentions 3 decorations: SAS, LH &amp; Alitalia; Rosko toys sold "Viscount Air Liner" of American Lines (our toy); toys were made with 2 logos, one for 1959-1963, the other (our) 1963-1982. </t>
  </si>
  <si>
    <t>PD260032</t>
  </si>
  <si>
    <t>PD260033</t>
  </si>
  <si>
    <t>PD260037</t>
  </si>
  <si>
    <t>Electro Radiant 5600</t>
  </si>
  <si>
    <t>Toy collector in Amadora</t>
  </si>
  <si>
    <t>Performs the original starting process of the real plane. The four engines start one after the other with an interval of about five seconds each, then the engines switch to high speed and the aircraft starts to taxi, whereby the direction can be changed via a steering wire. In addition, a small light bulb lights up on the nose of the aircraft. After taxiing, the four motors switch off again one after the other and the process is repeated as long as the switch is set to "automatic"</t>
  </si>
  <si>
    <t>1000 (2024) w/ box</t>
  </si>
  <si>
    <t>does not work properly (gear defect, two gears are not interconnecting)</t>
  </si>
  <si>
    <t>42x48x16</t>
  </si>
  <si>
    <t>Based on the four-engined Vickers Viscount 814. There are replicas of this toymade in 2005 (approx. 300€, 700€ w/ box) in 2025). "Replica" is printed on the bottom; scarcity 8/10</t>
  </si>
  <si>
    <t>Jet Plane Douglas DC-9</t>
  </si>
  <si>
    <t>TWA airplane that opens door and launches ladder</t>
  </si>
  <si>
    <t>40x35x14</t>
  </si>
  <si>
    <t>PD260046</t>
  </si>
  <si>
    <t>PD260048</t>
  </si>
  <si>
    <t>Jet Plane Douglas DC-10</t>
  </si>
  <si>
    <t>American Airlines plane, showing stewardesses at the doors</t>
  </si>
  <si>
    <t>Moves with engine lights and sound, stops, opens doors and shows stewerdesses</t>
  </si>
  <si>
    <t>Moves with engine lights and sound, stops, opens door and launches ladder while showing a stewerdess</t>
  </si>
  <si>
    <t>36x32x15</t>
  </si>
  <si>
    <t>The McDonnell Douglas DC-9 (initially known as the Douglas DC-9) is a twin-engine, single-aisle jet airliner, first manufactured in 1965, while the last was delivered in October 1982. Has a second trademark from Nikko Toy (103 (226))</t>
  </si>
  <si>
    <r>
      <t>The McDonnell Douglas DC-10 is a </t>
    </r>
    <r>
      <rPr>
        <sz val="11"/>
        <color theme="1"/>
        <rFont val="Calibri"/>
        <family val="2"/>
        <scheme val="minor"/>
      </rPr>
      <t>trijet</t>
    </r>
    <r>
      <rPr>
        <sz val="11"/>
        <color rgb="FF202122"/>
        <rFont val="Calibri"/>
        <family val="2"/>
        <scheme val="minor"/>
      </rPr>
      <t> </t>
    </r>
    <r>
      <rPr>
        <sz val="11"/>
        <color theme="1"/>
        <rFont val="Calibri"/>
        <family val="2"/>
        <scheme val="minor"/>
      </rPr>
      <t>wide-body aircraft</t>
    </r>
    <r>
      <rPr>
        <sz val="11"/>
        <color rgb="FF202122"/>
        <rFont val="Calibri"/>
        <family val="2"/>
        <scheme val="minor"/>
      </rPr>
      <t>  intended to succeed the </t>
    </r>
    <r>
      <rPr>
        <sz val="11"/>
        <color theme="1"/>
        <rFont val="Calibri"/>
        <family val="2"/>
        <scheme val="minor"/>
      </rPr>
      <t>DC-8</t>
    </r>
    <r>
      <rPr>
        <sz val="11"/>
        <color rgb="FF202122"/>
        <rFont val="Calibri"/>
        <family val="2"/>
        <scheme val="minor"/>
      </rPr>
      <t> for long-</t>
    </r>
    <r>
      <rPr>
        <sz val="11"/>
        <color theme="1"/>
        <rFont val="Calibri"/>
        <family val="2"/>
        <scheme val="minor"/>
      </rPr>
      <t>range</t>
    </r>
    <r>
      <rPr>
        <sz val="11"/>
        <color rgb="FF202122"/>
        <rFont val="Calibri"/>
        <family val="2"/>
        <scheme val="minor"/>
      </rPr>
      <t> flights. It was introduced on August 5, 1971, by </t>
    </r>
    <r>
      <rPr>
        <sz val="11"/>
        <color theme="1"/>
        <rFont val="Calibri"/>
        <family val="2"/>
        <scheme val="minor"/>
      </rPr>
      <t>American Airlines; production ended in 1989</t>
    </r>
    <r>
      <rPr>
        <sz val="11"/>
        <color rgb="FF202122"/>
        <rFont val="Calibri"/>
        <family val="2"/>
        <scheme val="minor"/>
      </rPr>
      <t>. Has a second trademark from Nikko Toy (103 (226))</t>
    </r>
  </si>
  <si>
    <t>PD260047</t>
  </si>
  <si>
    <t>PD260049</t>
  </si>
  <si>
    <t>PD260051</t>
  </si>
  <si>
    <t>PD260053</t>
  </si>
  <si>
    <t>PAN AM Boeing 747 SP Flying Jet Plane</t>
  </si>
  <si>
    <t>White 747 on on a black base</t>
  </si>
  <si>
    <t>runs foeard, progressivley takes off (base extends vertically), then lands</t>
  </si>
  <si>
    <t>32x32x11</t>
  </si>
  <si>
    <t>roty</t>
  </si>
  <si>
    <t>Roty</t>
  </si>
  <si>
    <t>Taiwan</t>
  </si>
  <si>
    <r>
      <t>Boeing 747 is a long-range </t>
    </r>
    <r>
      <rPr>
        <sz val="11"/>
        <color theme="1"/>
        <rFont val="Calibri"/>
        <family val="2"/>
        <scheme val="minor"/>
      </rPr>
      <t>wide-body airliner</t>
    </r>
    <r>
      <rPr>
        <sz val="11"/>
        <color rgb="FF202122"/>
        <rFont val="Calibri"/>
        <family val="2"/>
        <scheme val="minor"/>
      </rPr>
      <t> designed and manufactured by </t>
    </r>
    <r>
      <rPr>
        <sz val="11"/>
        <color theme="1"/>
        <rFont val="Calibri"/>
        <family val="2"/>
        <scheme val="minor"/>
      </rPr>
      <t>Boeing Commercial Airplanes</t>
    </r>
    <r>
      <rPr>
        <sz val="11"/>
        <color rgb="FF202122"/>
        <rFont val="Calibri"/>
        <family val="2"/>
        <scheme val="minor"/>
      </rPr>
      <t> in the United States between 1968 and 2023. </t>
    </r>
  </si>
  <si>
    <t>PD020108</t>
  </si>
  <si>
    <t>83 (17)</t>
  </si>
  <si>
    <t>83 (14)</t>
  </si>
  <si>
    <t>Concorde Funplane</t>
  </si>
  <si>
    <t>Small British Airways Concorde</t>
  </si>
  <si>
    <t>pull-back action; pressing button engine noise</t>
  </si>
  <si>
    <t>20x9x4</t>
  </si>
  <si>
    <t>FPCON64</t>
  </si>
  <si>
    <t>May/2005</t>
  </si>
  <si>
    <t>onboard BA</t>
  </si>
  <si>
    <t>PD020110</t>
  </si>
  <si>
    <t>PD020111</t>
  </si>
  <si>
    <r>
      <t>Construction of six </t>
    </r>
    <r>
      <rPr>
        <sz val="11"/>
        <color theme="1"/>
        <rFont val="Calibri"/>
        <family val="2"/>
        <scheme val="minor"/>
      </rPr>
      <t>prototypes</t>
    </r>
    <r>
      <rPr>
        <sz val="11"/>
        <color rgb="FF202122"/>
        <rFont val="Calibri"/>
        <family val="2"/>
        <scheme val="minor"/>
      </rPr>
      <t>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r>
  </si>
  <si>
    <t>Exclusive to British Airways, supplied by Premier Portfolio International Ltd, UK.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</si>
  <si>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Concorde</t>
  </si>
  <si>
    <t>Concorde Lufthansa</t>
  </si>
  <si>
    <t>Moves forward, sparks from engine</t>
  </si>
  <si>
    <t>33x15x9</t>
  </si>
  <si>
    <t>PD260054</t>
  </si>
  <si>
    <t>PD260055</t>
  </si>
  <si>
    <t>PD260056</t>
  </si>
  <si>
    <t>British Airways Concorde</t>
  </si>
  <si>
    <t>Concorde British Airways</t>
  </si>
  <si>
    <t>Moves forward with light and engine sound</t>
  </si>
  <si>
    <t>Tin &amp; Plastic</t>
  </si>
  <si>
    <t>46x21x11.5</t>
  </si>
  <si>
    <t>1. Excellent; 2. Good (differences in printing)</t>
  </si>
  <si>
    <t>PD260057</t>
  </si>
  <si>
    <t>PD260058</t>
  </si>
  <si>
    <t>HING CHEONG Plastic &amp; Metal Works Ltd</t>
  </si>
  <si>
    <t>HC inside gear</t>
  </si>
  <si>
    <t>This toy appears to be based on a previous 1976 Alps toy Concorde.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</si>
  <si>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Super-Sonic Concorde</t>
  </si>
  <si>
    <t>Super-Sonic Concorde British Airways</t>
  </si>
  <si>
    <t>lid of battery compartment missing</t>
  </si>
  <si>
    <t>52x23x12</t>
  </si>
  <si>
    <t>PD260059</t>
  </si>
  <si>
    <t>PD260060</t>
  </si>
  <si>
    <t>Steerable, moves forward, engine lights</t>
  </si>
  <si>
    <t>58x26x12</t>
  </si>
  <si>
    <t>PD260061</t>
  </si>
  <si>
    <t>first version (1968) was friction powered;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</si>
  <si>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Jet plane on a base</t>
  </si>
  <si>
    <t>Flying-Hops</t>
  </si>
  <si>
    <t>"10/5"</t>
  </si>
  <si>
    <t>Base moves forward, bars connecting to plane raises, so that the plane takes off, flies in circles and lands</t>
  </si>
  <si>
    <t>16x14x7</t>
  </si>
  <si>
    <t>PD020126</t>
  </si>
  <si>
    <t>PD020127</t>
  </si>
  <si>
    <t>PD020128</t>
  </si>
  <si>
    <t>22 (210) 44 (128) 45 (90)</t>
  </si>
  <si>
    <t>220-250 (2024) w/ box</t>
  </si>
  <si>
    <t>We have two, one SAS the other KLM; replicas exists with a different box</t>
  </si>
  <si>
    <t>Komet</t>
  </si>
  <si>
    <t>18.5x22x6</t>
  </si>
  <si>
    <t>Shooting Warplane with Turning Propeller and Machine-Gun Sounds plus Varying Turning Motion</t>
  </si>
  <si>
    <t>variant with cockpit without CKO logo (75 (60))</t>
  </si>
  <si>
    <t>75 (55,67)</t>
  </si>
  <si>
    <t>Wings tilt in forward motion, sparks from engine</t>
  </si>
  <si>
    <t>Wings tilt in forward motion, sparks from machine-gun</t>
  </si>
  <si>
    <t>Yellow "Komet" plane</t>
  </si>
  <si>
    <t>18.5x22x7</t>
  </si>
  <si>
    <t>uses the same tools as the earlier CKO 349 (316); the toy was named after the world's first jet-propelled passenger plane</t>
  </si>
  <si>
    <t>PD020117</t>
  </si>
  <si>
    <t>PD020118</t>
  </si>
  <si>
    <t>PD020120</t>
  </si>
  <si>
    <t>PD020121</t>
  </si>
  <si>
    <t>&gt;300</t>
  </si>
  <si>
    <t>J.G.SCH.</t>
  </si>
  <si>
    <t>Artist</t>
  </si>
  <si>
    <t>10x13x5.5</t>
  </si>
  <si>
    <t>moves forward and back and somersaults</t>
  </si>
  <si>
    <t>Green "Artist" plane</t>
  </si>
  <si>
    <t>40-80 (2024)</t>
  </si>
  <si>
    <t>Marché aux Puces, Paris</t>
  </si>
  <si>
    <t>Shop in Paris</t>
  </si>
  <si>
    <t>PD020124</t>
  </si>
  <si>
    <t>PD020125</t>
  </si>
  <si>
    <t>PD020122</t>
  </si>
  <si>
    <t>PD020123</t>
  </si>
  <si>
    <t>Airplane with folding wings</t>
  </si>
  <si>
    <t>moves forward, rotates propeller</t>
  </si>
  <si>
    <t>10x14.5x5</t>
  </si>
  <si>
    <t>Bomber Pilot</t>
  </si>
  <si>
    <t xml:space="preserve">"Bomber" plane </t>
  </si>
  <si>
    <t>250-350 (2024) w/ box</t>
  </si>
  <si>
    <t>27x23x14</t>
  </si>
  <si>
    <t>PD020130</t>
  </si>
  <si>
    <t>PD020131</t>
  </si>
  <si>
    <t>PD020133</t>
  </si>
  <si>
    <t>XF-160 fighter jet</t>
  </si>
  <si>
    <t>Mystery Action Plane</t>
  </si>
  <si>
    <t>scarcity 5/10; 2 variants "Fighter", in blue or greent in green</t>
  </si>
  <si>
    <t>Has a second trademark from Nikko Toy (103 (226)); scarcity 5/10; variant in blue</t>
  </si>
  <si>
    <t>350-400 (2025)</t>
  </si>
  <si>
    <t>moves in a pattern flashing engine and machine-gun</t>
  </si>
  <si>
    <t>28x2712</t>
  </si>
  <si>
    <t>PD020138</t>
  </si>
  <si>
    <t>PD020140</t>
  </si>
  <si>
    <t>PD020141</t>
  </si>
  <si>
    <t>Happy Plane</t>
  </si>
  <si>
    <t>"Champion" bi-plane</t>
  </si>
  <si>
    <t>moves forward,  then loops in circle and moves forward again with rotating propeller</t>
  </si>
  <si>
    <t>35 (89) 51 (104)</t>
  </si>
  <si>
    <t>propeller is new; original wheels?made in Germany</t>
  </si>
  <si>
    <t>PD020135</t>
  </si>
  <si>
    <t>PD020136</t>
  </si>
  <si>
    <t>PD020137</t>
  </si>
  <si>
    <t>Autogyro - aeroplane</t>
  </si>
  <si>
    <t>Moves forward, propellers rotate</t>
  </si>
  <si>
    <t>23x26.5x10</t>
  </si>
  <si>
    <t>8x11.5x6</t>
  </si>
  <si>
    <t>1 (39)</t>
  </si>
  <si>
    <t>PD020144</t>
  </si>
  <si>
    <t>PD020145</t>
  </si>
  <si>
    <t>500 (2024)</t>
  </si>
  <si>
    <t>moves forward with rotating propeller, engine lights and sound, stops, opens  cockpit, rotates head and waves right arm, closes cockpit</t>
  </si>
  <si>
    <t>U.S. Army Rescue Helicopter</t>
  </si>
  <si>
    <t>made in Western Germany</t>
  </si>
  <si>
    <t>Green Rescue Helicopter</t>
  </si>
  <si>
    <t>Hangs on wire and flies in circles because of large rotating vertical propellers</t>
  </si>
  <si>
    <t>PD020171</t>
  </si>
  <si>
    <t>PD020172</t>
  </si>
  <si>
    <t>Rescue Helicopter</t>
  </si>
  <si>
    <t>15x4x11</t>
  </si>
  <si>
    <t>Orange and red rescue helicopter</t>
  </si>
  <si>
    <t>PD020173</t>
  </si>
  <si>
    <t>PD020174</t>
  </si>
  <si>
    <t>Tin (base) &amp; plastic (plane)</t>
  </si>
  <si>
    <t>50x24x5</t>
  </si>
  <si>
    <t xml:space="preserve">Airport </t>
  </si>
  <si>
    <t>in 1964/5 it was supplemented with a radar structure and two planes (no. 2005)</t>
  </si>
  <si>
    <t>46 (119) 47 (87)</t>
  </si>
  <si>
    <t>14 (83) 35 (34) 83 (100) 89 (79)</t>
  </si>
  <si>
    <t xml:space="preserve">14 (93) 22 (201) 35 (68) 66 (397) 89 (80) 92 (196) </t>
  </si>
  <si>
    <t>14 (96) 62 (52) 104 (114)</t>
  </si>
  <si>
    <t>14 (116) 83 (98) 110 (508)</t>
  </si>
  <si>
    <t>14 (127) 55 (160)</t>
  </si>
  <si>
    <t>we have two (boxed) with red and blue details, respectively; there is also a variant made in Greece by Lyra (no.200); Construction of six prototypes began in February 1965, and Concorde entered service on 21 January 1976 with Air France from Paris-Roissy and British Airways from London Heathrow. On 25 July 2000, Air France Flight 4590 crashed shortly after take-off; commercial service was suspended until November 2001. The surviving aircraft were retired in 2003</t>
  </si>
  <si>
    <t>14 (128)</t>
  </si>
  <si>
    <t>14 (163) 22 (199) 75 (74)</t>
  </si>
  <si>
    <t>K-N 349 flighter plane</t>
  </si>
  <si>
    <t>14 (165) 46 (161)</t>
  </si>
  <si>
    <t>PD010076</t>
  </si>
  <si>
    <t>PD010078</t>
  </si>
  <si>
    <t>100-120 (2024)</t>
  </si>
  <si>
    <t>Two clockworks, for helicopter propellers and base, lever for flying  altitude</t>
  </si>
  <si>
    <t>Radar Helicopter</t>
  </si>
  <si>
    <t>25x8x9</t>
  </si>
  <si>
    <t>PD020146</t>
  </si>
  <si>
    <t>22 (203)</t>
  </si>
  <si>
    <t>21x8x9</t>
  </si>
  <si>
    <t>Two clockworks, for helicopter propeller and base &amp; radar, lever for flying  altitude</t>
  </si>
  <si>
    <t>Two clockworks, for helicopter propeller and base, lever for flying  altitude</t>
  </si>
  <si>
    <t xml:space="preserve">two variants, helicopters and domes with different litography </t>
  </si>
  <si>
    <t>120-160 (2024)</t>
  </si>
  <si>
    <t>PD020148</t>
  </si>
  <si>
    <t>PD020149</t>
  </si>
  <si>
    <t>Trans World Flyer</t>
  </si>
  <si>
    <t>Two clockworks, for plane propellers and base, lever for flying  altitude</t>
  </si>
  <si>
    <t>Very Good, w/ carton base</t>
  </si>
  <si>
    <t>22 (203) 46 (45)</t>
  </si>
  <si>
    <t>104 (117)</t>
  </si>
  <si>
    <t>31x16x9</t>
  </si>
  <si>
    <t>Remote Control "Transport-Helicopter"</t>
  </si>
  <si>
    <t>Base connected to an aeroplane and a control panel</t>
  </si>
  <si>
    <t>DBP 1048811 (1959)</t>
  </si>
  <si>
    <t>300 (2024 ) w/ box</t>
  </si>
  <si>
    <t>PD020147</t>
  </si>
  <si>
    <t>Bruxelles 1958</t>
  </si>
  <si>
    <t>Atomium and helicopter rotate</t>
  </si>
  <si>
    <t>11x11x15</t>
  </si>
  <si>
    <t>&gt;200</t>
  </si>
  <si>
    <t>PD020150</t>
  </si>
  <si>
    <t>PD020152</t>
  </si>
  <si>
    <t>Remote Control Helicopter</t>
  </si>
  <si>
    <t>Helicopter with Active Pilot</t>
  </si>
  <si>
    <t>MF 110</t>
  </si>
  <si>
    <t>Moves forward (can use a flexible rod as track), propeller rotates; when changes direction, pilot pulls controls</t>
  </si>
  <si>
    <t>41x7x14</t>
  </si>
  <si>
    <t>Made in China (Shangai industry)</t>
  </si>
  <si>
    <t>Alouette-type; Variant in red; scarcity 3/5</t>
  </si>
  <si>
    <t>14 (207)</t>
  </si>
  <si>
    <t>90 (2024)</t>
  </si>
  <si>
    <t>PD020166</t>
  </si>
  <si>
    <t>PD020168</t>
  </si>
  <si>
    <t>Air-Taxi</t>
  </si>
  <si>
    <t>Air-Taxi helicopter</t>
  </si>
  <si>
    <t>20x8x9</t>
  </si>
  <si>
    <t>46 (49)</t>
  </si>
  <si>
    <t>Variant with same litography, printed "Libelle"</t>
  </si>
  <si>
    <t>Helios</t>
  </si>
  <si>
    <t xml:space="preserve">Helicopter </t>
  </si>
  <si>
    <t>Helios 560 helicopter</t>
  </si>
  <si>
    <t>Helicpter 567 w/ 2 propellers</t>
  </si>
  <si>
    <t>Moves forward, propellers rotate; battery for lights</t>
  </si>
  <si>
    <t>Small green helicopter w/ 2 propellers</t>
  </si>
  <si>
    <t>2 friction motors, 1 per propeller</t>
  </si>
  <si>
    <t>15x6.5x7</t>
  </si>
  <si>
    <t>46 (50)</t>
  </si>
  <si>
    <t>14 (203)</t>
  </si>
  <si>
    <t>Probably a Piasecki YH 16 helicopter</t>
  </si>
  <si>
    <t>14 (204)</t>
  </si>
  <si>
    <t>30x6x11</t>
  </si>
  <si>
    <t>20.5x4x9</t>
  </si>
  <si>
    <t>70 (2024)</t>
  </si>
  <si>
    <t>130-150 (2024) w/ box</t>
  </si>
  <si>
    <t>PD020163</t>
  </si>
  <si>
    <t>PD020164</t>
  </si>
  <si>
    <t>PD020165</t>
  </si>
  <si>
    <t>PD020153</t>
  </si>
  <si>
    <t>PD020155</t>
  </si>
  <si>
    <t>PD020160</t>
  </si>
  <si>
    <t>PD020162</t>
  </si>
  <si>
    <t>two wheels of the helicopter missing</t>
  </si>
  <si>
    <r>
      <t xml:space="preserve">The Atomium is a </t>
    </r>
    <r>
      <rPr>
        <sz val="11"/>
        <color theme="1"/>
        <rFont val="Calibri"/>
        <family val="2"/>
        <scheme val="minor"/>
      </rPr>
      <t>modernist</t>
    </r>
    <r>
      <rPr>
        <sz val="11"/>
        <color rgb="FF202122"/>
        <rFont val="Calibri"/>
        <family val="2"/>
        <scheme val="minor"/>
      </rPr>
      <t> building originally constructed as the centrepiece of the 1958 Brussels World's Fair; the base of the toy is the same as that of "Sputnik"</t>
    </r>
  </si>
  <si>
    <t>Helicopter US Navy HU 58</t>
  </si>
  <si>
    <t>When released, plane moves along the runway (propellers rotate). Then, two bars progressively lift it into air and land it again; it continues to move until it stops where it had started.</t>
  </si>
  <si>
    <t>21x15x9</t>
  </si>
  <si>
    <t>tail propeller misses 1 blade</t>
  </si>
  <si>
    <t>Sikorsky S55, first flight was on November 10, 1949</t>
  </si>
  <si>
    <t>14 (190) 44 (124)</t>
  </si>
  <si>
    <t>PD020158</t>
  </si>
  <si>
    <t>PD020159</t>
  </si>
  <si>
    <t>Control Tower and Remote Control Flying Helicopter</t>
  </si>
  <si>
    <t>Tower linked to helicopter and remote control</t>
  </si>
  <si>
    <t>Very Good, w/ instructions</t>
  </si>
  <si>
    <t>68x15x28</t>
  </si>
  <si>
    <t>"Idlewild airport" (variant with different litography) Sabena helicopter (Sikorsky S55); box contains pat nos for USA, Canada, Italy, Spain, France, Austria, England, Belgium</t>
  </si>
  <si>
    <t>PD030183</t>
  </si>
  <si>
    <t>PD030186</t>
  </si>
  <si>
    <t>Piasecki Army Mule</t>
  </si>
  <si>
    <t>Piasecki Army Mule grey helicopter</t>
  </si>
  <si>
    <t>Remote control; propellers rotate, moves, the pilot cabin lights</t>
  </si>
  <si>
    <t>29x9x16</t>
  </si>
  <si>
    <t>14 (205) 31 (169)</t>
  </si>
  <si>
    <t>14 (164) 31 (162) 35 (124) 83 (102)</t>
  </si>
  <si>
    <t>Sky Taxi Pan Am</t>
  </si>
  <si>
    <t>White helicopter Pan Am</t>
  </si>
  <si>
    <t>Stop and Go, rotor noise ans rotaing propellers</t>
  </si>
  <si>
    <t>33x9x14.5</t>
  </si>
  <si>
    <t>one propeller blade missing</t>
  </si>
  <si>
    <t>14 (196)</t>
  </si>
  <si>
    <t>Boeing 107 Vertol</t>
  </si>
  <si>
    <t>100-130 (2024) w/ box</t>
  </si>
  <si>
    <t>Helicopter US Army 35</t>
  </si>
  <si>
    <t>Brown helicopter w/ 2 propellers</t>
  </si>
  <si>
    <t>Moves forward, propellers rotate, engines light</t>
  </si>
  <si>
    <t>33x7x17</t>
  </si>
  <si>
    <t>DUX - Condor</t>
  </si>
  <si>
    <t>Plastic white and red helicopter assembled</t>
  </si>
  <si>
    <t>Pulling rapidly  button in handle, propellers rotate and fies</t>
  </si>
  <si>
    <t>26x35x8</t>
  </si>
  <si>
    <t>Very Good w/ instructions</t>
  </si>
  <si>
    <t>DB 1036733; USA 2931132</t>
  </si>
  <si>
    <t>60-300 (2024) w/ box</t>
  </si>
  <si>
    <t>Rotodyne</t>
  </si>
  <si>
    <t>Cranking the remote control can take-off, fly and land the helicopter</t>
  </si>
  <si>
    <t xml:space="preserve">Cranking the remote control can take-off, fly and land </t>
  </si>
  <si>
    <t>Aluminium &amp; plastic</t>
  </si>
  <si>
    <t>21x24x8</t>
  </si>
  <si>
    <t>this is a prototype; the tail wing of the toy was still being studied; Fairey Rotodyne  (British industry) was a revolutionary large compound gyroplane which held great promise for both worldwide inter-city medium air transportation, and military applications during the late 1950s; it featured jet powered main rotor tips which operated during vertical take-off and landing, hovering and transitioning to forward flight, before a pair of Napier Eland turboprops were engaged for forward flight. Despite successfully completing over 350 test flights, just a single prototype aircraft would be built</t>
  </si>
  <si>
    <t>10 (199) 104 (116)</t>
  </si>
  <si>
    <t>Airplane "Air France"</t>
  </si>
  <si>
    <t>Air France Caravelle aeroplane</t>
  </si>
  <si>
    <t>39x44x12</t>
  </si>
  <si>
    <r>
      <t>The Sud Aviation SE 210 Caravelle is a French </t>
    </r>
    <r>
      <rPr>
        <sz val="11"/>
        <color theme="1"/>
        <rFont val="Calibri"/>
        <family val="2"/>
        <scheme val="minor"/>
      </rPr>
      <t>jet airliner</t>
    </r>
    <r>
      <rPr>
        <sz val="11"/>
        <color rgb="FF202122"/>
        <rFont val="Calibri"/>
        <family val="2"/>
        <scheme val="minor"/>
      </rPr>
      <t> produced by </t>
    </r>
    <r>
      <rPr>
        <sz val="11"/>
        <color theme="1"/>
        <rFont val="Calibri"/>
        <family val="2"/>
        <scheme val="minor"/>
      </rPr>
      <t xml:space="preserve">Sud Aviation </t>
    </r>
    <r>
      <rPr>
        <sz val="11"/>
        <color rgb="FF202122"/>
        <rFont val="Calibri"/>
        <family val="2"/>
        <scheme val="minor"/>
      </rPr>
      <t>in the early 1950s; made its </t>
    </r>
    <r>
      <rPr>
        <sz val="11"/>
        <color theme="1"/>
        <rFont val="Calibri"/>
        <family val="2"/>
        <scheme val="minor"/>
      </rPr>
      <t>maiden flight</t>
    </r>
    <r>
      <rPr>
        <sz val="11"/>
        <color rgb="FF202122"/>
        <rFont val="Calibri"/>
        <family val="2"/>
        <scheme val="minor"/>
      </rPr>
      <t> on May 27, 1955, production ended in 1972</t>
    </r>
  </si>
  <si>
    <t>45 (90) 46 (103)</t>
  </si>
  <si>
    <t>Training Plane</t>
  </si>
  <si>
    <t>MS 011</t>
  </si>
  <si>
    <t>small red loop-the-loop plane</t>
  </si>
  <si>
    <t>moves forward, loops-the-loop by means of a raising fork</t>
  </si>
  <si>
    <t>8x10.5x6</t>
  </si>
  <si>
    <t>newer versions (not ours) have clockwork key coated with plastic</t>
  </si>
  <si>
    <t>89 (81)</t>
  </si>
  <si>
    <t>PD170521</t>
  </si>
  <si>
    <t>PD170523</t>
  </si>
  <si>
    <t>PD170517</t>
  </si>
  <si>
    <t>PD170518</t>
  </si>
  <si>
    <t>PD170499</t>
  </si>
  <si>
    <t>PD170500</t>
  </si>
  <si>
    <t>PD170503</t>
  </si>
  <si>
    <t>PD170511</t>
  </si>
  <si>
    <t>PD170505</t>
  </si>
  <si>
    <t>PD170508</t>
  </si>
  <si>
    <t>PD170482</t>
  </si>
  <si>
    <t>PD170486</t>
  </si>
  <si>
    <t>PD170489</t>
  </si>
  <si>
    <t>PD170495</t>
  </si>
  <si>
    <t>PD170491</t>
  </si>
  <si>
    <t>PD170470</t>
  </si>
  <si>
    <t>PD170472</t>
  </si>
  <si>
    <t>PD170473</t>
  </si>
  <si>
    <t>PD170476</t>
  </si>
  <si>
    <t>PD170480</t>
  </si>
  <si>
    <t>PC150040</t>
  </si>
  <si>
    <t>PC150040A</t>
  </si>
  <si>
    <t>PC120005A</t>
  </si>
  <si>
    <t>24x11x18</t>
  </si>
  <si>
    <t>Non- Fall Moon Rocket</t>
  </si>
  <si>
    <t>the toy should have ana astronaut on antenna; it has a floating astronaut from the "Gemini Rocket" toy, which is a similar rocket with a different litography</t>
  </si>
  <si>
    <t>non-fall action, flasing lights, astronaut circles</t>
  </si>
  <si>
    <t>200 (2024) without astronaut</t>
  </si>
  <si>
    <t>PD030206</t>
  </si>
  <si>
    <t>PD030207</t>
  </si>
  <si>
    <t>PD030208</t>
  </si>
  <si>
    <t>Space Capsule with Floating Astronaut</t>
  </si>
  <si>
    <t>Tin, Plastic &amp; paper</t>
  </si>
  <si>
    <t>non-fall action floating astronaut, flashing engine light, beep-beep sound</t>
  </si>
  <si>
    <t>scarcity 5/10; pat: 547075, 524728</t>
  </si>
  <si>
    <t>300-370 (2024) w/ box</t>
  </si>
  <si>
    <t>PD030199</t>
  </si>
  <si>
    <t>PD030204</t>
  </si>
  <si>
    <t>P1010042</t>
  </si>
  <si>
    <t>P1010043</t>
  </si>
  <si>
    <t>Moon Traveller Apollo-Z</t>
  </si>
  <si>
    <t>yellow plastic radar with 4 dishes missing</t>
  </si>
  <si>
    <t>25x10x18</t>
  </si>
  <si>
    <t>30x13x15</t>
  </si>
  <si>
    <t>PD030196</t>
  </si>
  <si>
    <t>PD030198</t>
  </si>
  <si>
    <t>Apollo Z ship</t>
  </si>
  <si>
    <t>Mystery action, stop and go, elevates and commens capsule extends, engine blinking lights and sound</t>
  </si>
  <si>
    <t>Space Patrol</t>
  </si>
  <si>
    <t>Tin &amp; vinyl, plastic</t>
  </si>
  <si>
    <t>Mystery action, gun with light and sound</t>
  </si>
  <si>
    <t>78 (197)</t>
  </si>
  <si>
    <t>scarcity: 4/10; pat: 54554, 17542</t>
  </si>
  <si>
    <t>PD030194</t>
  </si>
  <si>
    <t>PD030195</t>
  </si>
  <si>
    <t>scarcity: 4-6/10</t>
  </si>
  <si>
    <t>35 (121) 78 (191) 132  (127)</t>
  </si>
  <si>
    <t>35 (166) 78 (206) 132 (130)</t>
  </si>
  <si>
    <t>scarcity: 5/10</t>
  </si>
  <si>
    <t>35 (121) 132 (136)</t>
  </si>
  <si>
    <t>29x13x16</t>
  </si>
  <si>
    <t>Universe Televiboat</t>
  </si>
  <si>
    <t>ME 777</t>
  </si>
  <si>
    <t>36x10x18</t>
  </si>
  <si>
    <t>scarcity 3/5; several box veriosn, ours seems the oldest</t>
  </si>
  <si>
    <t xml:space="preserve"> made in China</t>
  </si>
  <si>
    <t>PD030190</t>
  </si>
  <si>
    <t>PD030192</t>
  </si>
  <si>
    <t>Mystery action, TV screen lights, flshing engine sounds</t>
  </si>
  <si>
    <t>Apollo Spacecraft</t>
  </si>
  <si>
    <t>Mystery action, lights in front and inside compartment, astronaut circles</t>
  </si>
  <si>
    <t>27x17x25</t>
  </si>
  <si>
    <t>35 (20) 43 (119)78 (189) 132 (125)</t>
  </si>
  <si>
    <t xml:space="preserve">350 (2024) </t>
  </si>
  <si>
    <t>PD030214</t>
  </si>
  <si>
    <t>PD030224</t>
  </si>
  <si>
    <t>PD030221</t>
  </si>
  <si>
    <t>Robotank-Z</t>
  </si>
  <si>
    <t>R1  grey robot</t>
  </si>
  <si>
    <t>Moves forward, arms pull levers</t>
  </si>
  <si>
    <t>6.5x5x10</t>
  </si>
  <si>
    <t>Rio de Janeiro</t>
  </si>
  <si>
    <t>132 (137)</t>
  </si>
  <si>
    <t>25-30 (2024)</t>
  </si>
  <si>
    <t>The toy has no marks, and appears either in a box with no. 352 or as a MS 371 toy made in China; both are a small-scale replica of the toy with the same name made by Nomura (TN) in 1966; scarcity 1/5</t>
  </si>
  <si>
    <t>made in China (?)</t>
  </si>
  <si>
    <t>PD030229</t>
  </si>
  <si>
    <t>PD030230</t>
  </si>
  <si>
    <t>Apollo-11 American Eagle Lunar Module</t>
  </si>
  <si>
    <t>scarcity 4/10; desirability 3/6;  pat: 219228</t>
  </si>
  <si>
    <t>NASA lunar lander module</t>
  </si>
  <si>
    <t xml:space="preserve">DSK </t>
  </si>
  <si>
    <t>Daishin</t>
  </si>
  <si>
    <t>Daishin Kogyo Co. Ltd.</t>
  </si>
  <si>
    <t>no. 6-5 I-Chrome, Kuramae, Taito-Ku, Tokyo</t>
  </si>
  <si>
    <t>18x18x25</t>
  </si>
  <si>
    <t>Mystery action, stop and go, opens and closes hatch showing astronaut, revolving antena, flshing lights and sound</t>
  </si>
  <si>
    <t>scarcity 3/10; desirability 3/6</t>
  </si>
  <si>
    <t>35 (19) 43 (158) 132 (105)</t>
  </si>
  <si>
    <t>500-600 (2024) w/ box</t>
  </si>
  <si>
    <t>PD030225</t>
  </si>
  <si>
    <t>PD030226</t>
  </si>
  <si>
    <t>lid of battery compartment is missing</t>
  </si>
  <si>
    <t>Mini-Robot Tank</t>
  </si>
  <si>
    <t>Red and blue robot tank</t>
  </si>
  <si>
    <t>Mystery action , pulls levers shooting light and sound</t>
  </si>
  <si>
    <t>10x7.5x13.5</t>
  </si>
  <si>
    <t>43 (52)</t>
  </si>
  <si>
    <t>desirability 3/6; a variant  has vertical on-off (ours is horizontal)</t>
  </si>
  <si>
    <t>PD030231</t>
  </si>
  <si>
    <t>PD030232</t>
  </si>
  <si>
    <t>Only lid available</t>
  </si>
  <si>
    <t>New Space Capsule</t>
  </si>
  <si>
    <t>Horizontal capsule opening doors and showing tin orange astronaut</t>
  </si>
  <si>
    <t>Mystery action, stop and go, lighted front, opens hatch showing astronaut, sound</t>
  </si>
  <si>
    <t>23x14x13</t>
  </si>
  <si>
    <t>35 (127) 43 (119) 132 (114)</t>
  </si>
  <si>
    <t>PD030235</t>
  </si>
  <si>
    <t>PD030236</t>
  </si>
  <si>
    <t>PD030239</t>
  </si>
  <si>
    <t>Super Space Capsule</t>
  </si>
  <si>
    <t>scarcity: 4/10; desirability 3/6</t>
  </si>
  <si>
    <t>&gt;300 (2024) w/ box</t>
  </si>
  <si>
    <t>Vertical capsule opening doors and showing a white astronaut</t>
  </si>
  <si>
    <t>Circular motion, stop and go, lighted front, opens hatch showing astronaut</t>
  </si>
  <si>
    <t>14x14x24</t>
  </si>
  <si>
    <t>R. Capelistas Braga</t>
  </si>
  <si>
    <t>it was bought out-of-order (broken plastic pinion of motor), repaired</t>
  </si>
  <si>
    <t>a variant box says "Super Apollo Space Capsule); scarcity 4/10</t>
  </si>
  <si>
    <t>35 (179) 132 (118)</t>
  </si>
  <si>
    <t>PD030240</t>
  </si>
  <si>
    <t>PD030242</t>
  </si>
  <si>
    <t>PD030243</t>
  </si>
  <si>
    <t>Delta 8</t>
  </si>
  <si>
    <t>Moves forward with searching light on; it is meant to move in rough terrain</t>
  </si>
  <si>
    <t>19x22x13</t>
  </si>
  <si>
    <t>Gonçalo Rueda</t>
  </si>
  <si>
    <t>Gonçalo Rueda?</t>
  </si>
  <si>
    <t>45 (91)</t>
  </si>
  <si>
    <t>PD040253</t>
  </si>
  <si>
    <t>PD040255</t>
  </si>
  <si>
    <t>Moves forward with four legs moving in pairs horizontally and vertically, searching light, hand can open w/ remote control, or by pressing a button in the back</t>
  </si>
  <si>
    <t>26x14x14</t>
  </si>
  <si>
    <t>Monsieur tap-tap</t>
  </si>
  <si>
    <t>PD040250</t>
  </si>
  <si>
    <t>PD040252</t>
  </si>
  <si>
    <t>Magic Color Dome Mercury Explorer</t>
  </si>
  <si>
    <t>Red space vehicle, with a white dome and 3 helices on top</t>
  </si>
  <si>
    <t>20x11x12</t>
  </si>
  <si>
    <t>scarcity: 6/10 (3/5); there are 2 distinct boxes</t>
  </si>
  <si>
    <t>35 (111); 51 (130)</t>
  </si>
  <si>
    <t>PD040247</t>
  </si>
  <si>
    <t>PD040248</t>
  </si>
  <si>
    <t>Fire Bird III</t>
  </si>
  <si>
    <t>Mystery action, dome and blades turn, light inside dome changes from red to green</t>
  </si>
  <si>
    <t>Mystery action, ligths in the back panel</t>
  </si>
  <si>
    <t>29x14x8</t>
  </si>
  <si>
    <t>35 (53) 132 (94)</t>
  </si>
  <si>
    <t xml:space="preserve">scarcity: 5/10; there is a red variant with "Fire Bird III" printed on the side and also a grey car; box is rare  </t>
  </si>
  <si>
    <t>400 (2024)</t>
  </si>
  <si>
    <t>PD040244</t>
  </si>
  <si>
    <t>PD040246</t>
  </si>
  <si>
    <t>Remote Control Satellite</t>
  </si>
  <si>
    <t>5030/295</t>
  </si>
  <si>
    <t>Remote control blue satellite</t>
  </si>
  <si>
    <t>Cranking the remote control rotates the staellite, which has blades and flies</t>
  </si>
  <si>
    <t>Tin, aluminium &amp; plastic</t>
  </si>
  <si>
    <t>18x18x11</t>
  </si>
  <si>
    <t>pat: 2801494 (USA), 788019 (England), 113594 (England), 225898 (Spain), and also Austria and Belgium; also made in France</t>
  </si>
  <si>
    <t>10 (202) 104 (116)</t>
  </si>
  <si>
    <t>10 (198) 14 (192) 46 (11) 66 (28) 104 (116)</t>
  </si>
  <si>
    <t>PD040280</t>
  </si>
  <si>
    <t>PD040283</t>
  </si>
  <si>
    <t>Flying Man</t>
  </si>
  <si>
    <t>Box with logo: "exclusive for Italy"; airship says "Lucky", structure says "Driving Robot", flag says "Play Land"</t>
  </si>
  <si>
    <t>Yone or SY</t>
  </si>
  <si>
    <t>SY (1950-1964); Yone  (1964-)</t>
  </si>
  <si>
    <t>16x9x29</t>
  </si>
  <si>
    <t>200-350 (2024) w/ box</t>
  </si>
  <si>
    <t>PD040257</t>
  </si>
  <si>
    <t>PD040258</t>
  </si>
  <si>
    <t>PD040259</t>
  </si>
  <si>
    <t>Planet Tank</t>
  </si>
  <si>
    <t>Non-fall, antenna rotates, sound, lighted dome</t>
  </si>
  <si>
    <t>20x10x14</t>
  </si>
  <si>
    <t>Space Tank M-41</t>
  </si>
  <si>
    <t>Blue Space Patrol Tank w/ green dome</t>
  </si>
  <si>
    <t>Blue space tank  w/ blue antenna and springs at rear</t>
  </si>
  <si>
    <t>21x10x20</t>
  </si>
  <si>
    <t>PD040264</t>
  </si>
  <si>
    <t>PD040266</t>
  </si>
  <si>
    <t>PD040274</t>
  </si>
  <si>
    <t>PD040276</t>
  </si>
  <si>
    <t>Space Vehicle</t>
  </si>
  <si>
    <t>45 (92)</t>
  </si>
  <si>
    <t>20x12x14</t>
  </si>
  <si>
    <t>Mystery action, flashing tail lamps, rotating antenna</t>
  </si>
  <si>
    <t>Mystery action, light in the dome, rotating antenna</t>
  </si>
  <si>
    <t>Moves in random pattern, rotating antenna</t>
  </si>
  <si>
    <t>PD040267</t>
  </si>
  <si>
    <t>PD040268</t>
  </si>
  <si>
    <t>PD040269</t>
  </si>
  <si>
    <t>PD040270</t>
  </si>
  <si>
    <t>PD040272</t>
  </si>
  <si>
    <t>Spaceship  and flag swing back and forward</t>
  </si>
  <si>
    <t xml:space="preserve">Grey space tank w/ two astronauts and white antenna </t>
  </si>
  <si>
    <t>Blue space tank w/ transparent dome with colored wheel inside</t>
  </si>
  <si>
    <t>Robot w/ blue hat swinging in a red spaceship</t>
  </si>
  <si>
    <t>White and red car w/ two domes for driver and passenger</t>
  </si>
  <si>
    <t>Space vehicle w/ 4 horizontal "legs", a large frontal  grab hand  and astronaut inside dome</t>
  </si>
  <si>
    <t>Space vehicle w/ 4 large wheels and astronaut inside dome</t>
  </si>
  <si>
    <t>White Apollo capsule w/ floating astronaut</t>
  </si>
  <si>
    <t>Space ship w/ an astronaut holding a TV set</t>
  </si>
  <si>
    <t>Blue "space patrol" w/ astronaut shooting a gun</t>
  </si>
  <si>
    <t>Apollo Capsule w/ a paper astronaut that floats</t>
  </si>
  <si>
    <t>Moon rocket airship w/ astronaut</t>
  </si>
  <si>
    <t>Blue and white combination of airplane and helicopter</t>
  </si>
  <si>
    <t>Blue helicopter w/ red propellers</t>
  </si>
  <si>
    <t>Light blue helicopter w/ pilot</t>
  </si>
  <si>
    <t>Atomium w/ circling helicopter</t>
  </si>
  <si>
    <t>Platform w/ flying helicopter</t>
  </si>
  <si>
    <t>Platform w/ radar and flying helicopter</t>
  </si>
  <si>
    <t>Airport w/ white airplane</t>
  </si>
  <si>
    <t>Small aeroplane w/ vertical and horizontal propellers</t>
  </si>
  <si>
    <t>Small red aeroplane w/ folding wings</t>
  </si>
  <si>
    <t>Concorde w/ remote control</t>
  </si>
  <si>
    <t>Pan-American airplane w/ two pilots in transparent canopy</t>
  </si>
  <si>
    <t>Dark robot w/ red antena and TV screen in chest</t>
  </si>
  <si>
    <t xml:space="preserve">Robot w/ "W" in chest </t>
  </si>
  <si>
    <t>Grey robot w/ astronaut face and helmet, with TV screen in chest</t>
  </si>
  <si>
    <t>Black plastic robot w/ large TV screen</t>
  </si>
  <si>
    <t>Red and white plastic musical robot</t>
  </si>
  <si>
    <t>Black robot w/ humnan face shooting guns</t>
  </si>
  <si>
    <t>Horizontal rocket w/ green window</t>
  </si>
  <si>
    <t>White and blue rocket w/ space capsule on top</t>
  </si>
  <si>
    <t>Vertical rocket no.15, w/ astronaut in cockpit</t>
  </si>
  <si>
    <t xml:space="preserve">Vertical spiral track w/ acrobat inside a ball </t>
  </si>
  <si>
    <t>Comical Trolley w/ driver</t>
  </si>
  <si>
    <t>Man in yellow jacket w/ red suitcase</t>
  </si>
  <si>
    <t>Man w/ two orange suitcases</t>
  </si>
  <si>
    <t>Red and yellow tractor w/ trailer</t>
  </si>
  <si>
    <t>Red and yellow caterpillar w/ yellow shovel</t>
  </si>
  <si>
    <t>Red and green tractor w/ driver and trailer</t>
  </si>
  <si>
    <t>Man in red uniform playing cymbals</t>
  </si>
  <si>
    <t>Donkey pulling a covered cart w/ a boy driver</t>
  </si>
  <si>
    <t>Plastic cowboy w/ pistol and red hat riding tin horse</t>
  </si>
  <si>
    <t>Cowboy w/ red hat on a brown donkey</t>
  </si>
  <si>
    <t>Horse pulling cart w/ driver</t>
  </si>
  <si>
    <t>Ostrich pulling cart w/ driver</t>
  </si>
  <si>
    <t>Girl w/ two geese in line</t>
  </si>
  <si>
    <t>Hunter w/ house, rabbit and dog</t>
  </si>
  <si>
    <t>Donkey cart w/ driver</t>
  </si>
  <si>
    <t>Zebra cart w/ driver</t>
  </si>
  <si>
    <t>Gardener w/ wheelbarrow</t>
  </si>
  <si>
    <t>Man w/ air hammer and generator</t>
  </si>
  <si>
    <t>Forklift w/ operator</t>
  </si>
  <si>
    <t>Coolie pulling a cart w/ an hidden boy</t>
  </si>
  <si>
    <t>Boy in red overcoat w/ suitcase</t>
  </si>
  <si>
    <t>Black boy w/ green jacket riding a tricycle with parcels</t>
  </si>
  <si>
    <t>Boy w/ yellow jacket riding a tricycle for carrying merchandise</t>
  </si>
  <si>
    <t>Man w/ cigar, holding one duck and a basket w/ 3 ducklings</t>
  </si>
  <si>
    <t>Gentleman w/ red hat and two suicases</t>
  </si>
  <si>
    <t>Boy pulling a cart w/ a parcel</t>
  </si>
  <si>
    <t>Vehicle w/ two large wheels, driven by two men</t>
  </si>
  <si>
    <t>Man w/ green hat mounted on a pig w/ a red cover</t>
  </si>
  <si>
    <t>Coolie pulling rickshaw w/ lady w/ umbrella</t>
  </si>
  <si>
    <t>Tricycle w/ gentleman and a black helper w/ umbrella</t>
  </si>
  <si>
    <t xml:space="preserve">Old cab w/ two ladies and a driver </t>
  </si>
  <si>
    <t>Mouse Band w/ four elements and a piano</t>
  </si>
  <si>
    <t>Musical folk band of four, w/ piano</t>
  </si>
  <si>
    <t>Fox w/ a cage containing a goose</t>
  </si>
  <si>
    <t>Ballerina w/ green dress standing on one foot</t>
  </si>
  <si>
    <t>Torso and head of Arab gentleman w/ black coat</t>
  </si>
  <si>
    <t xml:space="preserve">Standing cowboy w/ green trousers, green hat and lasso </t>
  </si>
  <si>
    <t xml:space="preserve"> Vibrates while body waves laterally and rotates lasso</t>
  </si>
  <si>
    <t>Plastic cowboy w/ lasso on a white plastic horse</t>
  </si>
  <si>
    <t>Horse and rider w/ lasso on a platform</t>
  </si>
  <si>
    <t>Cowboy w/ lasso on a standing small brown horse</t>
  </si>
  <si>
    <t>Blond man w/ banjo</t>
  </si>
  <si>
    <t>Monkey cowboy w/ two pistols and small red hat</t>
  </si>
  <si>
    <t>Cowboy w/ pistol, red hat, blue trousers</t>
  </si>
  <si>
    <t>Cowboy w/ blue hat and two pistols</t>
  </si>
  <si>
    <t>Bubble blowing bull w/ cowboy</t>
  </si>
  <si>
    <t>Crazy Jeep w/ cowboy with red hat</t>
  </si>
  <si>
    <t>Crazy Jeep w/ cowboy with yellow hat</t>
  </si>
  <si>
    <t>"Wagon Master" w/ 2 horses and driver</t>
  </si>
  <si>
    <t>"Pioneer" carriage w/ horse and driver</t>
  </si>
  <si>
    <t>Wells Fargo Overland Stage w/ 4 horses</t>
  </si>
  <si>
    <t>Shooting Game w/ Punch, Judy &amp; Dog</t>
  </si>
  <si>
    <t>Sparkling spinwheel w/ planets and clown</t>
  </si>
  <si>
    <t>Sparkling spinwheel  pink &amp; orange w/ clown</t>
  </si>
  <si>
    <t>Celuloid girl on trapeze</t>
  </si>
  <si>
    <t>Clown w/ blue white dotted clothes standing on tricycle</t>
  </si>
  <si>
    <t>Sitted clown w/ white conical hat playing drum</t>
  </si>
  <si>
    <t>Sitted plush monkey w/ blue conical hat, playing drum</t>
  </si>
  <si>
    <t>Clown on a mortorcycle no.MS 629</t>
  </si>
  <si>
    <t>MS 629</t>
  </si>
  <si>
    <t>MS 014</t>
  </si>
  <si>
    <t>Trainer w/ white horse</t>
  </si>
  <si>
    <t>Elephant on tricycle w/ plates on top of trunk</t>
  </si>
  <si>
    <t>Two monkeys and elephant playing instruments</t>
  </si>
  <si>
    <t>Pink elephant blowing bubbles</t>
  </si>
  <si>
    <t>Monkey w/ red jacket and green trousers</t>
  </si>
  <si>
    <t>Monkey w/ red hat and blue jacket on a tricycle</t>
  </si>
  <si>
    <t>Monkey w/ red hat and blue jacket holding a green ball</t>
  </si>
  <si>
    <t>Monkey w/ blue jacket holding a red and white ball between its legs</t>
  </si>
  <si>
    <t>Bear climbing a stepped ramp</t>
  </si>
  <si>
    <t>Dog w/ nodding head sitted on a base</t>
  </si>
  <si>
    <t>Climbing monkey w/ red jacket</t>
  </si>
  <si>
    <t>Climbing monkey w/ green jacket</t>
  </si>
  <si>
    <t>Clown on cart with decorated wheels pulled by a grey donkey</t>
  </si>
  <si>
    <t>Clown w/ yellow clothes on green cart pulled by a white black dotted donkey</t>
  </si>
  <si>
    <t>Car that can flip over and move on both positions, driven by a clown either happy or scared</t>
  </si>
  <si>
    <t>Clown w/ yellow overcoat riding a red bicycle w/ silver wheels</t>
  </si>
  <si>
    <t>Jalopy w/ a chimney to blow balls</t>
  </si>
  <si>
    <t>Clown w/ red hat on a yellow car</t>
  </si>
  <si>
    <t>Clown w/ yellow hat on donkey</t>
  </si>
  <si>
    <t>Circus car w/ clown that jumps backwards as if falling</t>
  </si>
  <si>
    <t>Red car w/ clown jumping through the roof</t>
  </si>
  <si>
    <t>43 (132) 78 (204)</t>
  </si>
  <si>
    <t>scarcity: 5/10 desirability 3/6</t>
  </si>
  <si>
    <t>scarcity: 5/10; desirability 3/6</t>
  </si>
  <si>
    <t>Moon Creature</t>
  </si>
  <si>
    <t>White, blue and yellow alien with big brows</t>
  </si>
  <si>
    <t>Moves forward, swings arms, opens and closes mouth with a click sound</t>
  </si>
  <si>
    <t>7x9x13</t>
  </si>
  <si>
    <t>made in Japan; there is a rarer variant with yellow head and red belt</t>
  </si>
  <si>
    <t>67 (35)</t>
  </si>
  <si>
    <t>PD040260</t>
  </si>
  <si>
    <t>PD040262</t>
  </si>
  <si>
    <t>PD040263</t>
  </si>
  <si>
    <t>Strolling Space Station</t>
  </si>
  <si>
    <t>Red space vehicle with dome, inside of which a radar and an astronaut</t>
  </si>
  <si>
    <t>radar rotates, the axes of the wheels oscillate</t>
  </si>
  <si>
    <t>9x9x9</t>
  </si>
  <si>
    <t>PD040297</t>
  </si>
  <si>
    <t>a copy was made in USSR in the 70s (?)</t>
  </si>
  <si>
    <t>Upon pushing,  rotates and sparks</t>
  </si>
  <si>
    <t>11x5.5x3</t>
  </si>
  <si>
    <t>Sparkling Spin wheel with Space motif</t>
  </si>
  <si>
    <t>Spin wheel with flying disc</t>
  </si>
  <si>
    <t>Upon pushing, disc flies</t>
  </si>
  <si>
    <t>14x10x5</t>
  </si>
  <si>
    <t>PD040305</t>
  </si>
  <si>
    <t>Space Whale Ship</t>
  </si>
  <si>
    <t>When antenna is raised it moves forward, opens mouth slowly and suddenly closes it; sparks</t>
  </si>
  <si>
    <t>Space fish Pionner</t>
  </si>
  <si>
    <t>23x12x14</t>
  </si>
  <si>
    <t>89 (91) 132 (87)</t>
  </si>
  <si>
    <t>35 (174) 78 (204) 89 (90) 132 (131)</t>
  </si>
  <si>
    <t>PD040300</t>
  </si>
  <si>
    <t>PD040302</t>
  </si>
  <si>
    <t>PD040303</t>
  </si>
  <si>
    <t>Flying Jeep</t>
  </si>
  <si>
    <t>Cylindrical shaped grey USAF vehicle</t>
  </si>
  <si>
    <t>Moves randomly</t>
  </si>
  <si>
    <t>PD040294</t>
  </si>
  <si>
    <t>PD040295</t>
  </si>
  <si>
    <t>PD040296</t>
  </si>
  <si>
    <t>Space Tank</t>
  </si>
  <si>
    <t>Space Tank  w/ austronaut in dome and blue bottom</t>
  </si>
  <si>
    <t>Moves forward, changes direction, sparks</t>
  </si>
  <si>
    <t>8x8x10</t>
  </si>
  <si>
    <t>12x9x7</t>
  </si>
  <si>
    <t>TT  inside losangle</t>
  </si>
  <si>
    <t>Takatoku</t>
  </si>
  <si>
    <t>Takatoku Toys Co Ltd</t>
  </si>
  <si>
    <t>43 (132)</t>
  </si>
  <si>
    <t>Space Patrol Tank</t>
  </si>
  <si>
    <t>Small space tank w/ astronaut in dome and radar screen on back</t>
  </si>
  <si>
    <t>12.5x6x6</t>
  </si>
  <si>
    <t>43 (133)</t>
  </si>
  <si>
    <t>35 (78)</t>
  </si>
  <si>
    <t>PD040292</t>
  </si>
  <si>
    <t>PD040293</t>
  </si>
  <si>
    <t>PD040288</t>
  </si>
  <si>
    <t>PD040290</t>
  </si>
  <si>
    <t>Apollo 12 capsule</t>
  </si>
  <si>
    <t>9.5x7x7</t>
  </si>
  <si>
    <t>Apollo 12</t>
  </si>
  <si>
    <t>43 (141)</t>
  </si>
  <si>
    <t>PD040284</t>
  </si>
  <si>
    <t>PD040287</t>
  </si>
  <si>
    <t>W-101</t>
  </si>
  <si>
    <t>Inspired on the Pawnee flying platform first flown in 1958; box has Komoda Shoten (KKS) trademark; scarcity: 9/10</t>
  </si>
  <si>
    <t>Lunar Loop Swinging and Orbiting Action</t>
  </si>
  <si>
    <t>Loop w/ NASA spacecraft</t>
  </si>
  <si>
    <t>Vehicle loops the loop, engine light and sound</t>
  </si>
  <si>
    <t>10x36x37</t>
  </si>
  <si>
    <t>150-250 (2024) w/ box</t>
  </si>
  <si>
    <t>PD050361</t>
  </si>
  <si>
    <t>PD050365</t>
  </si>
  <si>
    <t>35 (107)</t>
  </si>
  <si>
    <t>Scarcity : 6/10</t>
  </si>
  <si>
    <t>Zooming Satellite</t>
  </si>
  <si>
    <t>Globe on tripod w/ satllite on string</t>
  </si>
  <si>
    <t>Earth rotates, so satellite orbits</t>
  </si>
  <si>
    <t>30x30x29</t>
  </si>
  <si>
    <t>Satellite has 2 broken fins</t>
  </si>
  <si>
    <t>Good w/ instructions</t>
  </si>
  <si>
    <t>Flying Saucer</t>
  </si>
  <si>
    <t>Nusslein, Michael</t>
  </si>
  <si>
    <t>46 (292)</t>
  </si>
  <si>
    <t>body is made in US Zone Germany; disc is made in Western Germany; a replca is being made by DBS, the box has different printing e.g. no.130 and "UFO"</t>
  </si>
  <si>
    <t>PD050360</t>
  </si>
  <si>
    <t>Small disc saucer w/ 3 antennas</t>
  </si>
  <si>
    <t>9.5x9.5x7</t>
  </si>
  <si>
    <t>100-150 (2024) w/ box</t>
  </si>
  <si>
    <t>PD050320</t>
  </si>
  <si>
    <t>Apollo</t>
  </si>
  <si>
    <t>19x14x20</t>
  </si>
  <si>
    <t>44 (31) 46 (106) 55 (32) 132 (35)</t>
  </si>
  <si>
    <t>22 (207) 46 (48) 132 (121)</t>
  </si>
  <si>
    <t>Satellit Rotaryo Magneta</t>
  </si>
  <si>
    <t>PD050321</t>
  </si>
  <si>
    <t>PD050326</t>
  </si>
  <si>
    <t>1 (98)</t>
  </si>
  <si>
    <t>59x28x11</t>
  </si>
  <si>
    <t>PD050349</t>
  </si>
  <si>
    <t>PD050350</t>
  </si>
  <si>
    <t>PD050353</t>
  </si>
  <si>
    <t>Rocket Express</t>
  </si>
  <si>
    <t>37x9x14</t>
  </si>
  <si>
    <t>By inclining the structure, the satellite will circle around the Earth</t>
  </si>
  <si>
    <t>Can travel between Earth and Moon, or orbit each planet</t>
  </si>
  <si>
    <t>Two spaceships orbit between Earth and Moon</t>
  </si>
  <si>
    <t>Dark blue track w/ Apollo travelling between Earth and Moon</t>
  </si>
  <si>
    <t>PD050338</t>
  </si>
  <si>
    <t>PD050340</t>
  </si>
  <si>
    <t>49x6x14</t>
  </si>
  <si>
    <t>Silver spacecraft  travels between Earth and Moon</t>
  </si>
  <si>
    <t>Vertical track w/ silver spaceship travelling betwen Earth and Moon</t>
  </si>
  <si>
    <t>Meteor Express aka Terra Luna</t>
  </si>
  <si>
    <t>600-1400 (2024) w/ box</t>
  </si>
  <si>
    <t>desirability: 4/6</t>
  </si>
  <si>
    <t>1 (73) 43 (127) 66 (131)</t>
  </si>
  <si>
    <t>PD050341</t>
  </si>
  <si>
    <t>PD050343</t>
  </si>
  <si>
    <t>1 (81) 43 (126) 46 (257) 89 (92)</t>
  </si>
  <si>
    <t>Sputnik</t>
  </si>
  <si>
    <t>Earth rotates in one direction, space vehicles in the other</t>
  </si>
  <si>
    <t>24x12x16</t>
  </si>
  <si>
    <t>22 (209)</t>
  </si>
  <si>
    <t>Earth is a littler loose and has a few bends</t>
  </si>
  <si>
    <t>PD050315</t>
  </si>
  <si>
    <t>PD050318</t>
  </si>
  <si>
    <t>47 (67) 66 (377) 132 (35)</t>
  </si>
  <si>
    <t>Small Earth and Sputnik on a white base</t>
  </si>
  <si>
    <t>Earth and Sputnik rotate</t>
  </si>
  <si>
    <t>8x7x12</t>
  </si>
  <si>
    <t>PD050310</t>
  </si>
  <si>
    <t>PD050312</t>
  </si>
  <si>
    <t>Space-Satellite</t>
  </si>
  <si>
    <t>PN 130</t>
  </si>
  <si>
    <t>The toy is fixed to the table by a suction cup and rotates</t>
  </si>
  <si>
    <t>this is a space variant of the toy from 1957 with 2 planes</t>
  </si>
  <si>
    <t>desirability: 3/6</t>
  </si>
  <si>
    <t>22 (209) 43 (153) 66 (409)</t>
  </si>
  <si>
    <t>PD050355</t>
  </si>
  <si>
    <t>40x9x14</t>
  </si>
  <si>
    <t>Luna Expedition</t>
  </si>
  <si>
    <t>Vehicle moves along the surface following a path</t>
  </si>
  <si>
    <t>toy and box have printed patents from several countries  (no numbers for Germany and USA)</t>
  </si>
  <si>
    <t>37x26.5x12</t>
  </si>
  <si>
    <t>Excellent w/ foam</t>
  </si>
  <si>
    <t>1 (97)</t>
  </si>
  <si>
    <t>350-500 (2024) w/ box</t>
  </si>
  <si>
    <t>PD050345</t>
  </si>
  <si>
    <t>PD050346</t>
  </si>
  <si>
    <t>Voyage à la Lune</t>
  </si>
  <si>
    <t>Carrousel of 3 spaceships around the moon</t>
  </si>
  <si>
    <t>Vehicles rotate going up and down around the moon, which also rotates</t>
  </si>
  <si>
    <t>400 (2025)</t>
  </si>
  <si>
    <t>27x21x17</t>
  </si>
  <si>
    <t>PD050308</t>
  </si>
  <si>
    <t>UFO Goldrake</t>
  </si>
  <si>
    <t>100-150 (2024)</t>
  </si>
  <si>
    <t>27x27x11</t>
  </si>
  <si>
    <t>RE.EL</t>
  </si>
  <si>
    <t>Via Zamboni, 6, 41011 Campogalliano (MO), Italy​</t>
  </si>
  <si>
    <t>radio-controlled vehicles, electric toys</t>
  </si>
  <si>
    <t>two cracks in the dome; one wheel missing</t>
  </si>
  <si>
    <t>Green Goldorak flying saucer</t>
  </si>
  <si>
    <t>Lights, moves in circles, sound</t>
  </si>
  <si>
    <t>Half Earth w/ satellite and sputnik</t>
  </si>
  <si>
    <t>Lunar lanscape w/ lunar vehicle and USA base</t>
  </si>
  <si>
    <t>Earth w/ orbiting sputnik and satellite</t>
  </si>
  <si>
    <t>Vertical track w/ 2 spaceships  travelling betwen Earth and Moon</t>
  </si>
  <si>
    <t>Blue metallic structure w/ Earth in centre and circling red satellite</t>
  </si>
  <si>
    <t>Moves forward, sparks under screen</t>
  </si>
  <si>
    <t>Moves forward, central part rotates</t>
  </si>
  <si>
    <t>Monkey w/ straw hat seated polishing a red boot</t>
  </si>
  <si>
    <t>Kid w/ blue cap polishing black boot</t>
  </si>
  <si>
    <t>Rabitt w/ glasses and yellow apron knitting</t>
  </si>
  <si>
    <t>Secretary typing a letter, has a plaque with name</t>
  </si>
  <si>
    <t>Celulloid Girl w/ Sewing Machine</t>
  </si>
  <si>
    <t>Bear seated in front of a desk w/ "I am the boss"</t>
  </si>
  <si>
    <t>Bear w/ beret drawing on a paper</t>
  </si>
  <si>
    <t>Monkey eating a banana and holding a juice can</t>
  </si>
  <si>
    <t>Monkey at the table eating meat w/ fork and knife</t>
  </si>
  <si>
    <t>Hambuger restaurant w/ chef</t>
  </si>
  <si>
    <t>Skating Chef w/ fruit platter</t>
  </si>
  <si>
    <t>Pig chef w/ pan and seasoner</t>
  </si>
  <si>
    <t>Red hair chef w/ pan and seasoner</t>
  </si>
  <si>
    <t>Owl teacher pointing to the blackboard</t>
  </si>
  <si>
    <t>Bear sleeping in bed</t>
  </si>
  <si>
    <t>Lady w/ Ewbank-type sweeper</t>
  </si>
  <si>
    <t xml:space="preserve">Bear w/ waxer </t>
  </si>
  <si>
    <t>Bear w/n two cases</t>
  </si>
  <si>
    <t>Miller climbing to the mill w/ a sack of flour on head</t>
  </si>
  <si>
    <t>Man w/ bell and gas bottle to blow bubbles</t>
  </si>
  <si>
    <t>Girl w/ yellow jacket and red scarf on skis</t>
  </si>
  <si>
    <t>Boy w/ grey jacket on sled</t>
  </si>
  <si>
    <t>Boy w/ popping eyes</t>
  </si>
  <si>
    <t>Girl w/ popping eyes</t>
  </si>
  <si>
    <t>Girl w/ blue and white dots dress pushing pram</t>
  </si>
  <si>
    <t>Small girl pushing  pram on a track w/ carroucel</t>
  </si>
  <si>
    <t>Baby w/ red dotted clothes crawling</t>
  </si>
  <si>
    <t>Boy in wanderer w/ white horse head</t>
  </si>
  <si>
    <t>Celuloid dutch girl w/ baby</t>
  </si>
  <si>
    <t>Girl seated in the sunshade w/ a goose nearby</t>
  </si>
  <si>
    <t>Beared man w/ yellow hat holding a baby girl</t>
  </si>
  <si>
    <t>Girl pushing a pram w/ small baby</t>
  </si>
  <si>
    <t>Bear pushing a pram w/ small bear</t>
  </si>
  <si>
    <t>Mamma bear feeding a baby bear</t>
  </si>
  <si>
    <t>Peanut vendor bear</t>
  </si>
  <si>
    <t>Pop corn vendor duck</t>
  </si>
  <si>
    <t>Girl playing with basketball</t>
  </si>
  <si>
    <t>Monkey riding tricycle w/ a boy passenger</t>
  </si>
  <si>
    <t>Carrousel w/ 3 kids inside cups</t>
  </si>
  <si>
    <t>Spinning top w/ a couple playing instruments</t>
  </si>
  <si>
    <t>Carrousel w/ 3 animals</t>
  </si>
  <si>
    <t>Carrousel w/ globe and four ships each with a couple</t>
  </si>
  <si>
    <t>Carrousel w/ 3 covered chairs w/ kids</t>
  </si>
  <si>
    <t>Carrousel w/ 3 planes</t>
  </si>
  <si>
    <t>Small carrousel w/ 4 planes and boats in a lower platform</t>
  </si>
  <si>
    <t>Small carrousel w/ 2 "ships" w/ passengers</t>
  </si>
  <si>
    <t>Small vertical wheel w/ 5 cabins</t>
  </si>
  <si>
    <t>Pink rabitt playing drums</t>
  </si>
  <si>
    <t>Boy w/ beret and red cloth on tricycle w/ bell</t>
  </si>
  <si>
    <t>Monkey pushing ice cream cart w/ sunshade</t>
  </si>
  <si>
    <t>Dog playing w/ a caterpillar</t>
  </si>
  <si>
    <t>Bubble blowing polar bear</t>
  </si>
  <si>
    <t>Carrousel w/ 3 "cars" w/ kids</t>
  </si>
  <si>
    <t>Carrousel w/ 3 dwarfs</t>
  </si>
  <si>
    <t>Carrousel  w/ 4 "cars" and baloons</t>
  </si>
  <si>
    <t>Truck w/ carrousel</t>
  </si>
  <si>
    <t>Truck w/ fairground wheel, each chair has names of planets</t>
  </si>
  <si>
    <t>World circus truck w/ 4 moving animals</t>
  </si>
  <si>
    <t>Circus Jeep w/ trailer w/ lion</t>
  </si>
  <si>
    <t>Circus truck w/ giraffes and lions</t>
  </si>
  <si>
    <t>Swing w/ two animals</t>
  </si>
  <si>
    <t>Metal structure w/ two red acrobat clowns</t>
  </si>
  <si>
    <t>Clown w/ cane holding a yellow plastic hat</t>
  </si>
  <si>
    <t>Clown w/ cane holding a yellow tin hat</t>
  </si>
  <si>
    <t>Drumming clown w/ blue and red shoes</t>
  </si>
  <si>
    <t>Devils wheel w/ car</t>
  </si>
  <si>
    <t>Man w/ blond hair making gymnastic</t>
  </si>
  <si>
    <t>Clown w/ hat and pink face on skates</t>
  </si>
  <si>
    <t>Clown w/ red hat and white face on skates</t>
  </si>
  <si>
    <t>Plastic clown w/ red hat and white face on skates</t>
  </si>
  <si>
    <t xml:space="preserve"> Handstanding clown in red and yellow, w/ weights on hands</t>
  </si>
  <si>
    <t>Clown juggler w/ spinning rings on both hands and above his head</t>
  </si>
  <si>
    <t>Clown juggler w/ two plates on top of long springs</t>
  </si>
  <si>
    <t>Clown juggler w/ monkey sitted on chair</t>
  </si>
  <si>
    <t>Clown w/ glasses and red hat on a unicycle</t>
  </si>
  <si>
    <t>Clown w/ black and yellow hat on a unicycle</t>
  </si>
  <si>
    <t>Handstanding clown w/ yellow shirt and red trousers</t>
  </si>
  <si>
    <t>Handstanding clown dressed w/ the american flag</t>
  </si>
  <si>
    <t>Celuloid clown in pink vest w/ two blue bags</t>
  </si>
  <si>
    <t>A vertical sructure w/ four inclined tracks, and a car in a elevator</t>
  </si>
  <si>
    <t>Clown traing a dog to cross a hoop in flames</t>
  </si>
  <si>
    <t>Bald clown w/ moving eyes</t>
  </si>
  <si>
    <t>Clown w/a blue hat on his hand</t>
  </si>
  <si>
    <t>Clown w/ yellow conical hat driving a crazy jeep w/ a dog on the bonnet</t>
  </si>
  <si>
    <t>Clown on a wire</t>
  </si>
  <si>
    <t>Clown w/ black hat juggling 4 coloured balls</t>
  </si>
  <si>
    <t>Monkey on bicycle w/ a green banner</t>
  </si>
  <si>
    <t>Two monkeys w/ coats and hats on a see-saw</t>
  </si>
  <si>
    <t>MS 410</t>
  </si>
  <si>
    <t>PD060426</t>
  </si>
  <si>
    <t>Orion</t>
  </si>
  <si>
    <t>Orion VIII spaceship</t>
  </si>
  <si>
    <t>Cranking the remote control makes the toy rotate and fly</t>
  </si>
  <si>
    <t>Plastic and thin tin</t>
  </si>
  <si>
    <t>26x26x9</t>
  </si>
  <si>
    <t>This is a prototype of the toy, the central wire was later replaced by a transparent plastic part; the spaceship Orion appeared on a German TV series  "Space Patrol" in the 1960s. In December 1966, Arnold negotiated a licence agreement with Bavaria Atelier Ltd for marketing the toy</t>
  </si>
  <si>
    <t>10 (201)</t>
  </si>
  <si>
    <t>Lansberger</t>
  </si>
  <si>
    <t>PD060428</t>
  </si>
  <si>
    <t>PD060429</t>
  </si>
  <si>
    <t xml:space="preserve">Fire Bird </t>
  </si>
  <si>
    <t>Moves forward, sparks from guns</t>
  </si>
  <si>
    <t>21.5x20x5</t>
  </si>
  <si>
    <t>a copy made in India exists</t>
  </si>
  <si>
    <t>PD060402</t>
  </si>
  <si>
    <t>PD060403</t>
  </si>
  <si>
    <t>Airplane</t>
  </si>
  <si>
    <t>Fire Bird B10-4 orange jet</t>
  </si>
  <si>
    <t>Orange GE270  jet</t>
  </si>
  <si>
    <t>29x24x7</t>
  </si>
  <si>
    <t>1 (75)</t>
  </si>
  <si>
    <t>PD060398</t>
  </si>
  <si>
    <t>PD060400</t>
  </si>
  <si>
    <t>PD060401</t>
  </si>
  <si>
    <t>there is a version w/ helices</t>
  </si>
  <si>
    <t>Space Patrol with Floating Satellite X-17</t>
  </si>
  <si>
    <t>Green Space Patrol X-17</t>
  </si>
  <si>
    <t>20x20x15</t>
  </si>
  <si>
    <t>scarcity: 6/10 (3/5); desirability: 4/6</t>
  </si>
  <si>
    <t>Mystery action, flashing lights, ball levitates</t>
  </si>
  <si>
    <t>35 (169) 43 (135) 78 (199) 132 (50)</t>
  </si>
  <si>
    <t>150-250 (2024)</t>
  </si>
  <si>
    <t>PD060422</t>
  </si>
  <si>
    <t>Space Commander</t>
  </si>
  <si>
    <t>does not move, lights work</t>
  </si>
  <si>
    <t>in 1969 re-issued as "Planet -Y Space Station"; scarcity: 8/10</t>
  </si>
  <si>
    <t>23x23x13</t>
  </si>
  <si>
    <t>35 (167) 43 (184) 132 (138)</t>
  </si>
  <si>
    <t>PD060419</t>
  </si>
  <si>
    <t>Brown, blue and red space station w/ astronaut in dome</t>
  </si>
  <si>
    <t>Flying Saucer with Space Pilot</t>
  </si>
  <si>
    <t>Red flying saucer with conical spiral antenna</t>
  </si>
  <si>
    <t>Mystery action, flashing lights</t>
  </si>
  <si>
    <t>Mystery action, revolving antenna, astronaut moves arms, lights and sound</t>
  </si>
  <si>
    <t>21x19x13</t>
  </si>
  <si>
    <t>scarcity: 4/10; desirability: 4/6; several variants using the same basic toy</t>
  </si>
  <si>
    <t>PD060405</t>
  </si>
  <si>
    <t>PD060406</t>
  </si>
  <si>
    <t>PD060409</t>
  </si>
  <si>
    <t>Two-Stage Rocket Launching Pad</t>
  </si>
  <si>
    <t>Lauching  base w/ operator and tower w/ 2 rockets</t>
  </si>
  <si>
    <t>When rocket is pushed into launcher, the radar screen blinks with increasingly faster beep-beep signal, operator moves levers, then rocket is fired</t>
  </si>
  <si>
    <t>10x18x21</t>
  </si>
  <si>
    <t>500 (2020) w/ box</t>
  </si>
  <si>
    <t>35 (78 ) 43 (124)</t>
  </si>
  <si>
    <t>This toy was taken out of production very quickly  because the rockets could hit the children's eyes; this is the rarer light blue version with a "flatter" finish than the slightly raised litho of the purple version; in version 1 a crank handle is attached at the front and there is an additional button on the launch tube - the crank is used to start the launch sequence mechanically. Version 2 (ours) is started by simply pushing the rocket down; scarcity 6/10; desirability 4/6</t>
  </si>
  <si>
    <t>35 (197) 43 (192)</t>
  </si>
  <si>
    <t>PD060414</t>
  </si>
  <si>
    <t>PD060415</t>
  </si>
  <si>
    <t>PD060416</t>
  </si>
  <si>
    <t>PD060417</t>
  </si>
  <si>
    <t xml:space="preserve">Small track w/ circling train and blue spaceship </t>
  </si>
  <si>
    <t>Ultraman Taro Circling Train</t>
  </si>
  <si>
    <t>26x16x17</t>
  </si>
  <si>
    <t>Bull Mark</t>
  </si>
  <si>
    <t xml:space="preserve">Bull </t>
  </si>
  <si>
    <t>83 (10)</t>
  </si>
  <si>
    <t>PD060393</t>
  </si>
  <si>
    <t>PD060395</t>
  </si>
  <si>
    <t>PD060397</t>
  </si>
  <si>
    <t>Box is in japanese "Ultraman Taro and the Super Swallow Sky Whale flies and the new line "Hikari" appears"; Ultraman Taro is the fifth season in the Ultra Series. Produced by Tsuburaya Productions (copyright in the toy), the series aired on Tokyo Broadcasting System from April 6, 1973, to April 5, 1974, with a total of 53 episodes. The Sky Whale is a large-scale flagship fighter; Hikari (Light) is the name of a high-speed train service running on the Tōkaidō and San'yō Shinkansen "bullet train" lines in Japan.</t>
  </si>
  <si>
    <t>Space Shooting Range</t>
  </si>
  <si>
    <t>Blue shooting game w/ spaceships</t>
  </si>
  <si>
    <t>Gun shoots balls that may throw down moving spaceships</t>
  </si>
  <si>
    <t>Train and plane circle, bell rings</t>
  </si>
  <si>
    <t>45.5x35x18</t>
  </si>
  <si>
    <t>117/12</t>
  </si>
  <si>
    <t>Codeg</t>
  </si>
  <si>
    <t>Cowan de Groot </t>
  </si>
  <si>
    <t>Chart St, Clerkenwell, London</t>
  </si>
  <si>
    <t>800 (2025) w/ box</t>
  </si>
  <si>
    <t xml:space="preserve">desirability: 5/6 </t>
  </si>
  <si>
    <t>43 (174)</t>
  </si>
  <si>
    <t>PD060374</t>
  </si>
  <si>
    <t>PD060377</t>
  </si>
  <si>
    <t>Apollo Circling</t>
  </si>
  <si>
    <t>Platform w/ Moon and Apollo and lander orbiting</t>
  </si>
  <si>
    <t>Apollo and Lander orbit around the Monn, Apollo faster</t>
  </si>
  <si>
    <t>19x17x20</t>
  </si>
  <si>
    <r>
      <t xml:space="preserve">The Apollo 11 spacecraft was composed of the </t>
    </r>
    <r>
      <rPr>
        <sz val="11"/>
        <color theme="1"/>
        <rFont val="Calibri"/>
        <family val="2"/>
        <scheme val="minor"/>
      </rPr>
      <t>Command/Service Module (CSM)</t>
    </r>
    <r>
      <rPr>
        <sz val="11"/>
        <color theme="1"/>
        <rFont val="Calibri"/>
        <family val="2"/>
        <scheme val="minor"/>
      </rPr>
      <t xml:space="preserve"> and the </t>
    </r>
    <r>
      <rPr>
        <sz val="11"/>
        <color theme="1"/>
        <rFont val="Calibri"/>
        <family val="2"/>
        <scheme val="minor"/>
      </rPr>
      <t>Lunar Module (LM),</t>
    </r>
    <r>
      <rPr>
        <b/>
        <sz val="11"/>
        <color theme="1"/>
        <rFont val="Calibri"/>
        <family val="2"/>
        <scheme val="minor"/>
      </rPr>
      <t xml:space="preserve"> </t>
    </r>
    <r>
      <rPr>
        <sz val="11"/>
        <color theme="1"/>
        <rFont val="Calibri"/>
        <family val="2"/>
        <scheme val="minor"/>
      </rPr>
      <t xml:space="preserve">with the CSM serving as the primary spacecraft in orbit around the Moon at </t>
    </r>
    <r>
      <rPr>
        <sz val="11"/>
        <color theme="1"/>
        <rFont val="Calibri"/>
        <family val="2"/>
        <scheme val="minor"/>
      </rPr>
      <t>3500 to 3700 km/h</t>
    </r>
    <r>
      <rPr>
        <b/>
        <sz val="11"/>
        <color theme="1"/>
        <rFont val="Calibri"/>
        <family val="2"/>
        <scheme val="minor"/>
      </rPr>
      <t xml:space="preserve"> </t>
    </r>
    <r>
      <rPr>
        <sz val="11"/>
        <color theme="1"/>
        <rFont val="Calibri"/>
        <family val="2"/>
        <scheme val="minor"/>
      </rPr>
      <t xml:space="preserve">and the LM being the vehicle that landed on the lunar surface. The LM separated from the CSM with the descent stage firing its engines to lower the module progressively slower to the lunar surface. After the moonwalk, the ascent stage reached </t>
    </r>
    <r>
      <rPr>
        <sz val="11"/>
        <color theme="1"/>
        <rFont val="Calibri"/>
        <family val="2"/>
        <scheme val="minor"/>
      </rPr>
      <t>2000 to 3000 km/h</t>
    </r>
    <r>
      <rPr>
        <sz val="11"/>
        <color theme="1"/>
        <rFont val="Calibri"/>
        <family val="2"/>
        <scheme val="minor"/>
      </rPr>
      <t xml:space="preserve"> to escape the Moon’s gravity and return to the orbiting CSM.</t>
    </r>
  </si>
  <si>
    <t>K inside 5 leaf clover</t>
  </si>
  <si>
    <t>Kokyu Shokai</t>
  </si>
  <si>
    <t>Kokyu Trading Co. Ltd</t>
  </si>
  <si>
    <t>Coney Island Rocket Ride</t>
  </si>
  <si>
    <t>21x21x35</t>
  </si>
  <si>
    <t>Gonçao Rueda</t>
  </si>
  <si>
    <t>35 (51) 43 (185)</t>
  </si>
  <si>
    <t>PD060378</t>
  </si>
  <si>
    <t>PD060379</t>
  </si>
  <si>
    <t>Blue  vertical merry-go-round w/ 2 spaceships</t>
  </si>
  <si>
    <t>Flying Saucer 8</t>
  </si>
  <si>
    <t>Red and white flying saucer no. 8 w/ 2 astronauts inside dome</t>
  </si>
  <si>
    <t>Moves fortward, sparks inside dome</t>
  </si>
  <si>
    <t>17x17x7</t>
  </si>
  <si>
    <t>132 (108)</t>
  </si>
  <si>
    <t>43 (202) 55 (36)</t>
  </si>
  <si>
    <t>The catalogue shows a  classical moon as a face, but in the toy the moon is a sphere; desirability: 5/6</t>
  </si>
  <si>
    <t>PD060386</t>
  </si>
  <si>
    <t>PD060388</t>
  </si>
  <si>
    <t>Terre-Mars</t>
  </si>
  <si>
    <t>Blue and red  spaceship w/ yellow fins</t>
  </si>
  <si>
    <t>no mechanism</t>
  </si>
  <si>
    <t>43 (196) 132 (38)</t>
  </si>
  <si>
    <t>desirability: 4/6; variant w/ blue fins</t>
  </si>
  <si>
    <t>PD060380</t>
  </si>
  <si>
    <t>PD060381</t>
  </si>
  <si>
    <t>18x14.5x6</t>
  </si>
  <si>
    <t>Green Monk Combex</t>
  </si>
  <si>
    <t>Yorkshire, England</t>
  </si>
  <si>
    <t>Orbitoy Satellite Space Spinner</t>
  </si>
  <si>
    <t>Holding the yo-yo at an angle makes the satellite spin around</t>
  </si>
  <si>
    <t>Ships w/ lights go around, structure changes angle, bell rings</t>
  </si>
  <si>
    <t>There is a version w/ radio command (a space pistol);  copyright TOEI animation  RAI 1978; Goldrake or Goldorak, is a Japanese manga and animated television series created by Go Nagai. It aired on Fuji TV from October 5, 1975, to February 27, 1977. GOLDORAK is a gigantic, heavily armed, two-part alien war machine.</t>
  </si>
  <si>
    <t>PD060385</t>
  </si>
  <si>
    <t>50-100 (2024) w/ box</t>
  </si>
  <si>
    <t>Antenna and cockpit spin when blown</t>
  </si>
  <si>
    <t>PD060390</t>
  </si>
  <si>
    <t>PD060392</t>
  </si>
  <si>
    <t>Bruder</t>
  </si>
  <si>
    <t>still in production</t>
  </si>
  <si>
    <t>1926 Bruder supplied these brass reeds to toy trumpet manufacturers. 1958: Purchase of a small, used manual injection moulding machine</t>
  </si>
  <si>
    <t>Paul Bruder Spielwarenfabrik; BRUDER Spielwaren Inh. Heinz Bruder (since 1978)</t>
  </si>
  <si>
    <t>In the 1960s small items, such as toy gun, consisting of only three parts</t>
  </si>
  <si>
    <t>Fürth‑Burgfarrnbach</t>
  </si>
  <si>
    <t>SpaceShip Whistle</t>
  </si>
  <si>
    <t>16x13x11</t>
  </si>
  <si>
    <t>Space themed large blue yo-yo</t>
  </si>
  <si>
    <t>89 (113)</t>
  </si>
  <si>
    <t>Blue and orange spaceship whistle</t>
  </si>
  <si>
    <t>30-50 (2024)</t>
  </si>
  <si>
    <t>PD300540</t>
  </si>
  <si>
    <t>PD300542</t>
  </si>
  <si>
    <t>UFO X-05</t>
  </si>
  <si>
    <t>UFOX05  blue and red disc saucer</t>
  </si>
  <si>
    <t>20x7x5</t>
  </si>
  <si>
    <t>18x18x13</t>
  </si>
  <si>
    <t>scarcity: 3/10</t>
  </si>
  <si>
    <t>X-7 Space Explorer Ship</t>
  </si>
  <si>
    <t>Mystery action, flashing lights, beep-beep sound</t>
  </si>
  <si>
    <t>Mystery action, flashing lights, beep-beep sound, antenna rotates</t>
  </si>
  <si>
    <t>78 (200)</t>
  </si>
  <si>
    <t>scarcity: 4/10; pat: 51762, 146220</t>
  </si>
  <si>
    <t xml:space="preserve">Blue X-7 Flying Saucer </t>
  </si>
  <si>
    <t>Green X-7 Space Ship</t>
  </si>
  <si>
    <t xml:space="preserve"> Space Explorer Ship X-7</t>
  </si>
  <si>
    <t>21x21x13</t>
  </si>
  <si>
    <t>78 (201)</t>
  </si>
  <si>
    <t>scarcity: 1-3/10</t>
  </si>
  <si>
    <t>35 (197) 78 (202) 132 (133)</t>
  </si>
  <si>
    <t>180-250 (2024) w/ box</t>
  </si>
  <si>
    <t>PD300543</t>
  </si>
  <si>
    <t>PD300544</t>
  </si>
  <si>
    <t>PD300549</t>
  </si>
  <si>
    <t>PD300550</t>
  </si>
  <si>
    <t>PD300546</t>
  </si>
  <si>
    <t>PD300547</t>
  </si>
  <si>
    <t>Red, pink &amp; yellow disc saucer</t>
  </si>
  <si>
    <t>Mystery action, lights</t>
  </si>
  <si>
    <t>15x15x9</t>
  </si>
  <si>
    <t>Excellent w/ instruction</t>
  </si>
  <si>
    <t>toy is marked with a T inside a circle, made in Hong Kong, no. 365; box for the German market, art. No. 2002 , with GB in a red circle surrounded by Brohm SpielWaren; this is a German toy manufacturer founded in the late 1950s in Vielbrunn, Odenwald, by Georg Brohm.</t>
  </si>
  <si>
    <t>made in Hong Kong</t>
  </si>
  <si>
    <t>PD300554</t>
  </si>
  <si>
    <t>Satellite X-II</t>
  </si>
  <si>
    <t>Space Ship X-II</t>
  </si>
  <si>
    <t>Mystery action, astronaut circles ship</t>
  </si>
  <si>
    <t>15x13x12</t>
  </si>
  <si>
    <t>MS 635</t>
  </si>
  <si>
    <t>scarcity: 4/5</t>
  </si>
  <si>
    <t>PD300556</t>
  </si>
  <si>
    <t>PD300559</t>
  </si>
  <si>
    <t>Universe Reconaissance Boat</t>
  </si>
  <si>
    <t>ME 769</t>
  </si>
  <si>
    <t>Space ship w/ astronaut looking at periscope</t>
  </si>
  <si>
    <t>Mystery action, astronaut moves around periscope w/ light, engine lights</t>
  </si>
  <si>
    <t>30x19x14</t>
  </si>
  <si>
    <t>NASA Space Explorer</t>
  </si>
  <si>
    <t>50-130 (2024) w/ box</t>
  </si>
  <si>
    <t>40-50 (2024) w/ box</t>
  </si>
  <si>
    <t>80-170 (2024)  w/ box</t>
  </si>
  <si>
    <t>PD300578</t>
  </si>
  <si>
    <t>PD300579</t>
  </si>
  <si>
    <t>Space Police Flying Saucer</t>
  </si>
  <si>
    <t>White &amp; blue Police space ship</t>
  </si>
  <si>
    <t>Mystery action, engine lights, other lights</t>
  </si>
  <si>
    <t>19x19x21</t>
  </si>
  <si>
    <t>Stilized red baby in circle</t>
  </si>
  <si>
    <t>Kuang Mei Toys</t>
  </si>
  <si>
    <t>Km 2037</t>
  </si>
  <si>
    <t>80-100 (2024) w/ box</t>
  </si>
  <si>
    <t>PD300591</t>
  </si>
  <si>
    <t>Interstellar Patrol FX-09</t>
  </si>
  <si>
    <t>White  Interstellar Patrol</t>
  </si>
  <si>
    <t>When the vehicle moves, rear engines flash; when it stops, nose lights flash, cockpit opens, astronaut moves forwrd</t>
  </si>
  <si>
    <t>39x24x10</t>
  </si>
  <si>
    <t>Loja do Augusto, Sesimbra, offered by Dad</t>
  </si>
  <si>
    <t>HD</t>
  </si>
  <si>
    <t>Hong Da</t>
  </si>
  <si>
    <t>270-300 (2024) w/ box</t>
  </si>
  <si>
    <t>"Buck Rogers in the 25th Century" is an American science fiction adventure television series produced by Universal Studios. The series ran for two seasons between September 1979 and April 1981 on NBC. This 'Star Fighter is a medium starfighter used by the Earth Defense Directorate to protect Earth and all starships in service in with the Earth government.</t>
  </si>
  <si>
    <t>PD300586</t>
  </si>
  <si>
    <t>PD300587</t>
  </si>
  <si>
    <t>two small wings missing</t>
  </si>
  <si>
    <t>Space Rocket</t>
  </si>
  <si>
    <t>F007</t>
  </si>
  <si>
    <t>PD300570</t>
  </si>
  <si>
    <t>Tin Treasures</t>
  </si>
  <si>
    <t>India</t>
  </si>
  <si>
    <t xml:space="preserve">Moves w/ sparkling </t>
  </si>
  <si>
    <t>25x8.5x8</t>
  </si>
  <si>
    <t>a variant w/ different litography and blue transparent nose is the "Oriental Air Rocket"</t>
  </si>
  <si>
    <t>Space Rangers 88 with Lazer Gun</t>
  </si>
  <si>
    <t>A similar toy but w/ different litography "Comandos Del Espacio 76" was made by EGE (Spain) in the 70's,, desirability: 4/6</t>
  </si>
  <si>
    <t>43 (161)</t>
  </si>
  <si>
    <t>Mystery action; when it stops opens rear doors, lasers raise and lights flash, then they recoil and doors close</t>
  </si>
  <si>
    <t>21x13x12</t>
  </si>
  <si>
    <t>the rubber tracks broke in many pieces</t>
  </si>
  <si>
    <t>PD300561</t>
  </si>
  <si>
    <t>PD300564</t>
  </si>
  <si>
    <t>L inside gear</t>
  </si>
  <si>
    <t>Lemezaru Gyar</t>
  </si>
  <si>
    <t>Budapest</t>
  </si>
  <si>
    <t>33x12x12</t>
  </si>
  <si>
    <t>small ring to hold the ball and V-shaped antenna are missing</t>
  </si>
  <si>
    <t>Mystery action, a ball levitates,  antenna rotates, light</t>
  </si>
  <si>
    <t>Holdauto</t>
  </si>
  <si>
    <t>PD300585</t>
  </si>
  <si>
    <t>PD300593</t>
  </si>
  <si>
    <t>Magic Color Moon Express</t>
  </si>
  <si>
    <t>Space train Moon Express</t>
  </si>
  <si>
    <t>Mystery action, sound, alternating red and green lights appearing at the front, turbines in front and rear rotate</t>
  </si>
  <si>
    <t>35x10x11</t>
  </si>
  <si>
    <t>made in Taiwan</t>
  </si>
  <si>
    <t>this is a copy made in Taiwan of the toy made by TPS; there are also copies made in Hong Kong; scarcity (TPS): 3/10</t>
  </si>
  <si>
    <t>35 (120) 51 (141) 132 (145)</t>
  </si>
  <si>
    <t>PD090438</t>
  </si>
  <si>
    <t>PD090440</t>
  </si>
  <si>
    <t>Future Dream Car</t>
  </si>
  <si>
    <t>Red futuristic car w/ transparent cockpit and driver</t>
  </si>
  <si>
    <t>23x11x7</t>
  </si>
  <si>
    <t>&gt;100</t>
  </si>
  <si>
    <t>PD090451</t>
  </si>
  <si>
    <t>PD090452</t>
  </si>
  <si>
    <t>PD090453</t>
  </si>
  <si>
    <t>Nave Colombia</t>
  </si>
  <si>
    <t>Large Colombia shuttle w/ astronaut floating</t>
  </si>
  <si>
    <t>Mystery action, sound, flashing lights, opens door, astronaut appears and retracts, closes door</t>
  </si>
  <si>
    <t>36x26x24</t>
  </si>
  <si>
    <t>132 (165)</t>
  </si>
  <si>
    <t>89 (94)</t>
  </si>
  <si>
    <t>PD090441</t>
  </si>
  <si>
    <t>PD090446</t>
  </si>
  <si>
    <t>PD090448</t>
  </si>
  <si>
    <t>Electro-Astronautic Satellite Interceptor</t>
  </si>
  <si>
    <t>Toy composed of a missile launcher and a ball blower</t>
  </si>
  <si>
    <t>37x16x29</t>
  </si>
  <si>
    <t>On April 12, 1981, John Young and Robert Crippen launched the space shuttle program by piloting Columbia to space and returning successfully two days later.</t>
  </si>
  <si>
    <t>PD090449</t>
  </si>
  <si>
    <t>Wall-E robot</t>
  </si>
  <si>
    <r>
      <t>WALL-E</t>
    </r>
    <r>
      <rPr>
        <sz val="11"/>
        <color rgb="FF202122"/>
        <rFont val="Calibri"/>
        <family val="2"/>
        <scheme val="minor"/>
      </rPr>
      <t xml:space="preserve"> is a 2008 American animated </t>
    </r>
    <r>
      <rPr>
        <sz val="11"/>
        <color theme="1"/>
        <rFont val="Calibri"/>
        <family val="2"/>
        <scheme val="minor"/>
      </rPr>
      <t>romantic</t>
    </r>
    <r>
      <rPr>
        <sz val="11"/>
        <color rgb="FF202122"/>
        <rFont val="Calibri"/>
        <family val="2"/>
        <scheme val="minor"/>
      </rPr>
      <t> </t>
    </r>
    <r>
      <rPr>
        <sz val="11"/>
        <color theme="1"/>
        <rFont val="Calibri"/>
        <family val="2"/>
        <scheme val="minor"/>
      </rPr>
      <t>science fiction film</t>
    </r>
    <r>
      <rPr>
        <sz val="11"/>
        <color rgb="FF202122"/>
        <rFont val="Calibri"/>
        <family val="2"/>
        <scheme val="minor"/>
      </rPr>
      <t> produced by </t>
    </r>
    <r>
      <rPr>
        <sz val="11"/>
        <color theme="1"/>
        <rFont val="Calibri"/>
        <family val="2"/>
        <scheme val="minor"/>
      </rPr>
      <t>Pixar Animation Studio</t>
    </r>
    <r>
      <rPr>
        <u/>
        <sz val="11"/>
        <color theme="1"/>
        <rFont val="Calibri"/>
        <family val="2"/>
        <scheme val="minor"/>
      </rPr>
      <t>s</t>
    </r>
    <r>
      <rPr>
        <sz val="11"/>
        <color rgb="FF202122"/>
        <rFont val="Calibri"/>
        <family val="2"/>
        <scheme val="minor"/>
      </rPr>
      <t> for </t>
    </r>
    <r>
      <rPr>
        <sz val="11"/>
        <color theme="1"/>
        <rFont val="Calibri"/>
        <family val="2"/>
        <scheme val="minor"/>
      </rPr>
      <t>Walt Disney Pictures</t>
    </r>
    <r>
      <rPr>
        <i/>
        <sz val="11"/>
        <color rgb="FF202122"/>
        <rFont val="Calibri"/>
        <family val="2"/>
        <scheme val="minor"/>
      </rPr>
      <t xml:space="preserve">; </t>
    </r>
    <r>
      <rPr>
        <sz val="11"/>
        <color rgb="FF202122"/>
        <rFont val="Calibri"/>
        <family val="2"/>
        <scheme val="minor"/>
      </rPr>
      <t>toy is marked" I'm a thinking Toy", copyright Disney/Pixar Thinkway Toys</t>
    </r>
  </si>
  <si>
    <t>try-me button: lights eyes, moves arms and head, sounds from the movie; when on, it becomes interactive, i.e., it responds to words like IVA and Wally</t>
  </si>
  <si>
    <t>14x17x18</t>
  </si>
  <si>
    <t>PD090454</t>
  </si>
  <si>
    <t>PD090455</t>
  </si>
  <si>
    <t>Dingbot</t>
  </si>
  <si>
    <t>S400</t>
  </si>
  <si>
    <t>Small blue robot</t>
  </si>
  <si>
    <t>Mystery action, beeps and whirls, lights eyes</t>
  </si>
  <si>
    <t>9x10x10.5</t>
  </si>
  <si>
    <t>This is the rarer blue version; there is also a white variant</t>
  </si>
  <si>
    <t>PD300596</t>
  </si>
  <si>
    <t>"Satellite" levitates, missile launcher can be adjusted in angle and horizontally, missile is launched pneumatically</t>
  </si>
  <si>
    <t>Blue space car that levitates a ball</t>
  </si>
  <si>
    <t>White plastic vehicle, opens transparent orange doors to reveal guns</t>
  </si>
  <si>
    <t>Red, blue &amp; yellow rocket w/ transparent red nose</t>
  </si>
  <si>
    <t>There is a blue variant; a very similar car was made by Mattel (1953)</t>
  </si>
  <si>
    <t>R.O.C. Pat. 7499; box has two versions (differences in font used for toy name)</t>
  </si>
  <si>
    <t>Prov. Pat. 11468/69; there is a similar MS 761 chinese toy</t>
  </si>
  <si>
    <t>scarcity: 7/10; desirability: 4/6; there is a chinese copy MS 446</t>
  </si>
  <si>
    <r>
      <t xml:space="preserve">Research </t>
    </r>
    <r>
      <rPr>
        <sz val="11"/>
        <color theme="1"/>
        <rFont val="Calibri"/>
        <family val="2"/>
        <scheme val="minor"/>
      </rPr>
      <t>(</t>
    </r>
    <r>
      <rPr>
        <i/>
        <sz val="11"/>
        <color theme="1"/>
        <rFont val="Calibri"/>
        <family val="2"/>
        <scheme val="minor"/>
      </rPr>
      <t>patent no., background, scarcity</t>
    </r>
    <r>
      <rPr>
        <sz val="11"/>
        <color theme="1"/>
        <rFont val="Calibri"/>
        <family val="2"/>
        <scheme val="minor"/>
      </rPr>
      <t>)</t>
    </r>
  </si>
  <si>
    <t>desirability: 5/6; there is a version w/ 2 ships orbiting Earth</t>
  </si>
  <si>
    <t>desirability: 2/6</t>
  </si>
  <si>
    <t>Mini Sonicon Rocket</t>
  </si>
  <si>
    <t>Mini Sonicon</t>
  </si>
  <si>
    <t>Pull-back action</t>
  </si>
  <si>
    <t>13x6x5</t>
  </si>
  <si>
    <t>Excellent w/ catalogue</t>
  </si>
  <si>
    <t>004-5771</t>
  </si>
  <si>
    <t>Miniature of the "Sonicom Rocket" from 1957; collection of miniatures  linked to the Tin Toy Museum</t>
  </si>
  <si>
    <t>78 (193)</t>
  </si>
  <si>
    <t>PD300572</t>
  </si>
  <si>
    <t>PD300573</t>
  </si>
  <si>
    <t>Robot-7</t>
  </si>
  <si>
    <t>HS-2012</t>
  </si>
  <si>
    <t>Small silver robot-7</t>
  </si>
  <si>
    <t>5x7x10</t>
  </si>
  <si>
    <t>PD300577</t>
  </si>
  <si>
    <t>70 (147) 132 (135)</t>
  </si>
  <si>
    <t>replica of the Robot-7 made by Noguchi in the late 60s</t>
  </si>
  <si>
    <t>X-27 Explorer</t>
  </si>
  <si>
    <t>MS 398</t>
  </si>
  <si>
    <t>Blue "robot" w/ human face</t>
  </si>
  <si>
    <t>PD300605</t>
  </si>
  <si>
    <t>replica of the toy made by Yonezawa in the late 1950s</t>
  </si>
  <si>
    <t>60-70 (2024) w/ box</t>
  </si>
  <si>
    <t>TV. Robot</t>
  </si>
  <si>
    <t>Lights eyes, TV scene, legs walk</t>
  </si>
  <si>
    <t>Black plastic robot w/ TV</t>
  </si>
  <si>
    <t>11x16x28</t>
  </si>
  <si>
    <t>distributed by Leader Toy Corporation (in the USA?); stickers are original</t>
  </si>
  <si>
    <t>PD300599</t>
  </si>
  <si>
    <t>PD300600</t>
  </si>
  <si>
    <t>Walks</t>
  </si>
  <si>
    <t>6x13x26</t>
  </si>
  <si>
    <t>Robot X-II Universe</t>
  </si>
  <si>
    <t>NY-7036</t>
  </si>
  <si>
    <t>Plastic Robot X-II</t>
  </si>
  <si>
    <t>Mystery action, moves arms and waves head, lights &amp; sound</t>
  </si>
  <si>
    <t>14x16x21</t>
  </si>
  <si>
    <t>manufacturer has logo "N w/ Clockwork key inside a circle"</t>
  </si>
  <si>
    <t>PD300597</t>
  </si>
  <si>
    <t>PD300598</t>
  </si>
  <si>
    <t>Red spaceship w/ astronaut under "umbrella"</t>
  </si>
  <si>
    <t>Pulling string, space ship moves on a suspended perforated sheet track</t>
  </si>
  <si>
    <t>Sky-Rocket aka Mondrakete</t>
  </si>
  <si>
    <t>700-900 (2025) w/ box</t>
  </si>
  <si>
    <t>desirability: 6/6</t>
  </si>
  <si>
    <t>3 (153) 43 (109) 132 (82)</t>
  </si>
  <si>
    <t>3 (168)</t>
  </si>
  <si>
    <t>43 (199) 46 (137)</t>
  </si>
  <si>
    <t>19x10x8</t>
  </si>
  <si>
    <t>PD310611</t>
  </si>
  <si>
    <t>PD310614</t>
  </si>
  <si>
    <t>PD310622</t>
  </si>
  <si>
    <t>P2020004</t>
  </si>
  <si>
    <t>Mother Goose</t>
  </si>
  <si>
    <t>600 (2024)</t>
  </si>
  <si>
    <t>Goose w/ old lady and cat</t>
  </si>
  <si>
    <t xml:space="preserve">Goose bobs down and up making it travel </t>
  </si>
  <si>
    <t>23x9x18</t>
  </si>
  <si>
    <t>50 (49)</t>
  </si>
  <si>
    <t>The original Mother Goose might have been an 8th century French noblewoman named Bertrada II of Laon. In 740 AD, she married Pepin the Short who became King of the Franks. Their son, Charles, was Charlemagne. Bertrada, was a loving woman and became known as a patroness of children. She believed that all children, no matter of their circumstances, should be educated. The children’s stories that she was known to tell were meant to teach them morals and other solid life lessons. Bertrada came to be called “Berte aux Grand Pieds,” Bertha Greatfoot or Queen Goosefoot. In the late 1600s, the book “Tales From the Past With Morals” published by Charles Purrault had 10 children’s stories and was illustrated with a drawing of an old woman with children gathered around her wide skirts. In 1760 a popular trio of books were published by John Newbery and one was “Mother Goose’s Melody”. The first American publication by the same name was in 1787 and was called “Mother Goose’s Melody or Sonnets for the Cradle”. Some of the most familiar tales appear in this book, including Jack and Jill.</t>
  </si>
  <si>
    <t>PD090458</t>
  </si>
  <si>
    <t>Piston Robot</t>
  </si>
  <si>
    <t>Mostly plastic robot w/ transparent body showing pistons</t>
  </si>
  <si>
    <t>9x15x26</t>
  </si>
  <si>
    <t>Very good to excellent</t>
  </si>
  <si>
    <t>May2025</t>
  </si>
  <si>
    <t>MINT Toy Museum, Singapore</t>
  </si>
  <si>
    <t>240-350 (2025) w/ box</t>
  </si>
  <si>
    <t>Space Shuttle Columbia</t>
  </si>
  <si>
    <t>Space shuttle Enterprise</t>
  </si>
  <si>
    <t>tin &amp; plastic</t>
  </si>
  <si>
    <t>25x22x13</t>
  </si>
  <si>
    <t>35 (172) 78 (203) 132 (168)</t>
  </si>
  <si>
    <t>Non-fall, dual lights, on top, space sound</t>
  </si>
  <si>
    <t>Walks forward, pistons move</t>
  </si>
  <si>
    <t>Le Derby</t>
  </si>
  <si>
    <t>Horse race in a blue box</t>
  </si>
  <si>
    <t>Pulling a lever makes the horses move in a circle</t>
  </si>
  <si>
    <t>Tin, metal &amp; cardboard</t>
  </si>
  <si>
    <t>21x21x9</t>
  </si>
  <si>
    <t>JEP</t>
  </si>
  <si>
    <t>Jouets de Paris</t>
  </si>
  <si>
    <t>a french flag is missing</t>
  </si>
  <si>
    <t>SAMBO The Minstrel Man</t>
  </si>
  <si>
    <t>Moves right arm and waves head laterally, while we hear a music box</t>
  </si>
  <si>
    <t>Celuloid, tin &amp; wood</t>
  </si>
  <si>
    <t>June2025</t>
  </si>
  <si>
    <t>8x8x20</t>
  </si>
  <si>
    <t>3 (365) 126 (47)</t>
  </si>
  <si>
    <t>face and hands can be cream or pink; we have the rarer pink version</t>
  </si>
  <si>
    <t>250-350 (2025) w/ box</t>
  </si>
  <si>
    <t>High Jinks at the Circus Clown w/ his Performing Chimp</t>
  </si>
  <si>
    <t>Celuloid monkey seated on a tree trunk playing guitar</t>
  </si>
  <si>
    <t>Clown seated on a trunk holding a vertical extension on top of which a monkey plays cymbals</t>
  </si>
  <si>
    <t xml:space="preserve">Oscillates right leg, so that when the extension at its maximum, the monkey plays cymbals (a rope is extended); moves arms, stretching or recoiling the extension; lights nose and blows whistle; the head is manually moveable </t>
  </si>
  <si>
    <t>Tin, cloth &amp; plush</t>
  </si>
  <si>
    <t>Good (small hole in front)</t>
  </si>
  <si>
    <t>Arms do not move (extension is not working) - a broken pin is in the box; this is very common!; the wires/rope were repaired)</t>
  </si>
  <si>
    <t>200-250 (2024)?</t>
  </si>
  <si>
    <t>Box has 3 trademarks: Alps, Rock Valley Toys &amp; Cragstan (no.50114); desirability 4/6</t>
  </si>
  <si>
    <t>17 (68) 73 (42)</t>
  </si>
  <si>
    <t>23x17x60</t>
  </si>
  <si>
    <t>Anxious Bride Nanni</t>
  </si>
  <si>
    <t>3 wheel cycle pulling a carriage with a lady</t>
  </si>
  <si>
    <t>The cycle moves randomly while the lady waves her arms and stands</t>
  </si>
  <si>
    <t>22x8x10.5</t>
  </si>
  <si>
    <t>The original instructions state that the rider steers the wheel to and fro in order to startle his timid bride in the car and to keep her from getting out despite her lively waving and standing up. Nanni was the nickname of one of Lehmann 's sisters. We have the early model  (until 1913) in which the bride's hat has a brim. The paper handkerchief is original.The Tricycle was sold separately as EPL471 Mars (this is printed on the toy). Pat. DRP 125130 (1903) covers the movement of the bride. The box shows Pat. USA 12 May 1903, 22 Jan 1907 and the names of the toy in various languages, including russian. There is an unmarked french version of the toy with the original name "La Fiancée Inquiète"</t>
  </si>
  <si>
    <t>1900-2500 (2025)</t>
  </si>
  <si>
    <t>24, 81, 108</t>
  </si>
  <si>
    <t>PD090459</t>
  </si>
  <si>
    <t>P2070001</t>
  </si>
  <si>
    <t>P2070002</t>
  </si>
  <si>
    <t>PD070003</t>
  </si>
  <si>
    <t>P2080027</t>
  </si>
  <si>
    <t>P2070005</t>
  </si>
  <si>
    <t>P2070007</t>
  </si>
  <si>
    <t>P2080015</t>
  </si>
  <si>
    <t>P2080018</t>
  </si>
  <si>
    <t>P2070009</t>
  </si>
  <si>
    <t>P2070011</t>
  </si>
  <si>
    <t>Original price 0.65-0.70 DM; there is debate about the inspiration for the toy; the original version had spiked wheels, towards the end, litographed wheels (our toy). According to book 72 (83), a former employee continued the production of this toys until the 70s, after the company closed</t>
  </si>
  <si>
    <t>Rubber balls were replaced</t>
  </si>
  <si>
    <t>small wheel and rope are new</t>
  </si>
  <si>
    <t>We have a second plane with red fuselage and plastic wheels; the base for the somersault is new</t>
  </si>
  <si>
    <t>Le Joueur d'Orgue</t>
  </si>
  <si>
    <t>Begger Organ grinder</t>
  </si>
  <si>
    <t>Right hand turns the organ lever, left hand waves hat, head waves laterally</t>
  </si>
  <si>
    <t>Tin, cloth &amp; composition</t>
  </si>
  <si>
    <t>12x9x24</t>
  </si>
  <si>
    <t>S.I.J.I.M.</t>
  </si>
  <si>
    <t>Société Industrielle de jouets et d’inventions mécaniques</t>
  </si>
  <si>
    <t>18, Rue des Maronites, Paris</t>
  </si>
  <si>
    <t>1913 or 1914</t>
  </si>
  <si>
    <t>Prosper Lévi</t>
  </si>
  <si>
    <t>S.I.J.I.M. inside losangle</t>
  </si>
  <si>
    <t>Prosper Lévi had his trademarks protected in France on July 23, 1909 and internationally on September 20, 1909 for Austria, Belgium, Brazil, Cuba, Spain, France,Hungary, Italy, Mexico, The Netherlands, Portugal, Switzerland and in Tunisië. Between the S.I.J.I.M. factory and the Fernand Martin factory was in 1912 a lawsuit, about the Le Rapide Livreur from S.I.J.I.M. and the Petit Livreur from FernandMartin. Prosper Lévy from (S.I.J.I.M.) accused Fernand Martin having committed plagiarism. In the Lévi’s patent header there is a text in squared brackets: [ Guarantee certificate delivered to M. Jules Boucheron (of whom Mr. Lévi is sassignee) on the occasion of the 10th Lépine Contest of toys in Paris  August 12, 1910]. This means that the inventor of this toy was Jules Boucheron, a  small inventor probably without production opportunities and infrastructure. In July 1914, Fernand Martin gave a  statement: We are pleased to take that the infringement action brought by Mr. Levi against Mr.F. Martin, for a toy called “The Delivery Person” will not be followed up, Mr. Levi having recognized that it is wrongly and without right gull has assigned Mr. Martin ininfringement. For his part, Mr. Martin, in the presence of this declaration, waived his claimfor damages. The case is therefore closed. . From 1897 many toy manufacturers place the triangle with the text “Article Francais” and around it the text “Marque Deposee” , under the triangle a number, which was granted by the Chambre Syndicale des Fabricants de Jouets to French toy makers who requested it. The number reflects the order of the request. S.I.J.I.M. was 248, Martin was 138. The mechanisms of S.I.J.I.M. toys are different from those of Martin, often more sophisticated and of a better quality and therefore more expensive to produce. The best selling and known toy of SIJIM was le joueur d’orgue, often referred to as a Martin.</t>
  </si>
  <si>
    <t>Oct2025</t>
  </si>
  <si>
    <t>1500 in poor condition (2025)</t>
  </si>
  <si>
    <t>Medaille D'Or concours Lépine 1010  contest of inventions, created in 1901). Best selling and known toy of the manusfacturer, but often referred to as a F. Martin. Musée du Jouert de Poissy has one.</t>
  </si>
  <si>
    <t>All the other similar toys found seem to be in poorer condition</t>
  </si>
  <si>
    <t>not very visible, the front of the cart reads "F.M." on the left, and his triangular trademark on the right; F.M. filed this toy in 1911, but M. Lévi filed a complaint in court, as he was the owner of the patent, which he had bought from M. Boucheron; because of this, this toy was removed from some shops, and was also made by Lévi until 1913; the toy was produced by Fernand Martin, Georges Flersheim and Victor Bonnet. Fernand Martin made the first model with spoke wheels and a head with “look a like”
real hair in 1911; the second model is from Georges Flersheim and features the Flersheim key, another label, painted hair and the closed wheels.
This model was made from 1912 (our toy); the third model by Victor Bonnet is similar to the Flersheim model but has a different “Bonnet” key and was produced from 1919 until 1933. There is a fourth and rarest model, produced in 1911/12 with a higher suitcase/trunk that could be opened</t>
  </si>
  <si>
    <t>The book by Frédéric Marchand, L'Histoire des jouets Martin published a list of models manufactured by Martin and his successors. This classification distinguishes four periods: the 1st Martin period (1878-1894), the 2nd Martin period (1895-1912), the 3rd Georges Flersheim period (1912-1919), and the 4th Victor Bonnet period (1919-1937).</t>
  </si>
  <si>
    <t>P2030111</t>
  </si>
  <si>
    <t>P2030109</t>
  </si>
  <si>
    <t>P2030110</t>
  </si>
  <si>
    <t>Bird flying around nest</t>
  </si>
  <si>
    <t>250-300 (2020)</t>
  </si>
  <si>
    <t>Bird flaps wings and flies in circles</t>
  </si>
  <si>
    <t>46 (284) 66 (364)</t>
  </si>
  <si>
    <t>38x13x14</t>
  </si>
  <si>
    <t>Excellent; has 31606 stamped on it</t>
  </si>
  <si>
    <t>the better known version is a stork (no. 7), where the base is a brick chimney, with a nest on top; this version is more beautiful, since the base is a tree trunk with birds and also has a nest on top.</t>
  </si>
  <si>
    <t>PAA40055</t>
  </si>
  <si>
    <t>PAA40089</t>
  </si>
  <si>
    <t>59 (54) 65 (241) 108 (18)</t>
  </si>
  <si>
    <t>59 (139) 65 (231) 108 (18)</t>
  </si>
  <si>
    <t>58 (122) 71 (119) 108 (19)</t>
  </si>
  <si>
    <t>59 (57) 65 (240) 108 (20)</t>
  </si>
  <si>
    <t>59 (64) 65 (233) 108 (20)</t>
  </si>
  <si>
    <t>59 (56), 101 (55), 108 (21) 121 (108)</t>
  </si>
  <si>
    <t>71 (127) 108 (21)</t>
  </si>
  <si>
    <t>57 (46) 59 (58) 65 (236) 68 (42) 73 (86) 108 (22)</t>
  </si>
  <si>
    <t>59 (108) 65 (242) 108 (25) 113 (75) 121 (81)</t>
  </si>
  <si>
    <t>59 (140) 66 (240) 108 (28)</t>
  </si>
  <si>
    <t>108 (33)</t>
  </si>
  <si>
    <t>41 (75) 108 (36)</t>
  </si>
  <si>
    <t>59 (106) 65 (239) 108 (123)</t>
  </si>
  <si>
    <t>66 (423) 94 (105) 108 (37)</t>
  </si>
  <si>
    <t>1 wheel misses rubber portions (repaired)</t>
  </si>
  <si>
    <t>founded in Tokyo, produced tinplate, lead and celluloid toys in the late 20s and early 30s. It was the largest supplier of japanese toys prior to WWII. In the USA its products were distributed by  Geo. Borgfeldt Co. (also distributed nifty toys, Germany).</t>
  </si>
  <si>
    <t>founded after WWII by a former employee of Kuramochi</t>
  </si>
  <si>
    <t>1960s</t>
  </si>
  <si>
    <t>The toy seems to be wrongly assembled, the clown should be nearer the wall</t>
  </si>
  <si>
    <t>we have another that was oponed to show mechanism (with 4 horses(?))</t>
  </si>
  <si>
    <t>box has a second trademark: Rai; original price 68 ptas</t>
  </si>
  <si>
    <t>There is a version battery powered; original price 1.98 ($?)</t>
  </si>
  <si>
    <t>original price 1.98 ($?)</t>
  </si>
  <si>
    <t>P2060243</t>
  </si>
  <si>
    <t>Magic rail</t>
  </si>
  <si>
    <t>The center of a vertical helicoidal track with two cars is fixed to a vertical base, with a flag pole and flag</t>
  </si>
  <si>
    <t>Track rotates, while flag pole oscillates laterally; due to the design of the track, which is helical but with a pitch in the horizontal direction, two cars move along but remain more or less in the same position, while changing their altitudes one relative to the other.</t>
  </si>
  <si>
    <t>18,5x13x37</t>
  </si>
  <si>
    <t>Feb2026</t>
  </si>
  <si>
    <t>There is a variant (from the 1930s?) with the same helicoidal track and cars (but without flag pole?), h=29cm, where the base is a pyramidal tower with a roof, with the same yellow and red decoration of the track; the trademark is at the center of the base, with "Made in Japan"; the trademark of our toy seems older, as the logo is crossed by two opposing flags. Curiosity: the  base reads the name of the toy, plus "made in Tokio" and "Patent. Appl. No."</t>
  </si>
  <si>
    <t>Lady  pushing a cart with a standing boy</t>
  </si>
  <si>
    <t>The lady pushes the cart, stops, raises the cart</t>
  </si>
  <si>
    <t>19x8x14</t>
  </si>
  <si>
    <t>65 (323) 108 (121)</t>
  </si>
  <si>
    <t>&gt;1300 (2026)</t>
  </si>
  <si>
    <t>NIFTY</t>
  </si>
  <si>
    <t>NIFTY Toys</t>
  </si>
  <si>
    <r>
      <t> </t>
    </r>
    <r>
      <rPr>
        <sz val="11"/>
        <rFont val="Calibri"/>
        <family val="2"/>
        <scheme val="minor"/>
      </rPr>
      <t>The toys were primarily manufactured in Germany and imported and distributed by George Borgfeldt &amp; Co. (New York). This company  operated between 1881 and the 1950s,  had offices in  Germany and France. They also sold dolls and porcelain.The brother-in-law of Borgfelt, Georg Semler, created the term "Nifty" for mecanical toys. The actual manufacturers of these toys, generally based on comics, included Distler, Gebr. Einfalt,  Tipp &amp; Co. , Fischer &amp; Co. but not identifid in the toy</t>
    </r>
  </si>
  <si>
    <t>The Powerful Katrinka</t>
  </si>
  <si>
    <t>Flying Bird</t>
  </si>
  <si>
    <t>Oh La La</t>
  </si>
  <si>
    <t>55/6</t>
  </si>
  <si>
    <t>Cream car driven by a clown</t>
  </si>
  <si>
    <t>Reverses movement and head of clown rotates when it hits an obstacle</t>
  </si>
  <si>
    <t>16x8x7</t>
  </si>
  <si>
    <t>22 (260) 47 (37) 65 (373)</t>
  </si>
  <si>
    <t>550 (2026) w/ box; 300 (2026)</t>
  </si>
  <si>
    <t xml:space="preserve">Car no. 2 "Pat. Angem. 55-6". There is a version with a red car.  Ths is a Auto Union Race-car </t>
  </si>
  <si>
    <t>PD050363</t>
  </si>
  <si>
    <t>35 (136) 108 (64) 132 (166)</t>
  </si>
  <si>
    <t>Gertie the Galloping Goose</t>
  </si>
  <si>
    <t>Large white Goose with yellow feet</t>
  </si>
  <si>
    <t>Jumps on its feet and oscillates head</t>
  </si>
  <si>
    <t>23x9x18x12</t>
  </si>
  <si>
    <t>100-150 (2025)</t>
  </si>
  <si>
    <t>Large light-brown bulldog</t>
  </si>
  <si>
    <t>The ears are new</t>
  </si>
  <si>
    <t>19x8.5x16</t>
  </si>
  <si>
    <t>Bully</t>
  </si>
  <si>
    <t>Walks on four legs</t>
  </si>
  <si>
    <t>200 (2025)</t>
  </si>
  <si>
    <t>250-400</t>
  </si>
  <si>
    <t>71 (99)</t>
  </si>
  <si>
    <t>Large 2D Cow</t>
  </si>
  <si>
    <t>Pressing the tail, it moos, moves eye and mouth</t>
  </si>
  <si>
    <t>26x8x20</t>
  </si>
  <si>
    <t>Made in the USA</t>
  </si>
  <si>
    <t>Mooing Cow</t>
  </si>
  <si>
    <t>50 (48) 107 (188)</t>
  </si>
  <si>
    <t>Bombo the Monk</t>
  </si>
  <si>
    <t>Monkey hanging in a palm tree</t>
  </si>
  <si>
    <t>The monkey somersaults; it can be positioned in branches, in tree trunk, on the floor, or alone</t>
  </si>
  <si>
    <t>15x9.5x25</t>
  </si>
  <si>
    <t>Right year - bit missing</t>
  </si>
  <si>
    <t>250-400 (2026) w/ box</t>
  </si>
  <si>
    <t>The toy is usually attributed to Unique Art, USA. However, our toy is marked made in England. Also, in the American toy the clockwork's key is fixed and positioned at the lower body, while in our toy the key must be applied on top. UAS’s president, Sammy Bergman, was a good friend of Louis Marx, and the two men’s companies at times cooperated, with Marx providing tooling to UA and sometimes acting as a distributor for Unique’s products. Marx established its first UK factory in Dudley, near Birmingham, with production starting in 1932 and ceasing in 1940 due to the war. There are several children's book titled "Gertie the Goose"</t>
  </si>
  <si>
    <t>PE010001</t>
  </si>
  <si>
    <t>PAA90263</t>
  </si>
  <si>
    <t>PAA90264</t>
  </si>
  <si>
    <t>P2030081</t>
  </si>
  <si>
    <t>P2030082</t>
  </si>
  <si>
    <t>PAA50143</t>
  </si>
  <si>
    <t>PAA50144</t>
  </si>
  <si>
    <t>PAA50144A</t>
  </si>
  <si>
    <t>PE010002</t>
  </si>
  <si>
    <t>PE010003</t>
  </si>
  <si>
    <t>PE010004</t>
  </si>
  <si>
    <t>PE010007</t>
  </si>
  <si>
    <t>PE010008</t>
  </si>
  <si>
    <t>PE010009</t>
  </si>
  <si>
    <t>PE010010</t>
  </si>
  <si>
    <t>PE010005</t>
  </si>
  <si>
    <t>PE010006</t>
  </si>
  <si>
    <t>The base reads "Press my tail and I MOO-OO"</t>
  </si>
  <si>
    <t>There is a version with batttery (remote control) marked made in Western Germany; there is also a version with a remote manual crank (a kind of tweezer), marked US Zone; our version is usually marked US zone, but our toy is marked "made in Germany". Probably is from the initial 1950s.  MARUSAN (SAN) reproduced the version with battery, with cloth ears</t>
  </si>
  <si>
    <t>Tak, tak, tak</t>
  </si>
  <si>
    <t>Made in U.S. Zone Germany</t>
  </si>
  <si>
    <t>36/1</t>
  </si>
  <si>
    <t>Woodpecker w/ suction rubber</t>
  </si>
  <si>
    <t>6.5x3x9</t>
  </si>
  <si>
    <t>46 (114) 47 (36)</t>
  </si>
  <si>
    <t>Once fixed to a surface, it hammers on the wall</t>
  </si>
  <si>
    <t>Made  in Japan</t>
  </si>
  <si>
    <t>PE010011</t>
  </si>
  <si>
    <t>PE010012</t>
  </si>
  <si>
    <t>Pecking bird</t>
  </si>
  <si>
    <t>It pecks  quickly</t>
  </si>
  <si>
    <t>Tin &amp; rubber</t>
  </si>
  <si>
    <t>7x3x4.5</t>
  </si>
  <si>
    <t>50 (2025)</t>
  </si>
  <si>
    <t>22 (290)</t>
  </si>
  <si>
    <t>9x4x6.5</t>
  </si>
  <si>
    <t>Wobbly Duck</t>
  </si>
  <si>
    <t>Small wobbling duck</t>
  </si>
  <si>
    <t>It wobbles laterally</t>
  </si>
  <si>
    <t>180 (2025)</t>
  </si>
  <si>
    <t>Small packing bird w/ brown cloth tail</t>
  </si>
  <si>
    <t>Small pecking  bird w/ blackn cloth tail</t>
  </si>
  <si>
    <t>It pecks quickly</t>
  </si>
  <si>
    <t>8.5x3x4.5</t>
  </si>
  <si>
    <t>Prestyn Toys</t>
  </si>
  <si>
    <t>Prestyn Toys Ltd</t>
  </si>
  <si>
    <t>Lanfranc Road, Bow, Londo</t>
  </si>
  <si>
    <t>England</t>
  </si>
  <si>
    <t>Produced tin plate toys including a large racing car, the 'Sulman Special', as well as various novelty toys</t>
  </si>
  <si>
    <t>Owl and mouse</t>
  </si>
  <si>
    <t>Plastic owl stepping on a mouse's tail</t>
  </si>
  <si>
    <t>It pecks/hopps quickly</t>
  </si>
  <si>
    <t>Mostly plastic</t>
  </si>
  <si>
    <t>9x6x6.5</t>
  </si>
  <si>
    <t>Body reads "Turn Beak to Wind" and tail "Wind-up by turning the beak" (in German) - however the beak is fixed (maybe it was glued?); there is a version with a cat and mouse</t>
  </si>
  <si>
    <t>PE010013</t>
  </si>
  <si>
    <t>NANI</t>
  </si>
  <si>
    <t>One white and one black cat</t>
  </si>
  <si>
    <t>The black cat misses a green collar</t>
  </si>
  <si>
    <t>22 (298) 59 (211)</t>
  </si>
  <si>
    <t>The faces of the two cats, the position of the power wheels, and the toys markings are different</t>
  </si>
  <si>
    <t>PE010014</t>
  </si>
  <si>
    <t>PE010015</t>
  </si>
  <si>
    <t>25 (2025)</t>
  </si>
  <si>
    <t>Cat and Mouse</t>
  </si>
  <si>
    <t>White and black cat w/ blue eyes chasing a mouse</t>
  </si>
  <si>
    <t>Moves forward  zig-zagging</t>
  </si>
  <si>
    <t>14.5x3.5x5.5</t>
  </si>
  <si>
    <t>22 (297)</t>
  </si>
  <si>
    <t>310 (2026)</t>
  </si>
  <si>
    <t>PE010016</t>
  </si>
  <si>
    <t>PE010017</t>
  </si>
  <si>
    <t>White plastic mouse w/ red collar holding a mouse</t>
  </si>
  <si>
    <t>11.5x4.5x8</t>
  </si>
  <si>
    <t>base (scenario) is missing</t>
  </si>
  <si>
    <t>some rust on the back; Made in U.S. Zone Germany</t>
  </si>
  <si>
    <t>Cat + Mouse game</t>
  </si>
  <si>
    <t>150 (2026) complete w/ box</t>
  </si>
  <si>
    <t>PE010018</t>
  </si>
  <si>
    <t>PE010019</t>
  </si>
  <si>
    <t>PE010020</t>
  </si>
  <si>
    <t>PE010021</t>
  </si>
  <si>
    <t>PE010022</t>
  </si>
  <si>
    <t>Moves foward while waving head; should move on a scenario which a had a slot to guide the movement (the cat has a pin on its base)</t>
  </si>
  <si>
    <t>Dog  w/ moving red tongue</t>
  </si>
  <si>
    <t>moves forward, tongue goes moves forward goes out and in</t>
  </si>
  <si>
    <t>13.5x3x4.5</t>
  </si>
  <si>
    <t>tail breaks easily</t>
  </si>
  <si>
    <t>Racing Waldi</t>
  </si>
  <si>
    <t>22 (295) 72 (122)</t>
  </si>
  <si>
    <t>46 (56) 65 (75) 100 (21) 134 (52)</t>
  </si>
  <si>
    <t>one of the rarest Kohler toys (along w/ the Easter Bunny)</t>
  </si>
  <si>
    <t>160 (2025)</t>
  </si>
  <si>
    <t>PAAK-PAAK</t>
  </si>
  <si>
    <t>Yellow duck w/ litographed red collar</t>
  </si>
  <si>
    <t>7x4x6</t>
  </si>
  <si>
    <t>22 (298) 59 (207)</t>
  </si>
  <si>
    <t>25-30 (2026)</t>
  </si>
  <si>
    <t>Bonzo</t>
  </si>
  <si>
    <t>MS 650</t>
  </si>
  <si>
    <t>Cat w/ stripped T-shirt and blue shorts riding a tricycle</t>
  </si>
  <si>
    <t>Pushes the lever of the tricycle, body raises and lowers and moves forward</t>
  </si>
  <si>
    <t>15x10x14</t>
  </si>
  <si>
    <t>46 (196)</t>
  </si>
  <si>
    <t>200-300 (2026)</t>
  </si>
  <si>
    <t>PE010023</t>
  </si>
  <si>
    <t>PE010024</t>
  </si>
  <si>
    <t>Jolly Wiggling Snake</t>
  </si>
  <si>
    <t>Scarcity: 4/5</t>
  </si>
  <si>
    <t>Coiled snake</t>
  </si>
  <si>
    <t>17x10x14</t>
  </si>
  <si>
    <t xml:space="preserve">J Maia bought it in Kyoto's Toy museum </t>
  </si>
  <si>
    <t>51 (117)</t>
  </si>
  <si>
    <t>Head turns left and right, tail moves back and forward as snake travels in a circle; tongur oscillates</t>
  </si>
  <si>
    <t>PE010025</t>
  </si>
  <si>
    <t>PE010026</t>
  </si>
  <si>
    <t>Kitty and Butterfly</t>
  </si>
  <si>
    <t>Plastic black cat w/ butterfly</t>
  </si>
  <si>
    <t>As it walks, the head moves left and right, and butterfly "flies" quickly</t>
  </si>
  <si>
    <t>16x7x11.5</t>
  </si>
  <si>
    <t>one of a series of plastic toys launched post-war. The toys were numbered 3xxx (111 (118))</t>
  </si>
  <si>
    <t>PE010027</t>
  </si>
  <si>
    <t>PE010028</t>
  </si>
  <si>
    <t>Box says only "Mechanical Movement"</t>
  </si>
  <si>
    <t>Rolling cat with ball</t>
  </si>
  <si>
    <t>White plastic cat w/ tin face and yellow ball</t>
  </si>
  <si>
    <t>11x6.5x6.5</t>
  </si>
  <si>
    <t>Moves forward, stops, rolls over</t>
  </si>
  <si>
    <t>PE010029</t>
  </si>
  <si>
    <t>PE010030</t>
  </si>
  <si>
    <t>PE010031</t>
  </si>
  <si>
    <t>Playful Cat</t>
  </si>
  <si>
    <t>Yellow stripped cat w/ yellow plastic head and red and yellow ball</t>
  </si>
  <si>
    <t>Moves in a circle, stops, rolls over</t>
  </si>
  <si>
    <t>12.5x6x7</t>
  </si>
  <si>
    <t>Reasonable (some flaps missing)</t>
  </si>
  <si>
    <t>Made in Occupied Japan</t>
  </si>
  <si>
    <t>126 (29)</t>
  </si>
  <si>
    <t>60 (2025) w/ box</t>
  </si>
  <si>
    <t>Later versions have a coloured box, or a ball with stripes</t>
  </si>
  <si>
    <t>PE010032</t>
  </si>
  <si>
    <t>PE010033</t>
  </si>
  <si>
    <t>Ball rotates, hence cat circles</t>
  </si>
  <si>
    <t>Plush cat w/ red ball</t>
  </si>
  <si>
    <t>Plush, tin &amp; wood</t>
  </si>
  <si>
    <t>13.5x5x6</t>
  </si>
  <si>
    <t>Cat with Ball</t>
  </si>
  <si>
    <t>PE010034</t>
  </si>
  <si>
    <t>PE010035</t>
  </si>
  <si>
    <t>2 (48,68)</t>
  </si>
  <si>
    <t>Duck and Bulldog</t>
  </si>
  <si>
    <t>Bulldog chasing a duck</t>
  </si>
  <si>
    <t>Moves forward, duck oscillates, quack sound</t>
  </si>
  <si>
    <t>21x4x6</t>
  </si>
  <si>
    <t>The box reads the name of the toy and "with quack"</t>
  </si>
  <si>
    <t>rabbit head</t>
  </si>
  <si>
    <t>Usagiya</t>
  </si>
  <si>
    <t>Usagiya Toys Co. Ltd</t>
  </si>
  <si>
    <t>PE010036</t>
  </si>
  <si>
    <t>PE010037</t>
  </si>
  <si>
    <t>PE010038</t>
  </si>
  <si>
    <t>PE010039</t>
  </si>
  <si>
    <t>P2040168</t>
  </si>
  <si>
    <t>P2040169</t>
  </si>
  <si>
    <t>Bear with ice cream</t>
  </si>
  <si>
    <t>Large brown plush bear w/ ice cream</t>
  </si>
  <si>
    <t>Praga</t>
  </si>
  <si>
    <t>PE010042</t>
  </si>
  <si>
    <t>PE010043</t>
  </si>
  <si>
    <t>Made in USSR</t>
  </si>
  <si>
    <t>100 (2026)</t>
  </si>
  <si>
    <t>Moves upper paws and head</t>
  </si>
  <si>
    <t>PE010040</t>
  </si>
  <si>
    <t>PE010041</t>
  </si>
  <si>
    <t>Mostly plush</t>
  </si>
  <si>
    <t>14x9x24</t>
  </si>
  <si>
    <t>Plastic terrier dog chasing duck</t>
  </si>
  <si>
    <t>Dog chases goose, which moves in curves and waves wings, dog tail oscillates</t>
  </si>
  <si>
    <t>19x12x7</t>
  </si>
  <si>
    <t>22 (294)</t>
  </si>
  <si>
    <t>There is a variant holding a milk bottle</t>
  </si>
  <si>
    <t xml:space="preserve">Originally made by Ruhl between 1953 and 1958, named "Fiffy", with variants of the dog without the goose (w/ ball, etc); </t>
  </si>
  <si>
    <t>Perrito Cazador Wimpy</t>
  </si>
  <si>
    <t>100-130 (2025) w/box</t>
  </si>
  <si>
    <t>Jockel the Croaking Raven</t>
  </si>
  <si>
    <t>Crow w/ coloured wings</t>
  </si>
  <si>
    <t>17x9x8</t>
  </si>
  <si>
    <t>250 (2026) w/ box</t>
  </si>
  <si>
    <t>Quack-Quack-Quack</t>
  </si>
  <si>
    <t>Large duck w/ red chest</t>
  </si>
  <si>
    <t>moves forward then circles</t>
  </si>
  <si>
    <t>The bill does not open; Made in U.S. Zone Germany</t>
  </si>
  <si>
    <t>46 (115) 47 (60)</t>
  </si>
  <si>
    <t>17x8x13</t>
  </si>
  <si>
    <t>two versions, w/ different colours; our version has different wheels from the one made in 1955 (364);an older version (36/4) had wheels in front and was pulled by a cord; the box of our version reads "Nr.36-4" and "Patentangem.</t>
  </si>
  <si>
    <t>130-150 (2026) w/ box</t>
  </si>
  <si>
    <t>Turkey with voice</t>
  </si>
  <si>
    <t>Turkey</t>
  </si>
  <si>
    <t>moves around, flaps wings, croaking sound</t>
  </si>
  <si>
    <t>10x9.5x11</t>
  </si>
  <si>
    <t>170-230 (2026)</t>
  </si>
  <si>
    <t>Proud Peacock</t>
  </si>
  <si>
    <t>140-200 (2025)</t>
  </si>
  <si>
    <t>89 (31)</t>
  </si>
  <si>
    <t>Peacock w/ moving tail</t>
  </si>
  <si>
    <t>While walking on the two legs, it raises and opens tail, closes and lowers it.</t>
  </si>
  <si>
    <t>several missing fingers in feet</t>
  </si>
  <si>
    <t>18x13x14</t>
  </si>
  <si>
    <t>Sitted duck w/ small wings</t>
  </si>
  <si>
    <t>11x6x11</t>
  </si>
  <si>
    <t>GIGI the Chatter</t>
  </si>
  <si>
    <t>We have another toy that was opened to show mechanism</t>
  </si>
  <si>
    <t>Jubilant Songbird</t>
  </si>
  <si>
    <t>Bird w/ moveable head wings and tail</t>
  </si>
  <si>
    <t>Moves head, wings and tail, opens and closes beak, while it blows a tune</t>
  </si>
  <si>
    <t>Moves foward oscillating laterally its body, flaps wings, opens and closes beak and makes a quacking sound</t>
  </si>
  <si>
    <t>Moves/rotates head, flaps wings, clatters beak, hops and makes a croak sound</t>
  </si>
  <si>
    <t>16x7x12</t>
  </si>
  <si>
    <t xml:space="preserve">There is a rare version w/ red feet; some versions have the patent no. For England and USA; </t>
  </si>
  <si>
    <t>Crocodile</t>
  </si>
  <si>
    <t>22 (287) 101 (211)</t>
  </si>
  <si>
    <t>Green and yellow striped crocodile</t>
  </si>
  <si>
    <t>moves forward while waving legs and tail</t>
  </si>
  <si>
    <t>The box reproduces the darwing made by Rodolfo Amando Phillippi Krumwilda (1808-1904) in 1877 of a Nile  Crocodile; hand painted</t>
  </si>
  <si>
    <t>made in Germany?</t>
  </si>
  <si>
    <t>PE010044</t>
  </si>
  <si>
    <t>PE010045</t>
  </si>
  <si>
    <t>PE010046</t>
  </si>
  <si>
    <t>PE010047</t>
  </si>
  <si>
    <t>PE010048</t>
  </si>
  <si>
    <t>PE010049</t>
  </si>
  <si>
    <t>PE010050</t>
  </si>
  <si>
    <t>PE010051</t>
  </si>
  <si>
    <t>PE010052</t>
  </si>
  <si>
    <t>PE010053</t>
  </si>
  <si>
    <t>PE010054</t>
  </si>
  <si>
    <t>PE010055</t>
  </si>
  <si>
    <t>PE010056</t>
  </si>
  <si>
    <t>PE010057</t>
  </si>
  <si>
    <t>PE010058</t>
  </si>
  <si>
    <t>PE010059</t>
  </si>
  <si>
    <t>PE010060</t>
  </si>
  <si>
    <t>PE010061</t>
  </si>
  <si>
    <t>PE010062</t>
  </si>
  <si>
    <t>Crocodile with nigger boy</t>
  </si>
  <si>
    <t>208M</t>
  </si>
  <si>
    <t>large crocodile ridden by a nigger</t>
  </si>
  <si>
    <t>Crocodile moves forward while opening and closing mouth, causing boy ride up and down</t>
  </si>
  <si>
    <t>23x8x4</t>
  </si>
  <si>
    <t>38x7x11</t>
  </si>
  <si>
    <t>150-250 (2025)</t>
  </si>
  <si>
    <t>250 (2026)</t>
  </si>
  <si>
    <t>The Amazing Mr. Al E. Gator</t>
  </si>
  <si>
    <t>Large green crocodile w/ 2 halves connected by a spring</t>
  </si>
  <si>
    <t>Commanded by a remote cable , moves forward wiggling, opens and closes mouth, eyes light</t>
  </si>
  <si>
    <t>HTC</t>
  </si>
  <si>
    <t>Hishimo</t>
  </si>
  <si>
    <t>Hishimo Sangyo Ltd</t>
  </si>
  <si>
    <t>32x15x5</t>
  </si>
  <si>
    <t>Sticker on the base reads "Copyright 1958 by "Imports, Inc." Los Angeles, Calif."; distributed by Marx? (AI says it was the manufacturer); book 35 (115) says it was made by Alps and scarcity 7/10, but the toy has the HTC trademark</t>
  </si>
  <si>
    <t>launched in 1935; there is a similar toy by J. Chein (USA), no. 140, "Native Boy on Alligator", produced in the 1930s and again in  1958-1960. The clockwork keys of the german and american toys are different (german  is a twisted square cross-section wire, american is the conventional roundes rectangular plaque); thereis also a more recent "Tarzan's Crocodile" made by Schylling</t>
  </si>
  <si>
    <t>Ebo Trili</t>
  </si>
  <si>
    <t>It jumps on the floor</t>
  </si>
  <si>
    <t>Multicoloured bird w/ brown legs and feet</t>
  </si>
  <si>
    <t>16x8x10</t>
  </si>
  <si>
    <r>
      <t xml:space="preserve">It's a canary; box reads: "Wind it up: </t>
    </r>
    <r>
      <rPr>
        <u/>
        <sz val="11"/>
        <color theme="1"/>
        <rFont val="Calibri"/>
        <family val="2"/>
        <scheme val="minor"/>
      </rPr>
      <t xml:space="preserve">let it drop, </t>
    </r>
    <r>
      <rPr>
        <sz val="11"/>
        <color theme="1"/>
        <rFont val="Calibri"/>
        <family val="2"/>
        <scheme val="minor"/>
      </rPr>
      <t>it will hop and particularly well on</t>
    </r>
    <r>
      <rPr>
        <u/>
        <sz val="11"/>
        <color theme="1"/>
        <rFont val="Calibri"/>
        <family val="2"/>
        <scheme val="minor"/>
      </rPr>
      <t xml:space="preserve"> smooth</t>
    </r>
    <r>
      <rPr>
        <sz val="11"/>
        <color theme="1"/>
        <rFont val="Calibri"/>
        <family val="2"/>
        <scheme val="minor"/>
      </rPr>
      <t xml:space="preserve"> ground"</t>
    </r>
  </si>
  <si>
    <t>66 (120)</t>
  </si>
  <si>
    <t>22 (288) 46 (186) 66 (214) 101 (211)</t>
  </si>
  <si>
    <t>22 (292) 66 (215)</t>
  </si>
  <si>
    <t>Duck chasing frog</t>
  </si>
  <si>
    <t>moves forward, lowering and raising head</t>
  </si>
  <si>
    <t>hand painted, weels read "Made in Bavaria"</t>
  </si>
  <si>
    <t>22x7x14</t>
  </si>
  <si>
    <t>one foot is missing; the frog's head has two little holes, probably for the lower jaw; made in Bavaria</t>
  </si>
  <si>
    <t>The Funny Duck</t>
  </si>
  <si>
    <t>Greyish duck w/green head and moveable eyes</t>
  </si>
  <si>
    <t>Body vibrates and rotates, neck moves forward (and so the body inclines forward) or backwards, eyes move</t>
  </si>
  <si>
    <t>10x6.5x10.5</t>
  </si>
  <si>
    <t>22 (292)</t>
  </si>
  <si>
    <t>60 (2026)</t>
  </si>
  <si>
    <t>Great Spider</t>
  </si>
  <si>
    <t>Blue plastic spider w/ red boots</t>
  </si>
  <si>
    <t>Wlaks on 4 legs</t>
  </si>
  <si>
    <t>11x11x8</t>
  </si>
  <si>
    <t>111 (118)</t>
  </si>
  <si>
    <t>Several colours: yellow, orange, blue (ours); the toy is inpired by the classic Miss Muffet nursery rhyme; box says: "clockwork walking model of Miss Muffet's immortal great spider"</t>
  </si>
  <si>
    <t>Several colour variations: head green or blue, body mostly brown, grey (ours), red; a similar toy, but larger, "Quackling duck", was made by Tomiyama in the 1950s (114 (no.15))</t>
  </si>
  <si>
    <t>Yellow and blue bird</t>
  </si>
  <si>
    <t>Body vibrates and rotates, body inclines forward and backward, beak opens and closes, makes a sound</t>
  </si>
  <si>
    <t>9x6x8</t>
  </si>
  <si>
    <t>It's a chick or a sparrow</t>
  </si>
  <si>
    <t>22 (285)</t>
  </si>
  <si>
    <t>Hopping Chirping Bird</t>
  </si>
  <si>
    <t>50-100 (2026)</t>
  </si>
  <si>
    <t>116 (no.27)</t>
  </si>
  <si>
    <t>moves around</t>
  </si>
  <si>
    <t>Swimming duck w/plastic  red feet</t>
  </si>
  <si>
    <t>9x10x9</t>
  </si>
  <si>
    <t>MAMA-PAAK</t>
  </si>
  <si>
    <t>22 (298) 59 (210)</t>
  </si>
  <si>
    <t>50 (2026)</t>
  </si>
  <si>
    <t>The toy has 2 trademarks: Alps and ETCO (TOMY, until 1959); there is a version w/ tin feet, while ours rubber; there is another version "made in Occupied Japan", with a different litography (126 (31)); this toy was also made by B&amp;S (Germany) in the 1950s</t>
  </si>
  <si>
    <t>WAG DOG</t>
  </si>
  <si>
    <t>White tin terrier w/ a red shoe</t>
  </si>
  <si>
    <t>Runs on four legs</t>
  </si>
  <si>
    <t>10x3.5x9</t>
  </si>
  <si>
    <t>Barky</t>
  </si>
  <si>
    <t>It bears the Frankonia (US importer) trademark; the box has Frankonia and Kanto trademarks, pat no. 3871599, and reads "barking dog with lifelike barking voice"</t>
  </si>
  <si>
    <t>Moves forward, opens and closes mouth and "barks"</t>
  </si>
  <si>
    <t>Brown and white sitted dog showing red tongue</t>
  </si>
  <si>
    <t>15x7x9</t>
  </si>
  <si>
    <t>PE010063</t>
  </si>
  <si>
    <t>PE010065</t>
  </si>
  <si>
    <t>PE010064</t>
  </si>
  <si>
    <t>PE010066</t>
  </si>
  <si>
    <t>PE010080</t>
  </si>
  <si>
    <t>PE010067</t>
  </si>
  <si>
    <t>PE010068</t>
  </si>
  <si>
    <t>PE010069</t>
  </si>
  <si>
    <t>PE010070</t>
  </si>
  <si>
    <t>PE010071</t>
  </si>
  <si>
    <t>PE010072</t>
  </si>
  <si>
    <t>PE010073</t>
  </si>
  <si>
    <t>PE010074</t>
  </si>
  <si>
    <t>PE010075</t>
  </si>
  <si>
    <t>PE010076</t>
  </si>
  <si>
    <t>PE010077</t>
  </si>
  <si>
    <t>PE010078</t>
  </si>
  <si>
    <t>PE010079</t>
  </si>
  <si>
    <t>PE010081</t>
  </si>
  <si>
    <t>PE010082</t>
  </si>
  <si>
    <t>PE010083</t>
  </si>
  <si>
    <t>PE010084</t>
  </si>
  <si>
    <t>PE010085</t>
  </si>
  <si>
    <t>PE010086</t>
  </si>
  <si>
    <t>PE010087</t>
  </si>
  <si>
    <t>PE010088</t>
  </si>
  <si>
    <t>Mama Kangaroo with Playful Baby in her Pouch</t>
  </si>
  <si>
    <t>Light brown kangaroo w/ baby in pouch</t>
  </si>
  <si>
    <t>Patting the baby's head causes the baby to bounce vertically trying to get food on mama's mouth</t>
  </si>
  <si>
    <t>7x4x16.5</t>
  </si>
  <si>
    <t>box reads: "wind-up with the key, pat baby's head lightly and watch the kangaroo leap into action"; scarcity: 3.5/5</t>
  </si>
  <si>
    <t>51 (129) 73 (35)</t>
  </si>
  <si>
    <t>250 (2025)</t>
  </si>
  <si>
    <t>Parrot Game</t>
  </si>
  <si>
    <t>Parrot on top of cage w/ climbing cat</t>
  </si>
  <si>
    <t>46 (197)</t>
  </si>
  <si>
    <t>7x6x21</t>
  </si>
  <si>
    <t>170-250 (2025)</t>
  </si>
  <si>
    <t>the cat jumps, the parrot lifts body horizontally and rotates quickly in opposite directions; a small parrot appears and disappears laterally</t>
  </si>
  <si>
    <t>Kitty &amp; Micky</t>
  </si>
  <si>
    <t>Cat chases mouse around the cage, cat turns 180º and chases again</t>
  </si>
  <si>
    <t>Cat chasing mouse around cage, another mouse on top</t>
  </si>
  <si>
    <t>13x13x7.5</t>
  </si>
  <si>
    <t>22 (297) 46 (293)</t>
  </si>
  <si>
    <t>Feb2019</t>
  </si>
  <si>
    <t>Apr2013</t>
  </si>
  <si>
    <t>Landsberger</t>
  </si>
  <si>
    <t>Sept2023</t>
  </si>
  <si>
    <t>Carlos Rueda</t>
  </si>
  <si>
    <t>1600-1700 (2022)</t>
  </si>
  <si>
    <t>Large beetle, w/ dark green wings</t>
  </si>
  <si>
    <t>Walks while flapping wings</t>
  </si>
  <si>
    <t>9x9x4.5</t>
  </si>
  <si>
    <t>Crawling Beetle</t>
  </si>
  <si>
    <t>Toy invented by Carl Adam (pat. DRP 78360 March, 21 1894), produced w/ his logo in 1894-1898; produced in various colours; a later version is EPL 823, produced from 1936-7 (then no materials were available)</t>
  </si>
  <si>
    <t>59 (129) 66 (235)</t>
  </si>
  <si>
    <t>150-200 (2025) 300 (2025) w/ box</t>
  </si>
  <si>
    <t>Received its own trademark "Perplex"</t>
  </si>
  <si>
    <t>Moves forward, bur when the antenna reaches the edge of the table it changes direction</t>
  </si>
  <si>
    <t>small transversal wheel missing</t>
  </si>
  <si>
    <t>66 (170)</t>
  </si>
  <si>
    <t>19x10.5x5</t>
  </si>
  <si>
    <t>Lady Bug</t>
  </si>
  <si>
    <t>Lady bug w/ white dots</t>
  </si>
  <si>
    <t>Dog with Shoe</t>
  </si>
  <si>
    <t>Black small plush dog w/  brown shoe</t>
  </si>
  <si>
    <t>Clockwork on shoe: vibrates, so the dog and shoe rotate/vibrate quickly</t>
  </si>
  <si>
    <t>14x2.5x7</t>
  </si>
  <si>
    <t>made in japan</t>
  </si>
  <si>
    <t>The toy is similar to the "Teddy" poodle from Gescha: no. 58 was made in 1935-1939, no. 56/1 was made between 1949-1952. Book 46 says the toy is marked foreign (was it made in Japan for Gescha??) - our toy has "made in Japan". The shoes pre- and post-war seem to be different, the pre-war version has lateral stiches (like ours)</t>
  </si>
  <si>
    <t>22 (293) 46 (114) 47 (21)</t>
  </si>
  <si>
    <t>&gt;100 (2025)</t>
  </si>
  <si>
    <t>Bee Sparkling Pinwheel</t>
  </si>
  <si>
    <t>blue flower w/ bee sparkling pinwheel</t>
  </si>
  <si>
    <t xml:space="preserve">Space Sparkling Pinwheel </t>
  </si>
  <si>
    <t>Upon pushing, inner wheel rotaes and sparks</t>
  </si>
  <si>
    <t>11.5x6x4</t>
  </si>
  <si>
    <t>10 (59)</t>
  </si>
  <si>
    <t>190-400 (2025)</t>
  </si>
  <si>
    <t>Miss Cat</t>
  </si>
  <si>
    <t>Celuloid she-cat w/ red shirt holding red and yellow ball</t>
  </si>
  <si>
    <t>Moves arm up and down, waves head left-right</t>
  </si>
  <si>
    <t>6.5x8x12</t>
  </si>
  <si>
    <t>The clockwork is partially detached from the body; made in Occupied Japan</t>
  </si>
  <si>
    <t>Pat. No. 3902</t>
  </si>
  <si>
    <t>100-200 (2026) w/ box</t>
  </si>
  <si>
    <t>Two boxeurs on a yellow base</t>
  </si>
  <si>
    <t>Each fighter moves arms, body and forwards or backwards by pressing individual buttons</t>
  </si>
  <si>
    <t>20.5x9x14</t>
  </si>
  <si>
    <t>The Champion</t>
  </si>
  <si>
    <t>one of the command wires is broken</t>
  </si>
  <si>
    <t>auctionet?</t>
  </si>
  <si>
    <t>Oct2020?</t>
  </si>
  <si>
    <t>The toy is based in the historic and famous 1936 (June 19) or 1938 ( June 22) World Heavyweight Championship (Yankee Stadium, Bronx, NY) boxing fight between Joe Louis (nickname Brown Bomber) vs. Max Schmeling (nickname Black Uhlan of the Rhine). Schmeling won the first fight by KO in round twelve, Louis won the second by KO in the first round. The fights came to symbolize the struggle between democracy and nazism. Base platform can be yellow, red or blue; the toy is mentioned in 65 (158)</t>
  </si>
  <si>
    <t>BOX</t>
  </si>
  <si>
    <t>Two celuloid boxers fighting</t>
  </si>
  <si>
    <t>As the wheels on the base of one fighter rotate in one and then in the opposite direction, the fighters move closer or apart each other and arms move</t>
  </si>
  <si>
    <t>Celuloid &amp; tin</t>
  </si>
  <si>
    <t>Y in elipse w/ wings</t>
  </si>
  <si>
    <t>Okabe</t>
  </si>
  <si>
    <t>Okabe Gangu Seisakusho</t>
  </si>
  <si>
    <t>120-150 (2025)</t>
  </si>
  <si>
    <t>street market, Tokyo</t>
  </si>
  <si>
    <t>15x5x13</t>
  </si>
  <si>
    <t>wheels can have different decorations; one variant w/ a black fighter (made by Marx?); more recent versions w/ plastic wheels</t>
  </si>
  <si>
    <t>Boxer</t>
  </si>
  <si>
    <t>Two boxeurs on wheels connected by a spring</t>
  </si>
  <si>
    <t>1 (17) 66 (128)</t>
  </si>
  <si>
    <t>200-300 (2025)</t>
  </si>
  <si>
    <t>22 (222) 46 (47)66 (47) 89 (29)</t>
  </si>
  <si>
    <t>Two boxeurs in a ring</t>
  </si>
  <si>
    <t>Swivelling in their rear feet, they have articulated arms to punch each other</t>
  </si>
  <si>
    <t>180-200 (2025)</t>
  </si>
  <si>
    <t>George Levy</t>
  </si>
  <si>
    <t>Football player in a structure that takes the ball to the top to fall down in zig-zag</t>
  </si>
  <si>
    <t>22x8.5x23.5</t>
  </si>
  <si>
    <t>Periodically, the cup where the ball stands shoots it upwards, then it slides down back to the initial position</t>
  </si>
  <si>
    <t>DRGM 1163480 (1930); two colour variations: green structure and base, or (ours) yellow and red structure, yellow decorated base</t>
  </si>
  <si>
    <t>mechanism slips a little</t>
  </si>
  <si>
    <t>360 (2024)</t>
  </si>
  <si>
    <t>Ball Player</t>
  </si>
  <si>
    <t>60 (206) 66 (245)</t>
  </si>
  <si>
    <t>PE010089</t>
  </si>
  <si>
    <t>PE010090</t>
  </si>
  <si>
    <t>PE010091</t>
  </si>
  <si>
    <t>PE010092</t>
  </si>
  <si>
    <t>PE010093</t>
  </si>
  <si>
    <t>PE010094</t>
  </si>
  <si>
    <t>PE010095</t>
  </si>
  <si>
    <t>PE010096</t>
  </si>
  <si>
    <t>PE010097</t>
  </si>
  <si>
    <t>PE010098</t>
  </si>
  <si>
    <t>PE010099</t>
  </si>
  <si>
    <t>PE010100</t>
  </si>
  <si>
    <t>PE010101</t>
  </si>
  <si>
    <t>PE010102</t>
  </si>
  <si>
    <t>PE010103</t>
  </si>
  <si>
    <t>PE010104</t>
  </si>
  <si>
    <t>PE010105</t>
  </si>
  <si>
    <t>PE010106</t>
  </si>
  <si>
    <t>PE010107</t>
  </si>
  <si>
    <t>PE010108</t>
  </si>
  <si>
    <t>PE010109</t>
  </si>
  <si>
    <t>PE010110</t>
  </si>
  <si>
    <t>PE010111</t>
  </si>
  <si>
    <t>PE010112</t>
  </si>
  <si>
    <t>PE010113</t>
  </si>
  <si>
    <t>May2023</t>
  </si>
  <si>
    <t>Auctionet</t>
  </si>
  <si>
    <t>based on the ventriloquist Edgar Bergen (friend of Marx); more difficult to find than "Charlie McCarthy and his Benzine Buggy"</t>
  </si>
  <si>
    <t>Dex2021</t>
  </si>
  <si>
    <t>Soccer Player</t>
  </si>
  <si>
    <t xml:space="preserve">Football player w/ red shirt and green shorts </t>
  </si>
  <si>
    <t>80 (2025)</t>
  </si>
  <si>
    <t>He kicks the ball w/ his left leg/foot</t>
  </si>
  <si>
    <t>Matsch</t>
  </si>
  <si>
    <t>Football player w/ brown ball w/ clockwork</t>
  </si>
  <si>
    <t>The ball rolls, the player follows it, moves arms</t>
  </si>
  <si>
    <t>11x9x11</t>
  </si>
  <si>
    <t>there is a version w/ two players</t>
  </si>
  <si>
    <t>22 (230)46 (282)</t>
  </si>
  <si>
    <t>260?</t>
  </si>
  <si>
    <t>JOJA</t>
  </si>
  <si>
    <t>Lucky Monkey Playing Billiards</t>
  </si>
  <si>
    <t>Bear Golfer</t>
  </si>
  <si>
    <t>Bear playing golf w/net</t>
  </si>
  <si>
    <t>Box reads "Shoots a hole-in-one Every Time" and has instructions; toy and box w/ two trademarks: TPS and HIRO (H inside a dog); in some toys, the second trademark is HTC (Hishimo) Pat pend 47113; scarcity 2/5; there is also a "Monkey Golfer", 1960, scarcity 3.5/5 - we have only the animal, ears missing</t>
  </si>
  <si>
    <t>51 (51,141)</t>
  </si>
  <si>
    <t>19x8x10.5</t>
  </si>
  <si>
    <t>net has a hole</t>
  </si>
  <si>
    <t>Swings arm and club to hit the ball into the net; ball returns</t>
  </si>
  <si>
    <t>Lowers head, readies cue twice, then shoots the ball and raises head</t>
  </si>
  <si>
    <t>balls are new (originally comes w/ 2 red and 1 white ball)</t>
  </si>
  <si>
    <t>Box reads "Rosko Tested"; scarcity 3.5/5</t>
  </si>
  <si>
    <t>51 (125)</t>
  </si>
  <si>
    <t>16x12x9.5</t>
  </si>
  <si>
    <t>Mechanical Billiard Table</t>
  </si>
  <si>
    <t>Monkey playing billiards</t>
  </si>
  <si>
    <t>Two players playing billiards</t>
  </si>
  <si>
    <t>Players shoot alternatively twice</t>
  </si>
  <si>
    <t>35x1314.5</t>
  </si>
  <si>
    <t>Ranger Steel</t>
  </si>
  <si>
    <t>The Great Billiard Champion</t>
  </si>
  <si>
    <t xml:space="preserve">balls are new </t>
  </si>
  <si>
    <t>Original name "Mechanicus Billiard Table?"; box reads on top :"long running action game powered by a strong clock spring motor", and on sides: "A realistic mechanicalbilliard game - each player automatically shoots 25 to 30 times per winding</t>
  </si>
  <si>
    <t>&gt;200 (2025)</t>
  </si>
  <si>
    <t>USA?</t>
  </si>
  <si>
    <t>150-300 (2025)</t>
  </si>
  <si>
    <t>Gentleman playing billiards in a red and yellow table</t>
  </si>
  <si>
    <t>Kicks ball, which falls in one hole and is returned by an elevator to the original position</t>
  </si>
  <si>
    <t>ball is new; one leg was (poorly) welded</t>
  </si>
  <si>
    <t>Ki.Co</t>
  </si>
  <si>
    <t>after the war, it became HUKI</t>
  </si>
  <si>
    <t>Ki.Co.</t>
  </si>
  <si>
    <t>15x6.5x11</t>
  </si>
  <si>
    <t>DRGM 537716 (1912)</t>
  </si>
  <si>
    <t>66 (207)</t>
  </si>
  <si>
    <t>700-750 (2026)</t>
  </si>
  <si>
    <t>PE010114</t>
  </si>
  <si>
    <t>PE010115</t>
  </si>
  <si>
    <t>PE010116</t>
  </si>
  <si>
    <t>PE010117</t>
  </si>
  <si>
    <t>PE010118</t>
  </si>
  <si>
    <t>PE010119</t>
  </si>
  <si>
    <t>PE010120</t>
  </si>
  <si>
    <t>PE010121</t>
  </si>
  <si>
    <t>PE010122</t>
  </si>
  <si>
    <t>PE010123</t>
  </si>
  <si>
    <t>PE010124</t>
  </si>
  <si>
    <t>PE010125</t>
  </si>
  <si>
    <t>PE010126</t>
  </si>
  <si>
    <t>PE010127</t>
  </si>
  <si>
    <t>PE010128</t>
  </si>
  <si>
    <t>Total cost of the collection (€)</t>
  </si>
  <si>
    <r>
      <t>Total number of toys that costed (</t>
    </r>
    <r>
      <rPr>
        <b/>
        <sz val="11"/>
        <color theme="1"/>
        <rFont val="Calibri"/>
        <family val="2"/>
        <scheme val="minor"/>
      </rPr>
      <t>choose €</t>
    </r>
    <r>
      <rPr>
        <sz val="11"/>
        <color theme="1"/>
        <rFont val="Calibri"/>
        <family val="2"/>
        <scheme val="minor"/>
      </rPr>
      <t>) or more</t>
    </r>
  </si>
  <si>
    <t>Sport Trainer Mystery Shooting Gallery</t>
  </si>
  <si>
    <t>Large base  containg target and pistol</t>
  </si>
  <si>
    <t>1 (93)</t>
  </si>
  <si>
    <t>we have several spare targets</t>
  </si>
  <si>
    <t>1 (33) 66 (132) 100 (22)</t>
  </si>
  <si>
    <t>The pistol can move verticaly in any direction to be aligned w/ target; upon pressing the trigger, we see a hole punched in the target; targets can be exchanged</t>
  </si>
  <si>
    <t>80x14x22.5</t>
  </si>
  <si>
    <t>130-200 (2028) w/ box</t>
  </si>
  <si>
    <t>BAGATELLE</t>
  </si>
  <si>
    <t>Rectangular green "Bagatelle" game</t>
  </si>
  <si>
    <t>Rules  explained in an instructions sheet (not available)</t>
  </si>
  <si>
    <t>a U shaped wirestand  to hold the game inclined is missing</t>
  </si>
  <si>
    <t>Cragstan Crapshooter</t>
  </si>
  <si>
    <t>Crapshooter throwing dice on a game table</t>
  </si>
  <si>
    <t>While face has chewing motion and body moves laterally to left and right, left arm shakes showing money, and right arm lowers (and later raises)  to throw dice</t>
  </si>
  <si>
    <t>Tin, Vinyl and cloth</t>
  </si>
  <si>
    <t>23x21x2.5</t>
  </si>
  <si>
    <t>15x14.5x24</t>
  </si>
  <si>
    <t>200 (2025) w/ box</t>
  </si>
  <si>
    <t>17 (57) 35 (53)</t>
  </si>
  <si>
    <t>Feb2022</t>
  </si>
  <si>
    <t>Football game</t>
  </si>
  <si>
    <t>Football field w/ two teams</t>
  </si>
  <si>
    <t>ABN</t>
  </si>
  <si>
    <t>Albersdorfer &amp; Bergmann</t>
  </si>
  <si>
    <t>The toy has no marks (and has been attributed to Gely, or unknown), but there is a version with the logo of this manifacturer at one corner of the field</t>
  </si>
  <si>
    <t>40x24x9</t>
  </si>
  <si>
    <t>Missile Lauching Tank</t>
  </si>
  <si>
    <t>Dark grey tank w/ four missiles and  3 targets</t>
  </si>
  <si>
    <t>Tank is friction powered and makes clacking sounds; missles are launched  by pressing a sliding lever</t>
  </si>
  <si>
    <t>each play"kicks" the ball upon pressing an individual button</t>
  </si>
  <si>
    <t>Very good; works as scenario</t>
  </si>
  <si>
    <t>Box and toy have two trademarks: Tomy and Y in clover, the toy has "M-107". The M107 175 mm self-propelled gun was used by the U.S. Army and U.S. Marine Corps from the early 1960s to the late 1970s. There is a battery remote-control version w/ a larger box.</t>
  </si>
  <si>
    <t>Cragstan Crap Shooting Monkey</t>
  </si>
  <si>
    <t>Monkey throwing dice from a cup</t>
  </si>
  <si>
    <t>Plush, vinyl &amp; tin</t>
  </si>
  <si>
    <t>17 (47) 35 (53)</t>
  </si>
  <si>
    <t>Excellent; small label hung on toy reads: "push dice cup back and I shoot crap"</t>
  </si>
  <si>
    <t>15x8x9</t>
  </si>
  <si>
    <t>17x15x23</t>
  </si>
  <si>
    <t>To start, press cup back; shakes hand and dice, then throws them out of the cup</t>
  </si>
  <si>
    <t>120-250 (2026) w/ box</t>
  </si>
  <si>
    <t>Highway Drive</t>
  </si>
  <si>
    <t>Track Highway Drive w/ small red car</t>
  </si>
  <si>
    <t>While the road moves at constant speed, the driver must avoid obstacles</t>
  </si>
  <si>
    <t>Mostly Tin</t>
  </si>
  <si>
    <t>39x11x8.5</t>
  </si>
  <si>
    <t>Good; instructions leaflet</t>
  </si>
  <si>
    <t>35 (91)</t>
  </si>
  <si>
    <t>Cross Cuntry Express</t>
  </si>
  <si>
    <t>Track  w/ 2 small red cars</t>
  </si>
  <si>
    <t>While the road moves at constant speed, the driver must avoid obstacles; button with "horn"</t>
  </si>
  <si>
    <t>33x11x9</t>
  </si>
  <si>
    <t>Sankei</t>
  </si>
  <si>
    <t>Sankei Kogyo</t>
  </si>
  <si>
    <t>Very good; instructions leaflet</t>
  </si>
  <si>
    <t>35 (57)</t>
  </si>
  <si>
    <t>Electric Mini-Sport Road-Race</t>
  </si>
  <si>
    <t>8-shaped race-track w/ 2 lanes and small plastic racing cars</t>
  </si>
  <si>
    <t>The speed of each car is individually controlled; the cars are driven by a rotating coil spring</t>
  </si>
  <si>
    <t>100-150 (2025) w/ box</t>
  </si>
  <si>
    <t>47x23.5x8</t>
  </si>
  <si>
    <t>INDIANAPOLIS</t>
  </si>
  <si>
    <t>Small circular track w/ 3 small plastic cars</t>
  </si>
  <si>
    <t>Rotating lever causes the track to vibrate and cars to move</t>
  </si>
  <si>
    <t>20x16x3</t>
  </si>
  <si>
    <t>FORMULA 1</t>
  </si>
  <si>
    <t>Small rectangular game  w/ small F1 car</t>
  </si>
  <si>
    <t>12x7x2</t>
  </si>
  <si>
    <t>40-50 (2025)</t>
  </si>
  <si>
    <t>King-Pin Jr. Bowling Alley</t>
  </si>
  <si>
    <t>Bowing alley, w/ pins and player</t>
  </si>
  <si>
    <t>While the road moves, the user must avoid colliding w/ other cars;  there is a point counter that can be set back to zero</t>
  </si>
  <si>
    <t>The player can be oriented and his arm will throw the ball</t>
  </si>
  <si>
    <t>Tin &amp; wood</t>
  </si>
  <si>
    <t>49x11x9.5</t>
  </si>
  <si>
    <t>Baldwin</t>
  </si>
  <si>
    <t xml:space="preserve">Baldwin Manufacturing Co. </t>
  </si>
  <si>
    <t>Brooklyn, NY</t>
  </si>
  <si>
    <t>Allentown, USA</t>
  </si>
  <si>
    <t>100 (2025)?</t>
  </si>
  <si>
    <t>Public Enemy</t>
  </si>
  <si>
    <t>Small plastic vertical bagatelle</t>
  </si>
  <si>
    <t>Pull lever to throw ball</t>
  </si>
  <si>
    <t>11x4x10</t>
  </si>
  <si>
    <t>10-40 (2025)</t>
  </si>
  <si>
    <t>300-400 (2025)</t>
  </si>
  <si>
    <t>PE010129</t>
  </si>
  <si>
    <t>PE010130</t>
  </si>
  <si>
    <t>PE010131</t>
  </si>
  <si>
    <t>PE010132</t>
  </si>
  <si>
    <t>PE010133</t>
  </si>
  <si>
    <t>PE010134</t>
  </si>
  <si>
    <t>PE010135</t>
  </si>
  <si>
    <t>PE010136</t>
  </si>
  <si>
    <t>PE010137</t>
  </si>
  <si>
    <t>PE010138</t>
  </si>
  <si>
    <t>PE010139</t>
  </si>
  <si>
    <t>PE010140</t>
  </si>
  <si>
    <t>PE010141</t>
  </si>
  <si>
    <t>PE010142</t>
  </si>
  <si>
    <t>PE010143</t>
  </si>
  <si>
    <t>PE010144</t>
  </si>
  <si>
    <t>PE010145</t>
  </si>
  <si>
    <t>PE010146</t>
  </si>
  <si>
    <t>PE010147</t>
  </si>
  <si>
    <t>PE010148</t>
  </si>
  <si>
    <t>PE010149</t>
  </si>
  <si>
    <t>PE010150</t>
  </si>
  <si>
    <t>PE010151</t>
  </si>
  <si>
    <t>PE010152</t>
  </si>
  <si>
    <t>PE010153</t>
  </si>
  <si>
    <t>PE010154</t>
  </si>
  <si>
    <t>PE010155</t>
  </si>
  <si>
    <t>PE010156</t>
  </si>
  <si>
    <t>PE010157</t>
  </si>
  <si>
    <t>PE010158</t>
  </si>
  <si>
    <t>Total number of toys "made in U.S. Zone Germany"</t>
  </si>
  <si>
    <t>Total number of toys "made in Occupied Japan"</t>
  </si>
  <si>
    <t>Total number of toys "made in China"</t>
  </si>
  <si>
    <t>Pussy with Ball</t>
  </si>
  <si>
    <t>Brown fur cat w/ pink ball</t>
  </si>
  <si>
    <t>Plush &amp; plastic</t>
  </si>
  <si>
    <t>14x5x6</t>
  </si>
  <si>
    <t>Very good, reads "pussy runs and tumbles"</t>
  </si>
  <si>
    <t>moves in circle, tail rotates, so cat tumbles</t>
  </si>
  <si>
    <t>PE010159</t>
  </si>
  <si>
    <t>PE010160</t>
  </si>
  <si>
    <t>PE010161</t>
  </si>
  <si>
    <t>Puzzle Cat</t>
  </si>
  <si>
    <t>51-5145</t>
  </si>
  <si>
    <t>Striped black and brown cat w/ ball</t>
  </si>
  <si>
    <t>moves forward, non-fall actyion by a wheel rotating transversally</t>
  </si>
  <si>
    <t>14.5x6x9</t>
  </si>
  <si>
    <t>100 (2026) w/ box</t>
  </si>
  <si>
    <t>N in elipse</t>
  </si>
  <si>
    <t>Nakayama</t>
  </si>
  <si>
    <t>Nakayama Shokai</t>
  </si>
  <si>
    <t>ISHI</t>
  </si>
  <si>
    <t>Ishizuka</t>
  </si>
  <si>
    <t>Ishizuka Seisakusho</t>
  </si>
  <si>
    <t>PE010162</t>
  </si>
  <si>
    <t>PE010163</t>
  </si>
  <si>
    <t>PE010164</t>
  </si>
  <si>
    <t>Monkey the Drummer</t>
  </si>
  <si>
    <t>HR-825</t>
  </si>
  <si>
    <t>South Korea</t>
  </si>
  <si>
    <t>MTU in losangle</t>
  </si>
  <si>
    <t>MTU</t>
  </si>
  <si>
    <t>40 (2025) w/ box</t>
  </si>
  <si>
    <t>Indian plush monkey playing drum</t>
  </si>
  <si>
    <t>moves body laterally, while playing the drum</t>
  </si>
  <si>
    <t>Tin, plush &amp; plastic</t>
  </si>
  <si>
    <t>11x6.5x14</t>
  </si>
  <si>
    <t>Minic Mouse</t>
  </si>
  <si>
    <t>PE010165</t>
  </si>
  <si>
    <t>Grey plastic mouse</t>
  </si>
  <si>
    <t>Moves forward while vibrating</t>
  </si>
  <si>
    <t>9x3.5x4</t>
  </si>
  <si>
    <t>Triang Minic</t>
  </si>
  <si>
    <t>Very Good; box reads " A realistic clockwork that wanders in all directions"</t>
  </si>
  <si>
    <t>PE010166</t>
  </si>
  <si>
    <t>PE010167</t>
  </si>
  <si>
    <t>PE010168</t>
  </si>
  <si>
    <t>Moves around</t>
  </si>
  <si>
    <t>9x3.5x3.5</t>
  </si>
  <si>
    <t>Grey tin (velvet covered) mouse</t>
  </si>
  <si>
    <t>Rolling Mouse</t>
  </si>
  <si>
    <t>92 (89)</t>
  </si>
  <si>
    <t>120 (2025)</t>
  </si>
  <si>
    <t>Walking Bear</t>
  </si>
  <si>
    <t>Small dark grey plush bear</t>
  </si>
  <si>
    <t>Plush</t>
  </si>
  <si>
    <t>12x5.5x7</t>
  </si>
  <si>
    <t>70 (2025)</t>
  </si>
  <si>
    <t>PE010169</t>
  </si>
  <si>
    <t>PE010170</t>
  </si>
  <si>
    <t>PE010171</t>
  </si>
  <si>
    <t>Walking Cat</t>
  </si>
  <si>
    <t>Plush cat w/ basket shaped control</t>
  </si>
  <si>
    <t>Plush &amp; tin</t>
  </si>
  <si>
    <t>16x6x17</t>
  </si>
  <si>
    <t>Walks on four legs, lights eyes, nods head, opens mouth and "meows"</t>
  </si>
  <si>
    <t>35 (201)</t>
  </si>
  <si>
    <t>Reasonable; reads "With lighted eyes nodding head and voice"</t>
  </si>
  <si>
    <t>PE010172</t>
  </si>
  <si>
    <t>PE010173</t>
  </si>
  <si>
    <t>PE010174</t>
  </si>
  <si>
    <t>PE010175</t>
  </si>
  <si>
    <t>PE010176</t>
  </si>
  <si>
    <t>Walking Dog</t>
  </si>
  <si>
    <t>J1705</t>
  </si>
  <si>
    <t>Plush dogw/ basket shaped control</t>
  </si>
  <si>
    <t>Walks on four legs, lights eyes, nods head, opens mouth and "barks"</t>
  </si>
  <si>
    <t>17x7x16</t>
  </si>
  <si>
    <t>Reasonable; reads "With lighted eyes nodding head wagging tail and voice"</t>
  </si>
  <si>
    <t>White long neck bird w/ yellow feather</t>
  </si>
  <si>
    <t>Gluck+Glack or Wonder Duck</t>
  </si>
  <si>
    <t>works w/ a glass of water at room temperature; immerse head of bird, and from then on, the bird raises head and drinks again, repeating this movement</t>
  </si>
  <si>
    <t>5x5x18</t>
  </si>
  <si>
    <t>10 (209) 46 (31)</t>
  </si>
  <si>
    <t>PE010177</t>
  </si>
  <si>
    <t>PE010178</t>
  </si>
  <si>
    <t>PE010179</t>
  </si>
  <si>
    <t>PE010180</t>
  </si>
  <si>
    <t>5x5x19</t>
  </si>
  <si>
    <t>Very Good, w/ instructions, has patents in several countries</t>
  </si>
  <si>
    <t>200 (2925) w/ box</t>
  </si>
  <si>
    <t>Drinking Happy Bird</t>
  </si>
  <si>
    <t>Available in several colour variations; The toy consists of two glass bulbs connected by a tube. The Head: Covered in a fuzzy, felt-like material that absorbs water.The Body/Tail: A larger bulb at the bottom. The Fluid: A volatile liquid, typically methylene chloride, which evaporates and condenses very easily at room temperature. How the Cycle Works: 1. Evaporation &amp; Cooling: You start the process by wetting the bird's head. As water evaporates from the felt, it cools the glass head. 2. Condensation &amp; Pressure Drop: The cooling causes the methylene chloride vapor inside the head to condense back into a liquid. This condensation creates a partial vacuum (lower pressure) in the head. 3. Liquid Rise: Because the pressure in the bottom bulb is now higher than the pressure in the head, the liquid is pushed up the neck tube toward the head. 4. The Tip: As the head fills with liquid, the bird's center of gravity shifts forward.</t>
  </si>
  <si>
    <t>Transparent long beck bird w/ hat</t>
  </si>
  <si>
    <t>15-20 (2026) w/ box</t>
  </si>
  <si>
    <t>Go Go! Rabbit</t>
  </si>
  <si>
    <t>Standing Rabbit w/ pink plastic head</t>
  </si>
  <si>
    <t>When laying down, pushing the rabbit horizontally, friction motor accumulates energy; standing up, it walks on two legs</t>
  </si>
  <si>
    <t>6x8.5x18</t>
  </si>
  <si>
    <t>Excellent, w/ quality tag</t>
  </si>
  <si>
    <t>140-160 (2025) w/ box</t>
  </si>
  <si>
    <t>PE010181</t>
  </si>
  <si>
    <t>PE010182</t>
  </si>
  <si>
    <t>Musical Monkey with Cymbal and Drum</t>
  </si>
  <si>
    <t>Standing plush monkey playing cymbals and drum</t>
  </si>
  <si>
    <t>Left arm plays cymbal, right arm plays drum</t>
  </si>
  <si>
    <t>Plush  &amp; tin</t>
  </si>
  <si>
    <t>10x8x22</t>
  </si>
  <si>
    <t>Box has ST logo; is frequently dated from the 50s…</t>
  </si>
  <si>
    <t>30-50 (2025) w/ box</t>
  </si>
  <si>
    <t>PE010183</t>
  </si>
  <si>
    <t>PE010184</t>
  </si>
  <si>
    <t>PE010185</t>
  </si>
  <si>
    <t>PE010186</t>
  </si>
  <si>
    <t>Woofy the Airfix Performing Sea-Lion</t>
  </si>
  <si>
    <t>White plastic Sea-Lion</t>
  </si>
  <si>
    <t>Pulling the toy flaps front legs and ball rotates</t>
  </si>
  <si>
    <t>8x8x8</t>
  </si>
  <si>
    <t>AIRFIX</t>
  </si>
  <si>
    <t>Airfix</t>
  </si>
  <si>
    <t>PEPI Tumbling Monkey with Cymbal</t>
  </si>
  <si>
    <t>Large sitted plush monkey w/ cymbal and red bonnet</t>
  </si>
  <si>
    <t>Plays cymbal and sommersaults backward</t>
  </si>
  <si>
    <t>Plush, vinyl and tin</t>
  </si>
  <si>
    <t>20x16x22</t>
  </si>
  <si>
    <t>70-100 (2025) w/ box</t>
  </si>
  <si>
    <t>35 (133)</t>
  </si>
  <si>
    <t>Box has also  "ILLFELDER TOY" (distributor, NY); a different box for the Japanes market; scarcity 2/10</t>
  </si>
  <si>
    <t>Musical Panda</t>
  </si>
  <si>
    <t>no.3/2898</t>
  </si>
  <si>
    <t>Plush panda w/ yellow and red maracas</t>
  </si>
  <si>
    <t>Plays maracas while body waves laterally</t>
  </si>
  <si>
    <t>Plush, plastic &amp; tin</t>
  </si>
  <si>
    <t>8x9x15.5</t>
  </si>
  <si>
    <t>Mee Too</t>
  </si>
  <si>
    <t>PE010187</t>
  </si>
  <si>
    <t>PE010188</t>
  </si>
  <si>
    <t>PE010189</t>
  </si>
  <si>
    <t>Large black disk w/ coloured buttons</t>
  </si>
  <si>
    <t>26x26x7</t>
  </si>
  <si>
    <t>PE010190</t>
  </si>
  <si>
    <t>Willoughby Cartooner</t>
  </si>
  <si>
    <t>Large drawing pad  w/ tin man</t>
  </si>
  <si>
    <t>Rolf Harris (30 March 1930 – 10 May 2023) was an Australian musician, television personality, painter, and actor. In 1954, Harris was a regular on BBC Television programme Whirligig, which featured a character called "Willoughby", who sprang to life on a drawing board, but was erased at the end of each episode. He was convicted in England in 2014 of the sexual assault of four underage girls, which effectively ended his career</t>
  </si>
  <si>
    <t>Cartoons missing(?)</t>
  </si>
  <si>
    <t>Plays 4 games w/ lights, sound &amp; music</t>
  </si>
  <si>
    <t>Average cost per toy (€) (only considers toys w/ cost &gt;0)</t>
  </si>
  <si>
    <t>A parallelogram mechanism amplifies the contour of the small cartoon made by the hand of the figure, which is drawn bigger on the note pad</t>
  </si>
  <si>
    <t>35x23x3</t>
  </si>
  <si>
    <t>Bubble  Panda</t>
  </si>
  <si>
    <t>ME781</t>
  </si>
  <si>
    <t>Rarity 5/5</t>
  </si>
  <si>
    <t>Duck Clothed</t>
  </si>
  <si>
    <t>Duck w/ green clothes</t>
  </si>
  <si>
    <t>Moves foward while flapping wings, raises body</t>
  </si>
  <si>
    <t>12x12x12.5</t>
  </si>
  <si>
    <t>2 (63)</t>
  </si>
  <si>
    <t>Running Dog with Voice</t>
  </si>
  <si>
    <t>Light brown plush dog</t>
  </si>
  <si>
    <t>Walks on 4 legs, and "barks"</t>
  </si>
  <si>
    <t>15x10.5x14</t>
  </si>
  <si>
    <t>2 (79)</t>
  </si>
  <si>
    <t>30 (2025)</t>
  </si>
  <si>
    <t>55 (2025)</t>
  </si>
  <si>
    <t>Eva</t>
  </si>
  <si>
    <t>8x7.5x9</t>
  </si>
  <si>
    <t>LOLA</t>
  </si>
  <si>
    <t>LULI</t>
  </si>
  <si>
    <t>Jumps moving forward</t>
  </si>
  <si>
    <t>Light grey bird</t>
  </si>
  <si>
    <t>8x4x5.5</t>
  </si>
  <si>
    <t>Luna</t>
  </si>
  <si>
    <t>Yellow ladybug with red dots</t>
  </si>
  <si>
    <t>5.5x5x3.5</t>
  </si>
  <si>
    <t>BIBI</t>
  </si>
  <si>
    <t>14x4.5x7</t>
  </si>
  <si>
    <t>LILI</t>
  </si>
  <si>
    <t>Brown plastic dog</t>
  </si>
  <si>
    <t>Red ladybug with black dots</t>
  </si>
  <si>
    <t>22 (298) 59 (208)</t>
  </si>
  <si>
    <t>22 (298)  59 (209)</t>
  </si>
  <si>
    <t>22 (298) 59 (209)</t>
  </si>
  <si>
    <t>70-90 (2025)</t>
  </si>
  <si>
    <t>15 (2025)</t>
  </si>
  <si>
    <t>10 (2025)</t>
  </si>
  <si>
    <t>Yellow bird w/ green head</t>
  </si>
  <si>
    <t>9x3x4.5</t>
  </si>
  <si>
    <t>22 (288, 298) 59 (210)</t>
  </si>
  <si>
    <t>22 (288, 298)  59 (210)</t>
  </si>
  <si>
    <t>Pickcock</t>
  </si>
  <si>
    <t>Cockerel w/ plastic green tail</t>
  </si>
  <si>
    <t>12x4x8</t>
  </si>
  <si>
    <t>22 (285) 101 (211)</t>
  </si>
  <si>
    <t>there is a similar toy by Geyper</t>
  </si>
  <si>
    <t xml:space="preserve">Parrot </t>
  </si>
  <si>
    <t>Moves legs, opens/closes beak and raises crest while making sound</t>
  </si>
  <si>
    <t>14x8x11</t>
  </si>
  <si>
    <t>Penguin</t>
  </si>
  <si>
    <t>Plastic penguin</t>
  </si>
  <si>
    <t>7x5.5x11</t>
  </si>
  <si>
    <t>Tail rotates quickly, body vibrates</t>
  </si>
  <si>
    <t>White plastic lamb</t>
  </si>
  <si>
    <t>Lamb</t>
  </si>
  <si>
    <t>11x4.5x9</t>
  </si>
  <si>
    <t>Boxing Monkey</t>
  </si>
  <si>
    <t>22x10x18.5</t>
  </si>
  <si>
    <t>100 (2025) w/ box</t>
  </si>
  <si>
    <t>TOY</t>
  </si>
  <si>
    <t>Sato</t>
  </si>
  <si>
    <t>Sato Gangu Seisakusho</t>
  </si>
  <si>
    <t>Bunny Cycle</t>
  </si>
  <si>
    <t>Pedals the tricycle, rings bell and moves ears</t>
  </si>
  <si>
    <t>Bunny on a tricycle</t>
  </si>
  <si>
    <t>14x7x13</t>
  </si>
  <si>
    <t>PE010191</t>
  </si>
  <si>
    <t>PE010192</t>
  </si>
  <si>
    <t>PE010193</t>
  </si>
  <si>
    <t>PE010194</t>
  </si>
  <si>
    <t>PE010195</t>
  </si>
  <si>
    <t>PE010196</t>
  </si>
  <si>
    <t>PE010197</t>
  </si>
  <si>
    <t>PE010198</t>
  </si>
  <si>
    <t>PE010199</t>
  </si>
  <si>
    <t>PE010201</t>
  </si>
  <si>
    <t>PE010200</t>
  </si>
  <si>
    <t>PE010202</t>
  </si>
  <si>
    <t>PE010204</t>
  </si>
  <si>
    <t xml:space="preserve">PE010201A
</t>
  </si>
  <si>
    <t xml:space="preserve">PE010203
</t>
  </si>
  <si>
    <t>Monkey training boxing w/ a bag</t>
  </si>
  <si>
    <t>Blue, white, green and yellow plastic parrot</t>
  </si>
  <si>
    <t>Small orange and blue bird</t>
  </si>
  <si>
    <t>Red ladybug w/ yellow dots</t>
  </si>
  <si>
    <t>Moves forward, beak opens</t>
  </si>
  <si>
    <t>Rotates arms and waves body left and right, hitting a suspended boxing bag</t>
  </si>
  <si>
    <t>13x5.5x12</t>
  </si>
  <si>
    <t>Chicken  on basket laying eggs</t>
  </si>
  <si>
    <t>Upon rotating the lever, it makes a roosting sound and lays eggs</t>
  </si>
  <si>
    <t>Clucking Chicken</t>
  </si>
  <si>
    <t>60-70 (2025)</t>
  </si>
  <si>
    <t>Pecking Canary</t>
  </si>
  <si>
    <t>Yellow chest, blue and green bird</t>
  </si>
  <si>
    <t>10x3.5x7</t>
  </si>
  <si>
    <t>30-50 (2025)</t>
  </si>
  <si>
    <t>Red ladybird w/ smiling face and multicoloured dots</t>
  </si>
  <si>
    <t>10-20 (2025)</t>
  </si>
  <si>
    <t>8x9x4.5</t>
  </si>
  <si>
    <t>Yellow ladybug w/ red and blue dots</t>
  </si>
  <si>
    <t>Ichimura</t>
  </si>
  <si>
    <t>Ichimura Shoten</t>
  </si>
  <si>
    <t>head of indian</t>
  </si>
  <si>
    <t>8x7x3.5</t>
  </si>
  <si>
    <t>Ladybug</t>
  </si>
  <si>
    <t>Jumping rabbit w/ carrot</t>
  </si>
  <si>
    <t>Jumps</t>
  </si>
  <si>
    <t>9x5x12</t>
  </si>
  <si>
    <t>Jumping Rabbit</t>
  </si>
  <si>
    <t>Inakita</t>
  </si>
  <si>
    <t>Inakita Shokai</t>
  </si>
  <si>
    <t>Jumping Frog</t>
  </si>
  <si>
    <t>Moves forward by extending and shortening legs</t>
  </si>
  <si>
    <t>Light green frog w/ blue dots</t>
  </si>
  <si>
    <t>ALCO</t>
  </si>
  <si>
    <t>8x5x4</t>
  </si>
  <si>
    <t>50 (2025) w/ box</t>
  </si>
  <si>
    <t>Moves forward w/ legs, waves neck</t>
  </si>
  <si>
    <t>Goose w/ blue body and yellow wings</t>
  </si>
  <si>
    <t>Tin, Plush &amp; plastic</t>
  </si>
  <si>
    <t>17x8x7</t>
  </si>
  <si>
    <t>116 (no.23)</t>
  </si>
  <si>
    <t>33/60</t>
  </si>
  <si>
    <t>Brown rabbit</t>
  </si>
  <si>
    <t>Jumps on four legs moving forward</t>
  </si>
  <si>
    <t>14.5x4x11</t>
  </si>
  <si>
    <t>70-100 (2025)</t>
  </si>
  <si>
    <t>Felix with Mouse</t>
  </si>
  <si>
    <t>Mouse holding a mouse by tail</t>
  </si>
  <si>
    <t>10x3x11</t>
  </si>
  <si>
    <t>PE010205</t>
  </si>
  <si>
    <t>PE010206</t>
  </si>
  <si>
    <t>PE010207</t>
  </si>
  <si>
    <t>PE010208</t>
  </si>
  <si>
    <t>PE010209</t>
  </si>
  <si>
    <t>PE010210</t>
  </si>
  <si>
    <t>PE010211</t>
  </si>
  <si>
    <t>PE010212</t>
  </si>
  <si>
    <t>40 (2025)</t>
  </si>
  <si>
    <t>Pressing base behind raises arm w/ mouse, moves eyes and "meows"</t>
  </si>
  <si>
    <t>Moves forward, the large winding key makes it turn 90º</t>
  </si>
  <si>
    <t>90 (2025)</t>
  </si>
  <si>
    <t>Pick Bird</t>
  </si>
  <si>
    <t>CAVEMAN</t>
  </si>
  <si>
    <t>Red Game console</t>
  </si>
  <si>
    <t>The player controls a caveman that must rob the eggs of a dinosaur and take them back to the cavern, avoiding dangers such as dragons and vukcanos</t>
  </si>
  <si>
    <t>80-140 (2025)</t>
  </si>
  <si>
    <t>BasketBall game</t>
  </si>
  <si>
    <t>Basketball game</t>
  </si>
  <si>
    <t>Player directs and throws ball via spring</t>
  </si>
  <si>
    <t>E Flim Lemez</t>
  </si>
  <si>
    <t>tinplate and plastic toys, many of which feature a mechanical feature</t>
  </si>
  <si>
    <t>40-70 (2025)</t>
  </si>
  <si>
    <t>Large cream plastic cat w/ ball</t>
  </si>
  <si>
    <t>Moves forward, tail rotates making it roll over</t>
  </si>
  <si>
    <t>Cat with ball</t>
  </si>
  <si>
    <t>JIMSON w/ crown</t>
  </si>
  <si>
    <t>JIMSON</t>
  </si>
  <si>
    <t>20-60 (2025)</t>
  </si>
  <si>
    <t>Quacking Baby Ducks</t>
  </si>
  <si>
    <t>2 puppies in blue basket</t>
  </si>
  <si>
    <t>2 baby ducks in pink basket</t>
  </si>
  <si>
    <t>Ducks move forward and backwards simultaneously, while quacking</t>
  </si>
  <si>
    <t>Plush and plastic</t>
  </si>
  <si>
    <t>Puppies turn heads to look at each other, then turn again and arms move to eat the food</t>
  </si>
  <si>
    <t>30-80 (2025)</t>
  </si>
  <si>
    <t>Hungry Couple</t>
  </si>
  <si>
    <t>PE010213</t>
  </si>
  <si>
    <t>PE010214</t>
  </si>
  <si>
    <t>PE010215</t>
  </si>
  <si>
    <t>PE010216</t>
  </si>
  <si>
    <t>PE010217</t>
  </si>
  <si>
    <t>PE010218</t>
  </si>
  <si>
    <t>PE010219</t>
  </si>
  <si>
    <t>PE010220</t>
  </si>
  <si>
    <t>PE010221</t>
  </si>
  <si>
    <t>21.5x15x10</t>
  </si>
  <si>
    <t>30x9x16</t>
  </si>
  <si>
    <t>17x7.5x8</t>
  </si>
  <si>
    <t>museu brinquedo Sintra</t>
  </si>
  <si>
    <t xml:space="preserve">TIPPY </t>
  </si>
  <si>
    <t>Black Scott-Terrier Dog</t>
  </si>
  <si>
    <t>Plush &amp; Tin</t>
  </si>
  <si>
    <t>13x4x7</t>
  </si>
  <si>
    <t>ears missing; ball w/ yarn missing; made in U.S. Zone Germany</t>
  </si>
  <si>
    <t>92 (96)</t>
  </si>
  <si>
    <t>70 (2025) poor</t>
  </si>
  <si>
    <t>Dog in house and monkey in palm tree</t>
  </si>
  <si>
    <t>Walks on 4 legs</t>
  </si>
  <si>
    <t>base of palm tree is broken; end of bone broken; rust</t>
  </si>
  <si>
    <t>Mischievous Monkey</t>
  </si>
  <si>
    <t>17 (53) 35 (115) 78 (68)</t>
  </si>
  <si>
    <t>22x15x32</t>
  </si>
  <si>
    <t>PE010222</t>
  </si>
  <si>
    <t>PE010223</t>
  </si>
  <si>
    <t>Sper Flying Helicopter</t>
  </si>
  <si>
    <t>Helicopter Highway Patrol Police N-317</t>
  </si>
  <si>
    <t>Roating blades, blinking lights, engine noise, moves forward. Pedestal lowers and raises helicopter in air; helicopter spins, then lowers.</t>
  </si>
  <si>
    <t>35x11x12</t>
  </si>
  <si>
    <t>pedestal new; tip of rotors broken</t>
  </si>
  <si>
    <t>scarcity: 3.5/5</t>
  </si>
  <si>
    <t>51 (179)</t>
  </si>
  <si>
    <t>100 (2025)</t>
  </si>
  <si>
    <t>Aeroflot Tupolev</t>
  </si>
  <si>
    <t>120-400 (2025)</t>
  </si>
  <si>
    <t>The Tupolev TU-104 was a 56 passenger short range twinjet liner built in the URSS. It was rhe world's first turbo-fan-powered aircraft. It was produced 1960-1965</t>
  </si>
  <si>
    <t>Aeroflot CCCP 1965 airplane</t>
  </si>
  <si>
    <t>Upside down V in circle</t>
  </si>
  <si>
    <t>Lenin Memorial Factory</t>
  </si>
  <si>
    <t>Moscow</t>
  </si>
  <si>
    <t>URSS</t>
  </si>
  <si>
    <t>Lenin Memorial</t>
  </si>
  <si>
    <t>Moves forward, blinks lights, sound</t>
  </si>
  <si>
    <t>40x37x9</t>
  </si>
  <si>
    <t>Space Scooter</t>
  </si>
  <si>
    <t>14 (126)</t>
  </si>
  <si>
    <t>Space Scooter w/ astronaut</t>
  </si>
  <si>
    <t>Non-fall action, lights</t>
  </si>
  <si>
    <t>20x11.5x24</t>
  </si>
  <si>
    <t>35 (172) 43 (106) 78 (203) 132 (96)</t>
  </si>
  <si>
    <t>was reconstructed w/ parts of a similar spanish toy of a police in a scooter (includes the backpack, battery cover, wheels, base of platform)</t>
  </si>
  <si>
    <t>100-200 (2025)</t>
  </si>
  <si>
    <t>PD030212</t>
  </si>
  <si>
    <t>PD030213</t>
  </si>
  <si>
    <t>PD030187</t>
  </si>
  <si>
    <t>PD030188</t>
  </si>
  <si>
    <t>PD020112</t>
  </si>
  <si>
    <t>PD020113</t>
  </si>
  <si>
    <t>PD020114</t>
  </si>
  <si>
    <t>P2060242</t>
  </si>
  <si>
    <t>DP 828509; displys the famous fight between  Joe Louis and Max Schmeling; reproductions by Schylling and China</t>
  </si>
  <si>
    <t>Helicopter Remote Control</t>
  </si>
  <si>
    <t>Helicopter flying over a landscape w/ construction works</t>
  </si>
  <si>
    <t>Operator can control direction of flight and altitude; rotors of helicopter rotate</t>
  </si>
  <si>
    <t>34.524x9</t>
  </si>
  <si>
    <t>plastic truck missing; hook in helicopter missing</t>
  </si>
  <si>
    <t>60-80 (2025)</t>
  </si>
  <si>
    <t>bonnet is new; not working</t>
  </si>
  <si>
    <t>Simplex</t>
  </si>
  <si>
    <t>Yellow caterpillar</t>
  </si>
  <si>
    <t>Moves forward, remote control</t>
  </si>
  <si>
    <t>17x10x8</t>
  </si>
  <si>
    <t>Bottom of toy: "Distler motor"; although the toy is marked "7000", this is model "7600" with remote-control</t>
  </si>
  <si>
    <t>10 (184)</t>
  </si>
  <si>
    <t>Gare Maritime</t>
  </si>
  <si>
    <t>Sky Rangers</t>
  </si>
  <si>
    <t>80-100 (2025)</t>
  </si>
  <si>
    <t>Tower w/ plane and zeppelin</t>
  </si>
  <si>
    <t>PF010001</t>
  </si>
  <si>
    <t>PF010002</t>
  </si>
  <si>
    <t>PF010003</t>
  </si>
  <si>
    <t>PF010004</t>
  </si>
  <si>
    <t>PF010005</t>
  </si>
  <si>
    <t>same toy produced by Joustra "Cabri Sauteur" 55 (28)</t>
  </si>
  <si>
    <t>The toy was also made by Joustra in 1958, with same no. and a specific box, named "Satellite Artificiel"; similar toy made by Joustra  " Le Stellite Artificiel" ref 825 55 (32)</t>
  </si>
  <si>
    <t>36.5x25x16.5</t>
  </si>
  <si>
    <t>Sea harbour with crane and lighthouse</t>
  </si>
  <si>
    <t>55 (34)</t>
  </si>
  <si>
    <t>Crane rortates automatically; by pushing lever it stops, arm descends, then raises</t>
  </si>
  <si>
    <t>small platform to carry load in crane is missing</t>
  </si>
  <si>
    <t>It is part of the Sky Ranger line, which included various versions of wind-up aircrafts that rotate around a tower.</t>
  </si>
  <si>
    <t xml:space="preserve">The plane takes off leaving the ground and rotating the zeppelin through the connecting bar. As the toy winds down, the airplane returns to its base, simulating landing. </t>
  </si>
  <si>
    <t>69x15x23</t>
  </si>
  <si>
    <t>JUPITER Ocean Pilot Cruiser</t>
  </si>
  <si>
    <t>Red &amp; white pilot boat</t>
  </si>
  <si>
    <t>25x8.5x7</t>
  </si>
  <si>
    <t>50-150 (2026) w/ box</t>
  </si>
  <si>
    <t>two colour variations: hull red or blue (rarer); common toy</t>
  </si>
  <si>
    <t>Bluebird</t>
  </si>
  <si>
    <t>Blue and white Bluebird Raceboat</t>
  </si>
  <si>
    <t>27x8,5x7</t>
  </si>
  <si>
    <t>150-200 (2025) w/ box</t>
  </si>
  <si>
    <t>Motorboat with Plastic Figure</t>
  </si>
  <si>
    <t>White ansd green motorboat with pilot</t>
  </si>
  <si>
    <t>35x11x9.5</t>
  </si>
  <si>
    <t xml:space="preserve"> Good </t>
  </si>
  <si>
    <t>label of box shows a different toy</t>
  </si>
  <si>
    <t>10 (55)</t>
  </si>
  <si>
    <t>deck can be green or blue</t>
  </si>
  <si>
    <t>D-4</t>
  </si>
  <si>
    <t>Hydro Plane  COMET</t>
  </si>
  <si>
    <t>Red, white and blue boat w/ grey helix</t>
  </si>
  <si>
    <t>deck can be red or blue (ours); there is version with a red propeller, with helix inside a ring</t>
  </si>
  <si>
    <t>MIC</t>
  </si>
  <si>
    <t>Modern Industrial Company</t>
  </si>
  <si>
    <t>veículos e barcos de plástico motorizados </t>
  </si>
  <si>
    <t>32x12.5x12</t>
  </si>
  <si>
    <t>in 1937, Malcom Campbell broke the speed racord with Bluebird K3, powered by a Rolls Royce K engine, exceeding 130 mph; the first version of the toy (based on the Blubird version of 1932): 1937-1940, with 3 exhaust "pipes"; the second version (1940-1948) had a single strip orange exhaust (cost 10'6); third version: 1950-1967, w/ silver exhaust (ours); version 4: 1978; our toy is version 3, but the box looks older, perhaps from the second version, since the cost of repair is 5'</t>
  </si>
  <si>
    <t>PF010006</t>
  </si>
  <si>
    <t>PF010011</t>
  </si>
  <si>
    <t>PF010007</t>
  </si>
  <si>
    <t>PF010008</t>
  </si>
  <si>
    <t>PF010009</t>
  </si>
  <si>
    <t>PF010010</t>
  </si>
  <si>
    <t>PF010012</t>
  </si>
  <si>
    <t>PF010013</t>
  </si>
  <si>
    <t>PF010014</t>
  </si>
  <si>
    <t>PF010015</t>
  </si>
  <si>
    <t>PF010016</t>
  </si>
  <si>
    <t>PF010017</t>
  </si>
  <si>
    <t> Billy The Ball Blowing Magic Whale</t>
  </si>
  <si>
    <t>box has two trademarks: K.O. inside losangle (Yoshiya), and a seal w/ a ball surrounded by "Seal of special quality tested toys" Frankonia (US importer)</t>
  </si>
  <si>
    <t>50-80 (2025)</t>
  </si>
  <si>
    <t>Brown whale blowing a ball</t>
  </si>
  <si>
    <t>16x6x10</t>
  </si>
  <si>
    <t>Sparkling Fish</t>
  </si>
  <si>
    <t>Green and white fish</t>
  </si>
  <si>
    <t>13.5x4x5</t>
  </si>
  <si>
    <t>10 (204) 22 (282)</t>
  </si>
  <si>
    <t>LOLO</t>
  </si>
  <si>
    <t>Small red fish</t>
  </si>
  <si>
    <t>8x5.5x4</t>
  </si>
  <si>
    <t>10 (2026)</t>
  </si>
  <si>
    <t>Ring Smoke Tug boat</t>
  </si>
  <si>
    <t>Green, red and white w/ blue chimney tug boat</t>
  </si>
  <si>
    <t>Mystery action, moves forward in rocking action, sound &amp; light</t>
  </si>
  <si>
    <t>36x12x17</t>
  </si>
  <si>
    <t>78 (80)</t>
  </si>
  <si>
    <t>80-150 (2026)</t>
  </si>
  <si>
    <t>Fishing Bears</t>
  </si>
  <si>
    <t>Three bears fishing money bank</t>
  </si>
  <si>
    <t>fish is missing</t>
  </si>
  <si>
    <t>17 (89) 35 (75)</t>
  </si>
  <si>
    <t>500-1000 (2026)</t>
  </si>
  <si>
    <t>Little boy fishing</t>
  </si>
  <si>
    <t>Boy rotates, fish gets tangled with post sign</t>
  </si>
  <si>
    <t>10x5.5x10.5</t>
  </si>
  <si>
    <t>Fishing Boy</t>
  </si>
  <si>
    <t>50-70 (2025)</t>
  </si>
  <si>
    <t>Billy the Fisherman</t>
  </si>
  <si>
    <t xml:space="preserve">70-100 (2025)  </t>
  </si>
  <si>
    <t>Boy w/ black bonnet fishing</t>
  </si>
  <si>
    <t>10x10x13</t>
  </si>
  <si>
    <t>MARTIN Le Pêcheur</t>
  </si>
  <si>
    <t>Boy w/ white bonnet fishing</t>
  </si>
  <si>
    <t>13x13x15</t>
  </si>
  <si>
    <t>55 (24)</t>
  </si>
  <si>
    <t>50-90 (2025)</t>
  </si>
  <si>
    <t>Fishing Bear</t>
  </si>
  <si>
    <t>Large plush bear w/ straw hat fishing</t>
  </si>
  <si>
    <t>Lifts the pole w/ a fish; grabs the fish w/ left paw, drops it in basket and laughs; eyes light</t>
  </si>
  <si>
    <t>20x11x26</t>
  </si>
  <si>
    <t>17 (27) 35 (75)</t>
  </si>
  <si>
    <t>Track with canals and ships</t>
  </si>
  <si>
    <t>Plastic track w/ water canals</t>
  </si>
  <si>
    <t>52.5x30x14</t>
  </si>
  <si>
    <t xml:space="preserve">Although the toy has the Distler trademark, the box refers to "Distler Toys". In 1962, production in Germany was discontinued, and the company was sold to a Belgian firm, becoming Distler Toys SA in Nivelles. Production of the toys continued in Belgium until 1968. </t>
  </si>
  <si>
    <t>PF010018</t>
  </si>
  <si>
    <t>PF010019</t>
  </si>
  <si>
    <t>PF010020</t>
  </si>
  <si>
    <t>PF010021</t>
  </si>
  <si>
    <t>PF010022</t>
  </si>
  <si>
    <t>PF010023</t>
  </si>
  <si>
    <t>PF010024</t>
  </si>
  <si>
    <t>PF010025</t>
  </si>
  <si>
    <t>PF010026</t>
  </si>
  <si>
    <t>PF010027</t>
  </si>
  <si>
    <t>PF010028</t>
  </si>
  <si>
    <t>PF010029</t>
  </si>
  <si>
    <t>PF010030</t>
  </si>
  <si>
    <t>PF010031</t>
  </si>
  <si>
    <t>PF010032</t>
  </si>
  <si>
    <t>PF010033</t>
  </si>
  <si>
    <t>PF010034</t>
  </si>
  <si>
    <t>PF010035</t>
  </si>
  <si>
    <t>PF010036</t>
  </si>
  <si>
    <t>PF010037</t>
  </si>
  <si>
    <t>PF010038</t>
  </si>
  <si>
    <t>PF010039</t>
  </si>
  <si>
    <t>PF010040</t>
  </si>
  <si>
    <t>Turbine creates water current</t>
  </si>
  <si>
    <t>When dog leaves house and barks, monkey quickly climbs tree; dog goes back home and monkey descends slowly</t>
  </si>
  <si>
    <t>Propeller rotates</t>
  </si>
  <si>
    <t>Helix rotates</t>
  </si>
  <si>
    <t>Moves forward while blowing air upwards</t>
  </si>
  <si>
    <t>Moves forward, sparks</t>
  </si>
  <si>
    <t>Place a coin in slot to start; papa bear pulls a fish, mamma bear moves a pan to accept it, baby moves arms up and down and papa drops the fish into the basket</t>
  </si>
  <si>
    <t>AMB - Amphibious Jeep</t>
  </si>
  <si>
    <t>Amphibious car w/ machine guns</t>
  </si>
  <si>
    <t>15x7x6</t>
  </si>
  <si>
    <t>AIM in circle</t>
  </si>
  <si>
    <t>Marchesini</t>
  </si>
  <si>
    <t>Luigi Marchesini</t>
  </si>
  <si>
    <t>Bologna</t>
  </si>
  <si>
    <t>70-110 (2025)</t>
  </si>
  <si>
    <t>Jack-in-a-Boat</t>
  </si>
  <si>
    <t>man rowing a brown boat</t>
  </si>
  <si>
    <t>Man shifts forward and backward, creating a rowing movement</t>
  </si>
  <si>
    <t>17x25x8</t>
  </si>
  <si>
    <t>111 (121)</t>
  </si>
  <si>
    <t>70-140 (2025)</t>
  </si>
  <si>
    <t>Bear w/ pole  and net and a fish</t>
  </si>
  <si>
    <t>Bear moves net up and down causing fish to jump</t>
  </si>
  <si>
    <t>11x6.5x19</t>
  </si>
  <si>
    <t>51 (91)</t>
  </si>
  <si>
    <t>220 (2026)</t>
  </si>
  <si>
    <t>Dockland</t>
  </si>
  <si>
    <t>Dock w/ crane and a "boat"</t>
  </si>
  <si>
    <t>Crane can rotate in two opposite directions,  and lift or lower cargo</t>
  </si>
  <si>
    <t>34x23.5x10</t>
  </si>
  <si>
    <t>220 (2025)</t>
  </si>
  <si>
    <t>Jolly Fisherman</t>
  </si>
  <si>
    <t>Kid seated w/ pole and small pond w/ fish</t>
  </si>
  <si>
    <t>Raises right arm holding pole w/ fish and head; fish is held by left hand and drops in the basket; left hand wavws sideqways</t>
  </si>
  <si>
    <t>Tin &amp; celuloid head</t>
  </si>
  <si>
    <t>13x9x16</t>
  </si>
  <si>
    <t>200 (2026) w/ box</t>
  </si>
  <si>
    <t>Climbing Pirate</t>
  </si>
  <si>
    <t>Pirate climbing rope</t>
  </si>
  <si>
    <t>Pulling string causes pirate to climb upward, relaxing string he climbs downward</t>
  </si>
  <si>
    <t>16x6x6</t>
  </si>
  <si>
    <t>51 (69)</t>
  </si>
  <si>
    <t>JONNY</t>
  </si>
  <si>
    <t>Boy sailor climbing rope</t>
  </si>
  <si>
    <t>Pulling string causes boy to climb upward, relaxing string he climbs downward</t>
  </si>
  <si>
    <t>16x8x3</t>
  </si>
  <si>
    <t>22 (241) 46 (194) 59 (208)</t>
  </si>
  <si>
    <t>Dancing Sailor</t>
  </si>
  <si>
    <t>Sailor in blue suit</t>
  </si>
  <si>
    <t>5x7x19</t>
  </si>
  <si>
    <t>Bonnet says: S.M.S. EMDEN: Germany Imperial Navy: a) SMS Emden (1908): a fast cruiser of the Dresden class operated from 1909 to 1914. b) SMS Emden (1916): a fast cruiser of the Königsberg class operated from 1916 to 1918. The toy was inspired by the ironclad "Branderburg" put in service in 1893.</t>
  </si>
  <si>
    <t>30 (82) 59 (62)</t>
  </si>
  <si>
    <t>Waves body laterally as if drunk</t>
  </si>
  <si>
    <t>450-550 (2025)</t>
  </si>
  <si>
    <t>Green Shark</t>
  </si>
  <si>
    <t>Blue and Red Green Shark Submarine</t>
  </si>
  <si>
    <t>Hand crank makes propeller rotate</t>
  </si>
  <si>
    <t>20x6x6</t>
  </si>
  <si>
    <t>180-200 (2025) w/ box</t>
  </si>
  <si>
    <t>150-300 (2025) w/ box</t>
  </si>
  <si>
    <t>Electro-Submarino</t>
  </si>
  <si>
    <t>Yellow and red submarine</t>
  </si>
  <si>
    <t>34x7x7</t>
  </si>
  <si>
    <t>92 (430) 93 (106)</t>
  </si>
  <si>
    <t>200-400 (2025) w/ box</t>
  </si>
  <si>
    <t>Nautilus</t>
  </si>
  <si>
    <t>Green Nautilus submarine</t>
  </si>
  <si>
    <t>24x5.5x10</t>
  </si>
  <si>
    <t>30 (135) 89 (77)</t>
  </si>
  <si>
    <t>AirCraft Carrier</t>
  </si>
  <si>
    <t>Large grey and light brown aircraft carrier</t>
  </si>
  <si>
    <t>Moves forward, elevators go up and down, lights, turning radar, sound; manually can launch fighters, helicopters and missiles</t>
  </si>
  <si>
    <t>51x14x17</t>
  </si>
  <si>
    <t>17 (126) 35 (16)</t>
  </si>
  <si>
    <t>400-500 (2025) w/ box</t>
  </si>
  <si>
    <t>Porta Aviones Espana</t>
  </si>
  <si>
    <t>Boat w/ a tower and two circling planes</t>
  </si>
  <si>
    <t>Moves forward rocking and planes circle</t>
  </si>
  <si>
    <t>22.5x6x11.5</t>
  </si>
  <si>
    <t>400-650 (2025)</t>
  </si>
  <si>
    <t>15 (95)</t>
  </si>
  <si>
    <t>Cap Electric</t>
  </si>
  <si>
    <t>Ferry Boat</t>
  </si>
  <si>
    <t>Track w/ boat travelling between lighthouse and dock</t>
  </si>
  <si>
    <t>Moves forward and back</t>
  </si>
  <si>
    <t>37.5x4x11</t>
  </si>
  <si>
    <t>Reasonable (main flaps missing)</t>
  </si>
  <si>
    <t>110-190 (2026) w/ box</t>
  </si>
  <si>
    <t xml:space="preserve">100-120 (2025) </t>
  </si>
  <si>
    <t>10 (89) 46 (32) 65 (27)</t>
  </si>
  <si>
    <t>400-600 (2025) w/ box</t>
  </si>
  <si>
    <t>Track w/ two lighthouses being linked by a ferry-boat</t>
  </si>
  <si>
    <t>68x13x9</t>
  </si>
  <si>
    <t>150 (2025) w/ box</t>
  </si>
  <si>
    <t>Elektro-Record Joy de Luxe</t>
  </si>
  <si>
    <t>red and brown boat with outboard engine</t>
  </si>
  <si>
    <t>30x12x9</t>
  </si>
  <si>
    <t>92 (440)</t>
  </si>
  <si>
    <t>70-150 (2026)</t>
  </si>
  <si>
    <t>Automatic Dock-Yard Crane</t>
  </si>
  <si>
    <t>Blue crane on a lightbrown dockyard</t>
  </si>
  <si>
    <t>21.5x8x12</t>
  </si>
  <si>
    <t>70-130 (2025)</t>
  </si>
  <si>
    <t>Mars/2020</t>
  </si>
  <si>
    <t>475</t>
  </si>
  <si>
    <t>Apr/2019</t>
  </si>
  <si>
    <t>Mars/2019</t>
  </si>
  <si>
    <t>July/2024</t>
  </si>
  <si>
    <t>Crane can rotate in two opposite directions, and lift or lower cargo</t>
  </si>
  <si>
    <t xml:space="preserve">Clockwork is in the small bus; it moves around one of the lighhouses, enters the ferry boat and the movement of its wheels is transmitted to the ferry, which travels to the other lighthouse; the sequence is repeated </t>
  </si>
  <si>
    <t>Very Good reads:  "A submarine exploration boat"</t>
  </si>
  <si>
    <t>PF010041</t>
  </si>
  <si>
    <t>PF010042</t>
  </si>
  <si>
    <t>PF010043</t>
  </si>
  <si>
    <t>PF010044</t>
  </si>
  <si>
    <t>PF010045</t>
  </si>
  <si>
    <t>PF010046</t>
  </si>
  <si>
    <t>PF010047</t>
  </si>
  <si>
    <t>PF010049</t>
  </si>
  <si>
    <t>PF010050</t>
  </si>
  <si>
    <t>PF010051</t>
  </si>
  <si>
    <t>PF010052</t>
  </si>
  <si>
    <t>PF010053</t>
  </si>
  <si>
    <t>PF010054</t>
  </si>
  <si>
    <t>PF010055</t>
  </si>
  <si>
    <t>PF010056</t>
  </si>
  <si>
    <t>PF010057</t>
  </si>
  <si>
    <t>PF010058</t>
  </si>
  <si>
    <t>PF010059</t>
  </si>
  <si>
    <t>PF010060</t>
  </si>
  <si>
    <t>PF010061</t>
  </si>
  <si>
    <t>PF010062</t>
  </si>
  <si>
    <t>PF010063</t>
  </si>
  <si>
    <t>PF010064</t>
  </si>
  <si>
    <t>PF010065</t>
  </si>
  <si>
    <t>PF010066</t>
  </si>
  <si>
    <t>PF010067</t>
  </si>
  <si>
    <t>PF010068</t>
  </si>
  <si>
    <t>PF010069</t>
  </si>
  <si>
    <t>PF010070</t>
  </si>
  <si>
    <t>PF010071</t>
  </si>
  <si>
    <t>PF010072</t>
  </si>
  <si>
    <t>PF010073</t>
  </si>
  <si>
    <t>PF010074</t>
  </si>
  <si>
    <t>PF010075</t>
  </si>
  <si>
    <t>PF010076</t>
  </si>
  <si>
    <t>PF010048</t>
  </si>
  <si>
    <t>Osul</t>
  </si>
  <si>
    <t>Espinho</t>
  </si>
  <si>
    <t>irmãos Manuel (1886-1954)e Artur Henriques (1892-1965)</t>
  </si>
  <si>
    <t>Na década de 50, dá-se a saída de um dos irmãos da sociedade para criar uma nova empresa também em Espinho, no fabrico de brinquedos. Nasce a marca "Hércules". Nessa altura a empresa Luso-Celuloide cria a designação Osul (Luso lido ao contrário) e continua o fabrico de brinquedos em plástico.</t>
  </si>
  <si>
    <t>Com apenas oito funcionários, a fábrica dedicava-se inicialmente à produção de bijuterias, pentes, fivelas e artigos religiosos feitos de celuloide. Para aproveitar restos de material e preencher períodos de menor produção, os irmãos começaram a fabricar pequenos brinquedo de plastico. Já nos anos 60, a Osul expandiu a sua tecnologia para a fundição de metais (die-cast), criando a marca Metosul (ou MetOsul). Esta marca tornou-se internacionalmente reconhecida pelas suas miniaturas de automóveis detalhadas à escala 1/43</t>
  </si>
  <si>
    <t>JATO, PEPE</t>
  </si>
  <si>
    <r>
      <t>José Augusto Júnior (JAJ)</t>
    </r>
    <r>
      <rPr>
        <sz val="11"/>
        <color theme="1"/>
        <rFont val="Calibri"/>
        <family val="2"/>
        <scheme val="minor"/>
      </rPr>
      <t>, um artesão que em 1921 iniciou a produção de brinquedos em folha-de-flandres (chapa), como as famosas gaitas e rocas para bebés</t>
    </r>
  </si>
  <si>
    <t>Alfena e Ermesinde</t>
  </si>
  <si>
    <r>
      <t xml:space="preserve">Em 1930, José Augusto Júnior criou uma nova fábrica e foi pioneiro em Portugal ao fabricar o primeiro brinquedo com </t>
    </r>
    <r>
      <rPr>
        <b/>
        <sz val="6"/>
        <color theme="1"/>
        <rFont val="Arial"/>
        <family val="2"/>
      </rPr>
      <t>corda de fita</t>
    </r>
    <r>
      <rPr>
        <sz val="11"/>
        <color theme="1"/>
        <rFont val="Calibri"/>
        <family val="2"/>
        <scheme val="minor"/>
      </rPr>
      <t>. Em 1946, a “JAJ” transferiu-se para Ermesinde por uma questão de proximidade ao caminho de ferro, através do qual fazia chegar os brinquedos a todos os pontos do país. A empresa passou a chamar-se “A Industrial de Quinquilharias de Ermesinde” e, em 1955, alterou o seu nome para “Fábrica de Artigos em Plástico JATO de José Augusto Júnior”, passando, então, a utilizar a sigla “JATO. Foi nesta fase que surgiram ícones como os táxis Mercedes, as carrinhas "pão de forma" (VW) e os fogões em miniatura. Após 1977, a gestão passou para os filhos de José Augusto Júnior, que adotaram a marca PEPE (ou PE-PE), mantendo a tradição até aos dias de hoje, sob o nome Bruplast</t>
    </r>
  </si>
  <si>
    <t>JATO &amp; PEPE</t>
  </si>
  <si>
    <t>A Rabbit and "de Sousa"</t>
  </si>
  <si>
    <t>Coelho de Sousa</t>
  </si>
  <si>
    <t>oelho de Sousa</t>
  </si>
  <si>
    <t xml:space="preserve">Porto </t>
  </si>
  <si>
    <t>Coelho de Sousa (C.S.) 1920 é essencialmente comerciante. Desenha e manda fazer baldes litografados. Troleys, carruagens da CP.</t>
  </si>
  <si>
    <t xml:space="preserve">Grandarte </t>
  </si>
  <si>
    <t>Grandarte M. Grande</t>
  </si>
  <si>
    <t>Grandarte - Fábrica de Plásticos, Lda</t>
  </si>
  <si>
    <t xml:space="preserve">Marinha Grande </t>
  </si>
  <si>
    <t>operava na década de 1960 sob a gerência de Manuel Lopes, focando-se na produção de artigos em plástico. Em 1997 fundiu-se com a UPLA (Fábrica Universal de Plásticos), dando origem à Grandupla – Fábrica de Plásticos, S.A..</t>
  </si>
  <si>
    <t>Luso-Celuloide de Henriques &amp; Irmão, Lda</t>
  </si>
  <si>
    <t>CIJ</t>
  </si>
  <si>
    <t>Compagnie Industrielle du Jouet</t>
  </si>
  <si>
    <t>initially large-scle toys, after WWII small models</t>
  </si>
  <si>
    <t>Fernand Migault</t>
  </si>
  <si>
    <t>rue de la Roquette, Paris</t>
  </si>
  <si>
    <t>The company name originally was Migault S.A. at the time that Migault's cousin Marcel Gourdet joined the firm.Took over André Citroen Toys in 1936</t>
  </si>
  <si>
    <t>Large track w/ a tower w/ a yellow flag and two cars running on a track and suspended from a rail</t>
  </si>
  <si>
    <t>Cars climb track and then descend suspended on a rail, repeating the circuit</t>
  </si>
  <si>
    <t>Excellent, w/ instructions and packager label</t>
  </si>
  <si>
    <t>82x26x41</t>
  </si>
  <si>
    <t>18/21</t>
  </si>
  <si>
    <t>250 (2025) w/ box</t>
  </si>
  <si>
    <t>PG010001</t>
  </si>
  <si>
    <t>PG010002</t>
  </si>
  <si>
    <t>PG010003</t>
  </si>
  <si>
    <t>PG010004</t>
  </si>
  <si>
    <t>Téléférique</t>
  </si>
  <si>
    <t>Big Dipper</t>
  </si>
  <si>
    <t>53x16x32</t>
  </si>
  <si>
    <t>Track w/ three cars  climbing and descending on a structure w/ 2 pillars and flags</t>
  </si>
  <si>
    <t>Cars climb track, then descend due to gravity and repeat circuit</t>
  </si>
  <si>
    <t>1 (92)</t>
  </si>
  <si>
    <t>250-300 (2025) w/ box</t>
  </si>
  <si>
    <t>Often atributed to Paya; planes can have different colour combinations; probably, it was inspired by a similar toy made by Kellermann 75 (39) in 1926</t>
  </si>
  <si>
    <t>Uses a battery for the lighthouse; in the pre-war version, the wires for the light were connected to an external battery</t>
  </si>
  <si>
    <t>Side of base can have different colours</t>
  </si>
  <si>
    <t>Orange and blue truck w/ wood logs</t>
  </si>
  <si>
    <t>Load  tray can tilt</t>
  </si>
  <si>
    <t>28x10.5x10</t>
  </si>
  <si>
    <t>Francisco Abreu Freitas agente comercial Osul</t>
  </si>
  <si>
    <t>Camioneta com Toros, Man Logging Truck</t>
  </si>
  <si>
    <t>500 (2026) w/ box</t>
  </si>
  <si>
    <t>PG010005</t>
  </si>
  <si>
    <t>PG010006</t>
  </si>
  <si>
    <t>PG010007</t>
  </si>
  <si>
    <t>PG010008</t>
  </si>
  <si>
    <t>Pronto Socorro com bombeiros</t>
  </si>
  <si>
    <t>Red Plastic firemen car w/ 9 men</t>
  </si>
  <si>
    <t>28x9x9</t>
  </si>
  <si>
    <t>Ambulância</t>
  </si>
  <si>
    <t>White plastic ambulance</t>
  </si>
  <si>
    <t>27x9x9</t>
  </si>
  <si>
    <t>Auto-Tanque</t>
  </si>
  <si>
    <t>Plastic pink and red tank truck</t>
  </si>
  <si>
    <t>30x9x11</t>
  </si>
  <si>
    <t>one wheel w/ defect</t>
  </si>
  <si>
    <t>PG010009</t>
  </si>
  <si>
    <t>PG010010</t>
  </si>
  <si>
    <t>Ciclista Equilibrista</t>
  </si>
  <si>
    <t>we have 2, w/ different colours, 1 w/ packaging</t>
  </si>
  <si>
    <t>PG010011</t>
  </si>
  <si>
    <t>unopened</t>
  </si>
  <si>
    <t>Boy cycles on rope due to gravity and stays vertical by a weight</t>
  </si>
  <si>
    <t>7x2x16</t>
  </si>
  <si>
    <t>Boy cycling on a rope</t>
  </si>
  <si>
    <t>No action</t>
  </si>
  <si>
    <t>Moves forward, rear doors open</t>
  </si>
  <si>
    <t>Carro de Assalto</t>
  </si>
  <si>
    <t>Grey plastic tank</t>
  </si>
  <si>
    <t>13x7x7</t>
  </si>
  <si>
    <t>PG010012</t>
  </si>
  <si>
    <t>PG010013</t>
  </si>
  <si>
    <t>Citroen ID</t>
  </si>
  <si>
    <t>Red w/ black top citroen</t>
  </si>
  <si>
    <t>Moves forward or backwards</t>
  </si>
  <si>
    <t>21.5x8.5x6.5</t>
  </si>
  <si>
    <t>PG010014</t>
  </si>
  <si>
    <t>PG010015</t>
  </si>
  <si>
    <t>Porto - Lisboa bus</t>
  </si>
  <si>
    <t>Red &amp; yellow Porto - Lisboa bus</t>
  </si>
  <si>
    <t>24x6x8</t>
  </si>
  <si>
    <t>PG010016</t>
  </si>
  <si>
    <t>PG010017</t>
  </si>
  <si>
    <t>20-40 (2025) w/ box</t>
  </si>
  <si>
    <t>Volkswagen com Sirene e Fricção</t>
  </si>
  <si>
    <t>20x8x13</t>
  </si>
  <si>
    <t>PG010018</t>
  </si>
  <si>
    <t>It was manufactured for Jouets
Renault in 1937 (cars had "Renault" in the side walls), and then after the war until the company closed. It is a rare toy.</t>
  </si>
  <si>
    <t>Scarcity 3-4/10 Desirability 4/6; some boxes have the AMICO trademark</t>
  </si>
  <si>
    <t>The toy has two versions, with and without the cart (lady holds kid with one hand). The lady is a character from the Fontaine Fox ((1884-1964) Toonerville Trolley strip  (1908-1955) which ran in 250 to 300 newspapers across North America. Katrinka was created in 1908 (?) as a physically powerful woman, performing feats of incredible strength. Katrinka was inspired by two cooks employed by Fontaine Fox. The boy Jimmy was one of the many children in the comic strip, a member of the McGuire family &amp; brother to Mickey McGuire. At one time he was the president of the Scorpion’s Club. Fox suggested toys to be produced &amp; then designed the toys &amp; mechanisms himself. Each of the Fontaine Fox licensed &amp; authorized toys produced by H. Fischer (like this one) has a mechanism suggested by Fox &amp; based on the story line as it unfolded in the comic strip. The body of Katrinka has several marks: "THE POWERFUL KATRINKA", "copyright 1923 by Fountaine Fox Pat, Applied for Nº293049", "Made in Germany" and "G.M.34282"</t>
  </si>
  <si>
    <t>there are several variants of this toy: 1) the game board inside the box can have different colours and curved lines, and the game can have a central cup while the horses pass under four arches. The "Jeu de Course" main rules were simple and focused on chance and betting.: Initial Bets: Before the race began, players placed their chips or money in a central container, often a metal bowl integrated into the board. Each player chose a horse to bet on. Activation of the Mechanism: The race was started by one of the players using the spring-loaded lever. This caused the metal horses to rotate on concentric circular tracks. Determining the Winner: The winner was not necessarily the horse that completed the most laps, but rather the one that stopped closest to the finish line (often marked by a post with a French flag).</t>
  </si>
  <si>
    <t>Automóvel</t>
  </si>
  <si>
    <t>White and blue plastic car w/ three passengers</t>
  </si>
  <si>
    <t>22x9x7</t>
  </si>
  <si>
    <t>85 (47)</t>
  </si>
  <si>
    <t>85 (38)</t>
  </si>
  <si>
    <t>PG010019</t>
  </si>
  <si>
    <t>PG010020</t>
  </si>
  <si>
    <t>Automóvel Mercury</t>
  </si>
  <si>
    <t>Blue plastic car</t>
  </si>
  <si>
    <t>28x9.5x8</t>
  </si>
  <si>
    <t>PG010021</t>
  </si>
  <si>
    <t>PG010022</t>
  </si>
  <si>
    <t>Palhaço com cordel</t>
  </si>
  <si>
    <t>Articulated plastic clown</t>
  </si>
  <si>
    <t>Moves arms and legs</t>
  </si>
  <si>
    <t>Policia Sinaleiro</t>
  </si>
  <si>
    <t>Plastic light green traffic policeman</t>
  </si>
  <si>
    <t>Blowing air, moves arms and rotates body</t>
  </si>
  <si>
    <t>14x7x16</t>
  </si>
  <si>
    <t>PG010023</t>
  </si>
  <si>
    <t>PG010024</t>
  </si>
  <si>
    <t>Par Dançante</t>
  </si>
  <si>
    <t>Dancing couple, him dressed in black, she has a blue skirt</t>
  </si>
  <si>
    <t xml:space="preserve">They move around the floor </t>
  </si>
  <si>
    <t>8x7x13</t>
  </si>
  <si>
    <t>PG010025</t>
  </si>
  <si>
    <t>Gato com Bengala e Malinha</t>
  </si>
  <si>
    <t>Plastic Puss in Boots</t>
  </si>
  <si>
    <t>14x4.5x12.5</t>
  </si>
  <si>
    <t>Walks on legs</t>
  </si>
  <si>
    <t>PG010026</t>
  </si>
  <si>
    <t>PG010027</t>
  </si>
  <si>
    <t>PG010028</t>
  </si>
  <si>
    <t>O Pinguim Bonito</t>
  </si>
  <si>
    <t>Plastic Penguin</t>
  </si>
  <si>
    <t xml:space="preserve">Waves body laterally </t>
  </si>
  <si>
    <t>not working</t>
  </si>
  <si>
    <t>PG010029</t>
  </si>
  <si>
    <t>PG010030</t>
  </si>
  <si>
    <t>11x9x17</t>
  </si>
  <si>
    <t>85 (53)</t>
  </si>
  <si>
    <t>O Galgo Veloz</t>
  </si>
  <si>
    <t>one ear missing</t>
  </si>
  <si>
    <t>White plastic greyhound dog</t>
  </si>
  <si>
    <t>Jumps on front and rear legs</t>
  </si>
  <si>
    <t>23x5x11</t>
  </si>
  <si>
    <t>PG010031</t>
  </si>
  <si>
    <t>PG010032</t>
  </si>
  <si>
    <t>O Alegre Marinheiro</t>
  </si>
  <si>
    <t>Sailor holding cage w/ bird</t>
  </si>
  <si>
    <t>Waves laterally and moves arms</t>
  </si>
  <si>
    <t>7x11x17</t>
  </si>
  <si>
    <t>legs are broken, mechanism not working</t>
  </si>
  <si>
    <t>Toy is similar to Barnacle Bill by Triang Minic 111 (118) made in 1950s</t>
  </si>
  <si>
    <t>Rádio sem música</t>
  </si>
  <si>
    <t>Rádio com música</t>
  </si>
  <si>
    <t>Green plastic radio</t>
  </si>
  <si>
    <t>Cream plastic radio</t>
  </si>
  <si>
    <t>Plays music when dropping a coin</t>
  </si>
  <si>
    <t>Still bank</t>
  </si>
  <si>
    <t>PG010033</t>
  </si>
  <si>
    <t>PG010034</t>
  </si>
  <si>
    <t>PG010035</t>
  </si>
  <si>
    <t>PG010036</t>
  </si>
  <si>
    <t>PG010037</t>
  </si>
  <si>
    <t>12x8x8</t>
  </si>
  <si>
    <t>Baby in blue bed w/ night pot</t>
  </si>
  <si>
    <t>Pushing a lever, baby rotates and sits on pot</t>
  </si>
  <si>
    <t>PG010038</t>
  </si>
  <si>
    <t>Vagoneta</t>
  </si>
  <si>
    <t>Two monkeys riding a wagon</t>
  </si>
  <si>
    <t>The monkeys push down alternatively a lever to make the wagon move</t>
  </si>
  <si>
    <t>16x4x10</t>
  </si>
  <si>
    <t>tail of one monkey missing</t>
  </si>
  <si>
    <t>PG010039</t>
  </si>
  <si>
    <t>Cão com Bengala</t>
  </si>
  <si>
    <t>Plastic dog w/ walking stick in mouth</t>
  </si>
  <si>
    <t>Jumps on rear legs</t>
  </si>
  <si>
    <t>PG010040</t>
  </si>
  <si>
    <t>Light green plastic duck</t>
  </si>
  <si>
    <t>moves legs, opens/closes mouth, quacks</t>
  </si>
  <si>
    <t>8x3.5x8</t>
  </si>
  <si>
    <t>12x7x10.5</t>
  </si>
  <si>
    <t>Pato Qua-Qua Ducky Qua-Qua</t>
  </si>
  <si>
    <t>PG010041</t>
  </si>
  <si>
    <t>Boneco que Ri</t>
  </si>
  <si>
    <t>Man laughing w/ hands on belly</t>
  </si>
  <si>
    <t>Upon pushing button he "laughs" and moves  body and head</t>
  </si>
  <si>
    <t>7.5x5x11</t>
  </si>
  <si>
    <t>PG010042</t>
  </si>
  <si>
    <t>PG010043</t>
  </si>
  <si>
    <t>Offered by Joaquim Vieira</t>
  </si>
  <si>
    <t>Walking ramp blue soldier</t>
  </si>
  <si>
    <t>Walks pulkled by a weight</t>
  </si>
  <si>
    <t>Oferta de Alvaro Sampaio (U Minho)</t>
  </si>
  <si>
    <t>&gt;60 (2026)</t>
  </si>
  <si>
    <t>4x3x7</t>
  </si>
  <si>
    <t>Ébrio</t>
  </si>
  <si>
    <t>Man holds glass in mouth w/ a magnet</t>
  </si>
  <si>
    <t>4x3x7.5</t>
  </si>
  <si>
    <t>Apito com Pássaro com Língua Móvel</t>
  </si>
  <si>
    <t>Yellow bird whistle</t>
  </si>
  <si>
    <t>Blowing makes a two-note sound and bird opens and closes beak</t>
  </si>
  <si>
    <t>8x2x4.5</t>
  </si>
  <si>
    <t>Caracol</t>
  </si>
  <si>
    <t>When pushed, body and eyes move</t>
  </si>
  <si>
    <t>10x4x4</t>
  </si>
  <si>
    <t>PG010044</t>
  </si>
  <si>
    <t>PG010045</t>
  </si>
  <si>
    <t>PG010046</t>
  </si>
  <si>
    <t>PG010047</t>
  </si>
  <si>
    <t>PG010048</t>
  </si>
  <si>
    <t>PG010049</t>
  </si>
  <si>
    <t>Locomotiva com Apito</t>
  </si>
  <si>
    <t>Brown snail</t>
  </si>
  <si>
    <t>White train whistle</t>
  </si>
  <si>
    <t>When pushed, wheels turn; also a whistle</t>
  </si>
  <si>
    <t>11.5x3.5x5</t>
  </si>
  <si>
    <t>Unisotra in losangle</t>
  </si>
  <si>
    <t>UNISOTRA</t>
  </si>
  <si>
    <t>Portgal</t>
  </si>
  <si>
    <r>
      <t xml:space="preserve">
</t>
    </r>
    <r>
      <rPr>
        <sz val="11"/>
        <color rgb="FF333333"/>
        <rFont val="Calibri"/>
        <family val="2"/>
        <scheme val="minor"/>
      </rPr>
      <t>In the late 1940s and throughout the 1950s, the company produced shop window displays, umbrella stands, car headlights (stop lights and turn signals), as well as millions of (plastic) fishing buoys. Later, the number of items produced increased, and they also began manufacturing toys, ashtrays, trays, and many other household items.</t>
    </r>
  </si>
  <si>
    <t>Seixal</t>
  </si>
  <si>
    <t>Camioneta com Coelho</t>
  </si>
  <si>
    <t>Green open truck driven by a yellow rabbit</t>
  </si>
  <si>
    <t>When pushed rabbit moves up and down</t>
  </si>
  <si>
    <t>9.5x3.5x4</t>
  </si>
  <si>
    <t>Moto com Pato Donald</t>
  </si>
  <si>
    <t>12x6.5x8</t>
  </si>
  <si>
    <t>PG010050</t>
  </si>
  <si>
    <t>PG010051</t>
  </si>
  <si>
    <t>Donald Duck driving a three-wheel motorcycle</t>
  </si>
  <si>
    <t>A similar toy was made by Marx in the 1950s-1960s, named "Donald Duck Disney Delivery", which had a pull-back clockwork 67 (123)</t>
  </si>
  <si>
    <t>SIO in circle</t>
  </si>
  <si>
    <t>Aliança</t>
  </si>
  <si>
    <t>Sociedade de Indústria de Ourivesaria, later Fábrica de Brinquedos de Alfena, with trademark "Aliança"</t>
  </si>
  <si>
    <t xml:space="preserve">Alfena </t>
  </si>
  <si>
    <t>Carrocel com Cisnes</t>
  </si>
  <si>
    <t>Plastic carrousel w/ swans</t>
  </si>
  <si>
    <t>It spins</t>
  </si>
  <si>
    <t>Ventríloquo</t>
  </si>
  <si>
    <t>Plastic head and hat</t>
  </si>
  <si>
    <t>Pushing lever, mouth opens; rotating, eyes move</t>
  </si>
  <si>
    <t>6x6x8</t>
  </si>
  <si>
    <t>3.5x3.5x6.5</t>
  </si>
  <si>
    <t>PG010052</t>
  </si>
  <si>
    <t>PG010053</t>
  </si>
  <si>
    <t>Automóvel de Pista</t>
  </si>
  <si>
    <t>Plastic yellow car w/ boy</t>
  </si>
  <si>
    <t>When put on the floor, moves forward</t>
  </si>
  <si>
    <t>Lid missing</t>
  </si>
  <si>
    <t>Carregador Caminhos de Ferro</t>
  </si>
  <si>
    <t>Trolley w/ driver and cases</t>
  </si>
  <si>
    <t>Moves forwrard; any bumps on the road make driver move body</t>
  </si>
  <si>
    <t>Plastic &amp; paper</t>
  </si>
  <si>
    <t>15x7x10</t>
  </si>
  <si>
    <t>PG010054</t>
  </si>
  <si>
    <t>PG010055</t>
  </si>
  <si>
    <t>Cavalo com Cavaleiro</t>
  </si>
  <si>
    <t>Plastic white horse w/ brown jockey</t>
  </si>
  <si>
    <t>Horse jumps, moving forward</t>
  </si>
  <si>
    <t>15x5.5x16</t>
  </si>
  <si>
    <t>PG010056</t>
  </si>
  <si>
    <t>Carro Aranha com Cavalo</t>
  </si>
  <si>
    <t>Horse and Sulky</t>
  </si>
  <si>
    <t>23x9x12</t>
  </si>
  <si>
    <t>PG010057</t>
  </si>
  <si>
    <t>PG010058</t>
  </si>
  <si>
    <t>85 (48)</t>
  </si>
  <si>
    <t>Automóvel de pista</t>
  </si>
  <si>
    <t>Plastic blue, green &amp; yellow race car</t>
  </si>
  <si>
    <t>13.5x6.5x5</t>
  </si>
  <si>
    <t>PG010059</t>
  </si>
  <si>
    <t>Automóvel Malabarista ou Automóvel "Ford" Aberto</t>
  </si>
  <si>
    <t>Plastic multicoloured Old Timer car</t>
  </si>
  <si>
    <t>11.5x5.5x7</t>
  </si>
  <si>
    <t>PG010060</t>
  </si>
  <si>
    <t>Fourgonette</t>
  </si>
  <si>
    <t>Plastic light blue van</t>
  </si>
  <si>
    <t>When pushed, parts of the car and the driver move up and down</t>
  </si>
  <si>
    <t>11.5x5.5x5</t>
  </si>
  <si>
    <t>Ford Taunus 12M Saloon 1952-1962</t>
  </si>
  <si>
    <t>PG010061</t>
  </si>
  <si>
    <t>Green Jeep w/ two military policemen</t>
  </si>
  <si>
    <t>JEEP Polícia Exército</t>
  </si>
  <si>
    <t>16x7.5x9</t>
  </si>
  <si>
    <t>50-100 (2026) w/ box</t>
  </si>
  <si>
    <t>PG010062</t>
  </si>
  <si>
    <t>Mercedes Descapotável</t>
  </si>
  <si>
    <t>Green convertible Mercedes</t>
  </si>
  <si>
    <t>15x6x4</t>
  </si>
  <si>
    <t>15-25 (2025)</t>
  </si>
  <si>
    <t>Mercedes 180/190 manufactured 1953-1962; marked JATO in the chassis</t>
  </si>
  <si>
    <t>PG010063</t>
  </si>
  <si>
    <t>Blue plastic convertible</t>
  </si>
  <si>
    <t>21x9x6</t>
  </si>
  <si>
    <t>PG010064</t>
  </si>
  <si>
    <t>Camião</t>
  </si>
  <si>
    <t>Multicoulored plastic truck</t>
  </si>
  <si>
    <t>29x10.5x11</t>
  </si>
  <si>
    <t>PG010065</t>
  </si>
  <si>
    <t>PG010022A</t>
  </si>
  <si>
    <t>Plastic Pink and Blue Truck</t>
  </si>
  <si>
    <t>PG010066</t>
  </si>
  <si>
    <t>30x9x9</t>
  </si>
  <si>
    <t>Plastic Green and blue 6 wheel truck</t>
  </si>
  <si>
    <t>PG010067</t>
  </si>
  <si>
    <t>29.5x9x14.5</t>
  </si>
  <si>
    <t>Estação de Serviço Service Station</t>
  </si>
  <si>
    <t>Plastic orange service station</t>
  </si>
  <si>
    <t>Manually operated</t>
  </si>
  <si>
    <t>The catalogue of 1956  only shows the version without clockwork (no. 351)</t>
  </si>
  <si>
    <t>PG010068</t>
  </si>
  <si>
    <t>Jogo de Bilhar "Totobola"</t>
  </si>
  <si>
    <t>game reads "Totobilhar"</t>
  </si>
  <si>
    <t>Jogo de Bilhar "Pescador"</t>
  </si>
  <si>
    <t>Roda da Sorte</t>
  </si>
  <si>
    <t>"Totobilhar"</t>
  </si>
  <si>
    <t>"Roda da Sorte"</t>
  </si>
  <si>
    <t>"Fisherman &amp; fish game"</t>
  </si>
  <si>
    <t>Pinball game</t>
  </si>
  <si>
    <t>18.5x11.5x1.5</t>
  </si>
  <si>
    <t>14x7x2</t>
  </si>
  <si>
    <t>PG010069</t>
  </si>
  <si>
    <t>PG010070</t>
  </si>
  <si>
    <t>PG010071</t>
  </si>
  <si>
    <t>Mealheiro Correio</t>
  </si>
  <si>
    <t>Red tinplate parallelepiped Post Office Box</t>
  </si>
  <si>
    <t>Tinplate</t>
  </si>
  <si>
    <t>8x4x10.5</t>
  </si>
  <si>
    <t>30 (2026)</t>
  </si>
  <si>
    <t>PG010072</t>
  </si>
  <si>
    <t>Plastic brown radio</t>
  </si>
  <si>
    <t>4.5x12x8.5</t>
  </si>
  <si>
    <t>PG010073</t>
  </si>
  <si>
    <t>White plastic chicken laying eggs</t>
  </si>
  <si>
    <t>Pushing down the chicken, it lays an egg</t>
  </si>
  <si>
    <t>6x5x7.5</t>
  </si>
  <si>
    <t>Tigre Sirene</t>
  </si>
  <si>
    <t>Head of Tiger</t>
  </si>
  <si>
    <t>Roars and opens/closes mouth</t>
  </si>
  <si>
    <t>22x13x18</t>
  </si>
  <si>
    <t>To be mounted on a bicycle</t>
  </si>
  <si>
    <t>PG010074</t>
  </si>
  <si>
    <t>PG010075</t>
  </si>
  <si>
    <t>Palmatória com Anões</t>
  </si>
  <si>
    <t>Blue candle support w/ dwarfs</t>
  </si>
  <si>
    <t>Plays a tune while rotating</t>
  </si>
  <si>
    <t>Very good, but wrongly says "no music"</t>
  </si>
  <si>
    <t>PG010076</t>
  </si>
  <si>
    <t>we have also a green version; back bumper is missing</t>
  </si>
  <si>
    <r>
      <t>Total number of toys (first) manufactured in (</t>
    </r>
    <r>
      <rPr>
        <b/>
        <sz val="11"/>
        <rFont val="Calibri"/>
        <family val="2"/>
        <scheme val="minor"/>
      </rPr>
      <t>choose date</t>
    </r>
    <r>
      <rPr>
        <sz val="11"/>
        <rFont val="Calibri"/>
        <family val="2"/>
        <scheme val="minor"/>
      </rPr>
      <t>)</t>
    </r>
  </si>
  <si>
    <t>Sandra Rodrigues</t>
  </si>
  <si>
    <t>Município de Valongo</t>
  </si>
  <si>
    <t>Brinquedo Tradicional Português - Uma História a Descobrir no Concelho de Valongo</t>
  </si>
  <si>
    <t>António Jorge Nunes Ribeiro, Américo Jacinto de Sousa Marques, Carlos Aníbal Marques de Magalhães</t>
  </si>
  <si>
    <t>Junta de Freguesia de Alfena</t>
  </si>
  <si>
    <t>A Arte de Fabricar Brinquedos em Portugal - O Contributo de Alfena e Ermesinde</t>
  </si>
  <si>
    <t>A Arte de Fabricar Brinquedos em Portugal - O Brinquedo de Plástico</t>
  </si>
  <si>
    <t>António Jorge Nunes Ribeiro, Américo Jacinto de Sousa Marques, Carlos Aníbal Marques de Magalhães, Victor José Ferreira Martins</t>
  </si>
  <si>
    <t>Galinha a pôr Ovos</t>
  </si>
  <si>
    <t>Macacos Equilibristas</t>
  </si>
  <si>
    <t>Two articulate plastic monkeys on top of a stick</t>
  </si>
  <si>
    <t>Pulling/pushing, the monkeys move legs and arms</t>
  </si>
  <si>
    <t>Ribeirinho</t>
  </si>
  <si>
    <t>Fábrica de Pentes do Ribeirinho, Lda</t>
  </si>
  <si>
    <t>Guimarãs</t>
  </si>
  <si>
    <t>8x2x25</t>
  </si>
  <si>
    <t>Blue Jeep w/ golden seats</t>
  </si>
  <si>
    <t>no action</t>
  </si>
  <si>
    <t>AML</t>
  </si>
  <si>
    <t>20-30 (2026)</t>
  </si>
  <si>
    <t>PG010077</t>
  </si>
  <si>
    <t>A Vaquinha Teimosa</t>
  </si>
  <si>
    <t>Farmer and cow</t>
  </si>
  <si>
    <t>18x1x7</t>
  </si>
  <si>
    <t>Hercules</t>
  </si>
  <si>
    <t>PG010078</t>
  </si>
  <si>
    <t>PG010079</t>
  </si>
  <si>
    <t>Armindo Moreira Lopes</t>
  </si>
  <si>
    <t>Red typewriter</t>
  </si>
  <si>
    <t>Rotating a disk selects letter, pushing lever, types</t>
  </si>
  <si>
    <t>The METTYPE Junior or METTYPE Portable</t>
  </si>
  <si>
    <t>17.5x25.5x11</t>
  </si>
  <si>
    <t>Oferta André+Carminho</t>
  </si>
  <si>
    <t>50-70 (2025) w/ box</t>
  </si>
  <si>
    <t>PG010080</t>
  </si>
  <si>
    <t>Junior Typewriter</t>
  </si>
  <si>
    <t>Modell 3</t>
  </si>
  <si>
    <t>Black typewriter</t>
  </si>
  <si>
    <t>20.5x22.5x19.5</t>
  </si>
  <si>
    <t>Tin cover</t>
  </si>
  <si>
    <t>47 (24)</t>
  </si>
  <si>
    <t>Balança</t>
  </si>
  <si>
    <t>Small plastic scale</t>
  </si>
  <si>
    <t>10.5x5x11</t>
  </si>
  <si>
    <t>Oficina do Brinquedo Tradicional Português</t>
  </si>
  <si>
    <t>10-20 (2026)</t>
  </si>
  <si>
    <t>Weights objects</t>
  </si>
  <si>
    <t>Transparent Engine</t>
  </si>
  <si>
    <t>Engine works - cylinders move up and down, gearbox</t>
  </si>
  <si>
    <t>Could be purchased completely assembled (no. 100/1) or as a construction box (no. 100)  - our toy</t>
  </si>
  <si>
    <t>25x10x17</t>
  </si>
  <si>
    <t>47 (40)</t>
  </si>
  <si>
    <t>120, 121, 122</t>
  </si>
  <si>
    <t>34, 152, 158, 159</t>
  </si>
  <si>
    <t>54, 73, 114, 126, 130, 134, 137, 140, 207, 212, 320</t>
  </si>
  <si>
    <t>PG010081</t>
  </si>
  <si>
    <t>PG010082</t>
  </si>
  <si>
    <t>PG010083</t>
  </si>
  <si>
    <t>PG010088</t>
  </si>
  <si>
    <t>PG010084</t>
  </si>
  <si>
    <t>PG010085</t>
  </si>
  <si>
    <t>PG010086</t>
  </si>
  <si>
    <t>PG010087</t>
  </si>
  <si>
    <t>139 (122) 140 (159)</t>
  </si>
  <si>
    <t>141 (54)</t>
  </si>
  <si>
    <t>140 (158) 141 (73)</t>
  </si>
  <si>
    <t>141 (122)</t>
  </si>
  <si>
    <t>141 (126)</t>
  </si>
  <si>
    <t>85 (56) 141 (126)</t>
  </si>
  <si>
    <t>140 (34) 141 (130)</t>
  </si>
  <si>
    <t>141 (130)</t>
  </si>
  <si>
    <t>141 (134)</t>
  </si>
  <si>
    <t>141 (137)</t>
  </si>
  <si>
    <t>141 (140)</t>
  </si>
  <si>
    <t>Soldado Andante</t>
  </si>
  <si>
    <t>85 (56) 141 (107)</t>
  </si>
  <si>
    <t>Baquelite Liz</t>
  </si>
  <si>
    <t>Baquelite Liz, Lda</t>
  </si>
  <si>
    <t>Usually attributed to OSUL; "Soldier 31" generally refers to a popular song, often associated with the Portuguese singer Max (Maximiano de Sousa), which narrates the adventures of a clumsy soldier with large boots.</t>
  </si>
  <si>
    <t>Léon Petit</t>
  </si>
  <si>
    <t>Léon Petit - Fábrica de Artigos de Celulóide, Baquelite e Galatite</t>
  </si>
  <si>
    <t>Rua 31, nº 908 Espinho</t>
  </si>
  <si>
    <t>Menino em cama com penico</t>
  </si>
  <si>
    <t>141 (114)</t>
  </si>
  <si>
    <t xml:space="preserve">Rádio Mealheiro </t>
  </si>
  <si>
    <t>141 (320)</t>
  </si>
  <si>
    <t>There was an earlier tin version by JAJ 140 (137)</t>
  </si>
  <si>
    <t>Back reads: " Guardando o meu dinheirinho serei um homenzinho"</t>
  </si>
  <si>
    <t>The toy is pre-war ("Germany"), whereas the later production reads "made in Western Germany"; instructions in 47 (24)</t>
  </si>
  <si>
    <t>This is a second version w/ stickers that are not shown in the 1956 catalogue</t>
  </si>
  <si>
    <t>The most common version is decorated w/ US army; it is a Jeep Willys</t>
  </si>
  <si>
    <t>The toy is similar (but not equal) to the Easter Bunny Truck made by Plasticville, USA (company created in 1947), issued in 1950</t>
  </si>
  <si>
    <t>There is a similar toy (not equal) made in Italy in the 1950s</t>
  </si>
  <si>
    <t>We have 2, one in unopened package; various colour combinations</t>
  </si>
  <si>
    <t>Remade in the 1980s w/ a new box and renamed Ford Fairlane</t>
  </si>
  <si>
    <t>Three versions exist: taxi, touring, fire brigade</t>
  </si>
  <si>
    <t>The tank reads "Shell", version in catalogue of 1956 reads  "Atlantic"</t>
  </si>
  <si>
    <t>Similar (but not equal) to a Gunthermann porter toy (no. 840) made in the 1950s named "Ted Cap Champion"  46 (137)</t>
  </si>
  <si>
    <t>Pat. 51978, 37174; there is an earlier version (1950s) w/ different lighthouses and box, named "Liberty Ferry" distributed by Frankonia</t>
  </si>
  <si>
    <t>In the catologue of 1956, no. 472, in package ref.23</t>
  </si>
  <si>
    <t>Various colours</t>
  </si>
  <si>
    <t xml:space="preserve">A very similar toy was also made by Baquelite Liz 141 (212) in the 1960s - could this be it?; a similar toy named "Pot-me-Doll" was manufactured by Empire Toys (Hong-Kong) in the early 1960s </t>
  </si>
  <si>
    <t>Can have different colours; in the catalogue of 1955 comes without logs (we also have also this version with clockwork, no. 1002 toy 643); this is a later version, the packaging  has a later logo</t>
  </si>
  <si>
    <t>White VW traffic brigade</t>
  </si>
  <si>
    <t>Drunken w/ wine glass in mouth</t>
  </si>
  <si>
    <t>When pushed cow and farmer move</t>
  </si>
  <si>
    <t>Very good (it's a cardboard)</t>
  </si>
  <si>
    <t>This is a later version, packaging with later logo</t>
  </si>
  <si>
    <t>We have two, the second without packaging</t>
  </si>
  <si>
    <t>One monkey has a brioken paw</t>
  </si>
  <si>
    <t>Box from this model?</t>
  </si>
  <si>
    <t>Wind-screen missing</t>
  </si>
  <si>
    <t>We have 2, in different colour combinations; horse ears missing</t>
  </si>
  <si>
    <t>Could also be no. 458 (catalogue 1956)</t>
  </si>
  <si>
    <t>Two versions: one clockwork (grey toy) and one battery powered (ours)</t>
  </si>
  <si>
    <t>Submarine from Walt Disney's "20,000 Leagues under the Sea"</t>
  </si>
  <si>
    <t>Scarcity 7/10; desirability 5/6</t>
  </si>
  <si>
    <t>Catalogue shows a man without hat</t>
  </si>
  <si>
    <t>Black or brown rubber ears; scarcity 3.5/5</t>
  </si>
  <si>
    <t>Box has two trademarks: JOJA and Alps</t>
  </si>
  <si>
    <t>Scarcity 3.5/5</t>
  </si>
  <si>
    <t>Fish is new</t>
  </si>
  <si>
    <t>We have 3/5 fishes</t>
  </si>
  <si>
    <t>Plastic covers of levers are missing</t>
  </si>
  <si>
    <t>Rust in battery cover and compartment</t>
  </si>
  <si>
    <t>There is also a friction version</t>
  </si>
  <si>
    <t>Several similar models (including one called "Neptune"; scarcity 4/10; Marx sold a similar toy, named "Catfish" 101 (212)</t>
  </si>
  <si>
    <t>Scarcity 10/10; desirability 6/6; comes with 4 fishes; box has a trademark of a black elipse with white letters inside "Rethel Enterprises Inc." (toy distributor) and below "made in Japan"; toy reads: "let's enjoy fishing with bear's family and save a million!"; pat. 335986, 335987, 3322601</t>
  </si>
  <si>
    <t>Box reads: " He fishes where he shouldn't He gets in trouble Hours of fun and action" "Billy fishes for 15 minutes on one winding of the Clockwork"</t>
  </si>
  <si>
    <t>Scarcity 3/10  desirability 4/6</t>
  </si>
  <si>
    <t>Based on the previous  "Avion Louping Telecommande", ref 2008; initial cost: 419 francs</t>
  </si>
  <si>
    <t>Version 1 - the helicopter moves anti-clockwise; version 2 (ours) - has two rectangular recesses  in the landscape; version 3 - red rotors,  base is striped in red and white</t>
  </si>
  <si>
    <t>Name in box "mischievous monkey" and in toy "mischief monkey" are different; scarcity 5/10 desirability 4/6</t>
  </si>
  <si>
    <t>Box has trademark "AMICO Imports";  there is a variant with bunnies eating carrots</t>
  </si>
  <si>
    <t>One similar toy was opened to show mechanism; box has trademark "AMICO Imports"</t>
  </si>
  <si>
    <t>"Micro computer game dinamic multi-screen LSI-CPU FIP INDEX PANEL"</t>
  </si>
  <si>
    <t>Original manufacturer? replica made by Tucher &amp; Walther, Germany</t>
  </si>
  <si>
    <t>There are similar toys made in Hong Kong (no.201, logo C with a crown?), in Korea (MTU) (w/ plastic legs) and in Taiwan, Republic of China. Ours does not have the logos  at the same places, and no fixed key.</t>
  </si>
  <si>
    <t>Made in Singapore</t>
  </si>
  <si>
    <t>Ears are not original (not evident if they were plastic or cloth)</t>
  </si>
  <si>
    <t>One tin tab is  broken</t>
  </si>
  <si>
    <t>Head scarf w/ different colours?</t>
  </si>
  <si>
    <t>Eggs are missing</t>
  </si>
  <si>
    <t>Original tail is missing</t>
  </si>
  <si>
    <t>There is a similar japanese toy? (116 (no.30))</t>
  </si>
  <si>
    <t>There is a similar japanese toy? (116 (no.31))</t>
  </si>
  <si>
    <t>Made by Talbot Electronics (Hong Kong), 1980; descrption of the toy in box, instructions on the bottom of the toy; there is a similar toy called "Match me" made by Kingsford Ltd, 1979, and  another called "Encore" by Toytronic, 1979</t>
  </si>
  <si>
    <t>Box has ST logo</t>
  </si>
  <si>
    <t>Green scarf is missing</t>
  </si>
  <si>
    <t>Made by ARORA (Taiwan), no. 680; also ,made in black; see toy no. 519 for the working principle</t>
  </si>
  <si>
    <t>Scarcity 6/10</t>
  </si>
  <si>
    <t>Some boxes have Linemar trademark; scarcity 4/10</t>
  </si>
  <si>
    <t>Similar bears are represented in 126</t>
  </si>
  <si>
    <t>Tail missing (?); made in Occupied Japan</t>
  </si>
  <si>
    <t>Tail is new</t>
  </si>
  <si>
    <t>Catalogue says:" he scampers here, there and everywhere"</t>
  </si>
  <si>
    <t>We have a second toy (new "balls")</t>
  </si>
  <si>
    <t xml:space="preserve">Toy and box have two trademarks: Nakayama and ISHI, as the ST logo </t>
  </si>
  <si>
    <t>Brit. pat 712557</t>
  </si>
  <si>
    <t>One support is half-broken</t>
  </si>
  <si>
    <t>Pollock's Museum London</t>
  </si>
  <si>
    <t>There are reproductions (w/ a different litography of the alley)</t>
  </si>
  <si>
    <t>Box has two trademarks: Cragstan and Alps; scarcity 3/10; desirability 2/6</t>
  </si>
  <si>
    <t>Toy has TN trademark, box has two: TN and AMICO; scarcity 2/10</t>
  </si>
  <si>
    <t>Scarcity 3/10</t>
  </si>
  <si>
    <t>Control panel can be red (ours) or blue; cars can have fifferent colours</t>
  </si>
  <si>
    <t>We have the visor</t>
  </si>
  <si>
    <t>We have an extra missile</t>
  </si>
  <si>
    <t>Box and toy have two trademarks: Cragstan and Y in clover; scarcity 1/10; desirability 2/6</t>
  </si>
  <si>
    <t>Box reads "the fascinating marble game"; box and instructions in German, English, French and Italian.  Instructions: first sentence (??) A - disc to throw the desired game (?);  top colour - first marble (?); B - Marble transportation to be pushed once - 3 marbles are transported at the same time at the top; C - Telesteering of the 3 coloured partitions: O - do not press - the marble has free run; arrow down - press vertically - the marble runs into the partition;  curvilinear arrow down - press slantingly (obliqually) - the marble is left free</t>
  </si>
  <si>
    <t>There is a variant with a "time control" rotating knob</t>
  </si>
  <si>
    <t xml:space="preserve">Elektro Synchromatic </t>
  </si>
  <si>
    <t>Green tin Packard</t>
  </si>
  <si>
    <t>26.5x11x8</t>
  </si>
  <si>
    <t>CRISCE (antiques) Barcelona</t>
  </si>
  <si>
    <t>May 2026</t>
  </si>
  <si>
    <t>In automatic mode, the car shifts from neutral to first and then to second gear. The car then stops again and reverses, with a red light bulb on the dashboard lighting up with each shift. The push-button gearstick can also be operated manually from the dashboard, with the automatic drive switch located above the rear bumper. The model can be steered via the steering wheel as well as via the manual control unit and has not been reissued since it was discontinued in 1969.</t>
  </si>
  <si>
    <t>500-800 (2025) w/ box</t>
  </si>
  <si>
    <t>Elektro-Construction Tow Truck</t>
  </si>
  <si>
    <t>Can be steered and operated by remote control. The drive for driving as well as for raising and lowering the towing hook is provided by an electric motor; a switch on the chassis of the truck can be used to switch back and forth between driving and working mode. The vehicle has also a mechanical horn with a clockwork mechanism, which is wound up via the underside of the model and operated by a button on the bonnet</t>
  </si>
  <si>
    <t>Red Tow Truck</t>
  </si>
  <si>
    <t>29x10x17</t>
  </si>
  <si>
    <t>Yellow car w/ a couple holding a multicoloured umbrella on a straight track</t>
  </si>
  <si>
    <t>The car moves forward and turns around while umbrella rotates</t>
  </si>
  <si>
    <t>400-450 (2026) w/ boc</t>
  </si>
  <si>
    <t>Roller-Coaster</t>
  </si>
  <si>
    <t>Track with a wagon rolling down and a kid at the end</t>
  </si>
  <si>
    <t>The wagon rolls down, when it arrives at the end, the kid raises the tray and the wagon moves to the elevator, which is manually operated</t>
  </si>
  <si>
    <t>3 (538)</t>
  </si>
  <si>
    <t>Very good w/ instructions (poor)</t>
  </si>
  <si>
    <t>Side mirror missing; two original wooden pegs missing (three new); some rust in battery compartment; the light of the gear does not always work</t>
  </si>
  <si>
    <t>66 (205) 75 (37)</t>
  </si>
  <si>
    <t>66 (396) 92 (352,356)</t>
  </si>
  <si>
    <t>One source (92) says that Schuco Elekro-Construction truck first entered the Schuco range in 1949 (it started with the dumper version) and was built until 1960 (until 1955, the door contained a label - ours is the newer version); another source (66) mentions that the toy versions were launched in 1955; the toy was very expensive, around 70 DM, which was the average weekly wage of a German skilled worker - so, they sold little. Modelled after the real Ford FK 3000; Reissued in limited edition of 1500 pieces from 2005 with a new box (value 2025 250€-450€)</t>
  </si>
  <si>
    <t>66 (392) 92 (344) 93 (42)</t>
  </si>
  <si>
    <t>The toy is based on the  Packard Hawk lauched in 1957 (but the convertible version was never commercialized), which was dropped in 1958 along with the Packard name; made in lime green, red and cream; we have the older version, a red stripe on top of the doors; the operating time can be extended to 60 hours using the Schuco fuel pump 5506 and the Schuco transformer 5980 (side hole)</t>
  </si>
  <si>
    <t>Cable for linking the battery command to the truck is missing</t>
  </si>
  <si>
    <t>54x4x17</t>
  </si>
  <si>
    <t>31.5x6x10</t>
  </si>
  <si>
    <t>Considered one of the most desired and rare early pieces of the manufacturer; Usually, the kid at the end is missing; a version with another decoration (looks newer) has been attributed to the 1930's; according to sources, it started to be manufactured in 1928 or 1930; two versions, a long one (ours), a shorter one (37 cm)</t>
  </si>
  <si>
    <t>Wonder M.G. Car</t>
  </si>
  <si>
    <t xml:space="preserve"> Good w/ instructions (excellent) and accessories</t>
  </si>
  <si>
    <t>Good  (part of one side of the lid missing)</t>
  </si>
  <si>
    <t>PG010089</t>
  </si>
  <si>
    <t>PG010090</t>
  </si>
  <si>
    <t>PG010091</t>
  </si>
  <si>
    <t>PG010092</t>
  </si>
  <si>
    <t>PG010093</t>
  </si>
  <si>
    <t>PG010094</t>
  </si>
  <si>
    <t>PG010095</t>
  </si>
  <si>
    <t>PG010096</t>
  </si>
  <si>
    <t>PG010097</t>
  </si>
  <si>
    <t>PG010098</t>
  </si>
  <si>
    <t>May2026</t>
  </si>
  <si>
    <t>Two chinesse, one making acrobacies</t>
  </si>
  <si>
    <t xml:space="preserve">The hat is missing; </t>
  </si>
  <si>
    <t>We have another similar toy, with the difference that the pushbutton is behind the laughing man; this was made by OSKAR in Italy (operated in 1950s–1980s and made various bobbleheads and figurines</t>
  </si>
  <si>
    <t>Chinese Circus Acrobats</t>
  </si>
  <si>
    <t>one plastic red/black strip  is new</t>
  </si>
  <si>
    <t>66 (206) 75 (69)</t>
  </si>
  <si>
    <t>800-1800 (2025) w/ box</t>
  </si>
  <si>
    <t>June2026</t>
  </si>
  <si>
    <t>1500-2500</t>
  </si>
  <si>
    <t>Very rare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</si>
</sst>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scheme val="minor"/>
    </font>
    <font>
      <b/>
      <sz val="11"/>
      <color theme="1"/>
      <name val="Calibri"/>
      <family val="2"/>
      <scheme val="minor"/>
    </font>
    <font>
      <b/>
      <sz val="12"/>
      <color theme="1"/>
      <name val="Calibri"/>
      <family val="2"/>
      <scheme val="minor"/>
    </font>
    <font>
      <i/>
      <sz val="11"/>
      <color theme="1"/>
      <name val="Calibri"/>
      <family val="2"/>
      <scheme val="minor"/>
    </font>
    <font>
      <sz val="9"/>
      <color rgb="FF454545"/>
      <name val="Arial"/>
      <family val="2"/>
    </font>
    <font>
      <sz val="9"/>
      <color rgb="FF4B4F58"/>
      <name val="Segoe UI"/>
      <family val="2"/>
    </font>
    <font>
      <b/>
      <sz val="11"/>
      <name val="Calibri"/>
      <family val="2"/>
      <scheme val="minor"/>
    </font>
    <font>
      <sz val="11"/>
      <color theme="2"/>
      <name val="Calibri"/>
      <family val="2"/>
      <scheme val="minor"/>
    </font>
    <font>
      <sz val="11"/>
      <name val="Calibri"/>
      <family val="2"/>
      <scheme val="minor"/>
    </font>
    <font>
      <b/>
      <sz val="11"/>
      <color theme="0"/>
      <name val="Calibri"/>
      <family val="2"/>
      <scheme val="minor"/>
    </font>
    <font>
      <sz val="11"/>
      <color rgb="FF000000"/>
      <name val="Calibri"/>
      <family val="2"/>
      <scheme val="minor"/>
    </font>
    <font>
      <i/>
      <sz val="10"/>
      <color theme="1"/>
      <name val="Calibri"/>
      <family val="2"/>
      <scheme val="minor"/>
    </font>
    <font>
      <sz val="12"/>
      <color rgb="FF000000"/>
      <name val="Arial"/>
      <family val="2"/>
    </font>
    <font>
      <u/>
      <sz val="11"/>
      <color theme="10"/>
      <name val="Calibri"/>
      <family val="2"/>
      <scheme val="minor"/>
    </font>
    <font>
      <sz val="11"/>
      <color rgb="FF000000"/>
      <name val="Calibri"/>
      <family val="2"/>
      <scheme val="minor"/>
    </font>
    <font>
      <sz val="11"/>
      <color rgb="FF111111"/>
      <name val="Calibri"/>
      <family val="2"/>
      <scheme val="minor"/>
    </font>
    <font>
      <sz val="6"/>
      <color rgb="FF1D1D1B"/>
      <name val="Poppins"/>
    </font>
    <font>
      <b/>
      <sz val="6"/>
      <color rgb="FF1D1D1B"/>
      <name val="Poppins"/>
    </font>
    <font>
      <sz val="11"/>
      <color rgb="FF353C41"/>
      <name val="Calibri"/>
      <family val="2"/>
      <scheme val="minor"/>
    </font>
    <font>
      <sz val="11"/>
      <name val="Calibri"/>
      <family val="2"/>
      <scheme val="minor"/>
    </font>
    <font>
      <sz val="11"/>
      <color rgb="FF333333"/>
      <name val="Calibri"/>
      <family val="2"/>
      <scheme val="minor"/>
    </font>
    <font>
      <sz val="11"/>
      <color rgb="FF202122"/>
      <name val="Calibri"/>
      <family val="2"/>
      <scheme val="minor"/>
    </font>
    <font>
      <sz val="11"/>
      <color rgb="FF212124"/>
      <name val="Calibri"/>
      <family val="2"/>
      <scheme val="minor"/>
    </font>
    <font>
      <i/>
      <sz val="11"/>
      <name val="Calibri"/>
      <family val="2"/>
      <scheme val="minor"/>
    </font>
    <font>
      <u/>
      <sz val="11"/>
      <color theme="1"/>
      <name val="Calibri"/>
      <family val="2"/>
      <scheme val="minor"/>
    </font>
    <font>
      <sz val="11"/>
      <color rgb="FF3E3E3E"/>
      <name val="Calibri"/>
      <family val="2"/>
      <scheme val="minor"/>
    </font>
    <font>
      <i/>
      <sz val="11"/>
      <color rgb="FF000000"/>
      <name val="Calibri"/>
      <family val="2"/>
      <scheme val="minor"/>
    </font>
    <font>
      <i/>
      <sz val="11"/>
      <color rgb="FF202122"/>
      <name val="Calibri"/>
      <family val="2"/>
      <scheme val="minor"/>
    </font>
    <font>
      <sz val="11"/>
      <color rgb="FF303030"/>
      <name val="Calibri"/>
      <family val="2"/>
      <scheme val="minor"/>
    </font>
    <font>
      <sz val="6"/>
      <color rgb="FF000000"/>
      <name val="Arial"/>
      <family val="2"/>
    </font>
    <font>
      <sz val="5"/>
      <color rgb="FF444444"/>
      <name val="Open Sans"/>
      <family val="2"/>
    </font>
    <font>
      <sz val="11"/>
      <color rgb="FF000000"/>
      <name val="Calibri"/>
      <family val="2"/>
    </font>
    <font>
      <b/>
      <sz val="6"/>
      <color rgb="FF0A0A0A"/>
      <name val="Arial"/>
      <family val="2"/>
    </font>
    <font>
      <sz val="6"/>
      <color rgb="FF0A0A0A"/>
      <name val="Arial"/>
      <family val="2"/>
    </font>
    <font>
      <sz val="9"/>
      <color rgb="FF0A0A0A"/>
      <name val="Helvetica_Neue_Medium"/>
    </font>
    <font>
      <sz val="14"/>
      <color rgb="FF000000"/>
      <name val="Times New Roman"/>
      <family val="1"/>
    </font>
    <font>
      <b/>
      <sz val="6"/>
      <color theme="1"/>
      <name val="Arial"/>
      <family val="2"/>
    </font>
    <font>
      <sz val="6"/>
      <color rgb="FF352B1D"/>
      <name val="Raleway"/>
    </font>
    <font>
      <sz val="6"/>
      <color rgb="FF202122"/>
      <name val="Arial"/>
      <family val="2"/>
    </font>
    <font>
      <sz val="14"/>
      <color rgb="FF333333"/>
      <name val="Roboto"/>
    </font>
    <font>
      <sz val="11"/>
      <color rgb="FF2B3136"/>
      <name val="Calibri"/>
      <family val="2"/>
      <scheme val="minor"/>
    </font>
    <font>
      <sz val="11"/>
      <color rgb="FF354A54"/>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3" fillId="0" borderId="0" applyNumberFormat="0" applyFill="0" applyBorder="0" applyAlignment="0" applyProtection="0"/>
  </cellStyleXfs>
  <cellXfs count="106">
    <xf numFmtId="0" fontId="0" fillId="0" borderId="0" xfId="0"/>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0" xfId="0" applyAlignment="1">
      <alignment wrapText="1"/>
    </xf>
    <xf numFmtId="0" fontId="1"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1"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wrapText="1"/>
    </xf>
    <xf numFmtId="0" fontId="4" fillId="0" borderId="0" xfId="0" applyFont="1" applyAlignment="1">
      <alignment vertical="center" wrapText="1"/>
    </xf>
    <xf numFmtId="0" fontId="5" fillId="0" borderId="0" xfId="0" applyFont="1" applyAlignment="1">
      <alignment vertical="center" wrapText="1"/>
    </xf>
    <xf numFmtId="49" fontId="1" fillId="2" borderId="1" xfId="0" applyNumberFormat="1" applyFont="1" applyFill="1" applyBorder="1" applyAlignment="1">
      <alignment horizontal="center" vertical="center" wrapText="1"/>
    </xf>
    <xf numFmtId="0" fontId="1" fillId="2" borderId="0" xfId="0" applyFont="1" applyFill="1" applyAlignment="1">
      <alignment horizontal="center" wrapText="1"/>
    </xf>
    <xf numFmtId="0" fontId="1" fillId="2" borderId="2" xfId="0" applyFont="1" applyFill="1" applyBorder="1" applyAlignment="1">
      <alignment horizontal="center" vertical="center"/>
    </xf>
    <xf numFmtId="0" fontId="0" fillId="2" borderId="1" xfId="0" applyFont="1" applyFill="1" applyBorder="1" applyAlignment="1">
      <alignment horizontal="center" vertical="center" wrapText="1"/>
    </xf>
    <xf numFmtId="0" fontId="6" fillId="2" borderId="0" xfId="0" applyFont="1" applyFill="1" applyAlignment="1">
      <alignment horizontal="center" vertical="center"/>
    </xf>
    <xf numFmtId="2" fontId="1" fillId="2" borderId="1" xfId="0" applyNumberFormat="1" applyFont="1" applyFill="1" applyBorder="1" applyAlignment="1">
      <alignment horizontal="center" vertical="center" wrapText="1"/>
    </xf>
    <xf numFmtId="2" fontId="1" fillId="2" borderId="1" xfId="0" applyNumberFormat="1" applyFont="1" applyFill="1" applyBorder="1" applyAlignment="1">
      <alignment horizontal="center" vertical="center"/>
    </xf>
    <xf numFmtId="0" fontId="0" fillId="0" borderId="0" xfId="0" applyAlignment="1">
      <alignment horizontal="center" vertical="center"/>
    </xf>
    <xf numFmtId="0" fontId="8" fillId="0" borderId="0" xfId="0" applyFont="1" applyAlignment="1">
      <alignment horizontal="left" vertical="center"/>
    </xf>
    <xf numFmtId="0" fontId="8" fillId="0" borderId="0" xfId="0" applyFont="1" applyAlignment="1">
      <alignment horizontal="left" vertical="center" wrapText="1"/>
    </xf>
    <xf numFmtId="0" fontId="0" fillId="0" borderId="0" xfId="0" applyAlignment="1">
      <alignment horizontal="center"/>
    </xf>
    <xf numFmtId="0" fontId="0" fillId="4" borderId="4" xfId="0" applyFill="1" applyBorder="1" applyAlignment="1">
      <alignment horizontal="center" vertical="center"/>
    </xf>
    <xf numFmtId="0" fontId="9" fillId="5" borderId="3" xfId="0" applyFont="1" applyFill="1" applyBorder="1" applyAlignment="1">
      <alignment horizontal="center" vertical="center"/>
    </xf>
    <xf numFmtId="0" fontId="0" fillId="3" borderId="5" xfId="0" applyFill="1" applyBorder="1" applyAlignment="1">
      <alignment horizontal="center" vertical="center"/>
    </xf>
    <xf numFmtId="0" fontId="7" fillId="0" borderId="0" xfId="0" applyFont="1" applyAlignment="1">
      <alignment horizontal="center" vertical="center"/>
    </xf>
    <xf numFmtId="0" fontId="8" fillId="3" borderId="5" xfId="0" applyFont="1" applyFill="1" applyBorder="1" applyAlignment="1">
      <alignment horizontal="center" vertical="center"/>
    </xf>
    <xf numFmtId="0" fontId="0" fillId="0" borderId="0" xfId="0" applyAlignment="1">
      <alignment horizontal="center" vertical="center" wrapText="1"/>
    </xf>
    <xf numFmtId="0" fontId="3" fillId="0" borderId="0" xfId="0" applyFont="1" applyAlignment="1">
      <alignment horizontal="center" vertical="center" wrapText="1"/>
    </xf>
    <xf numFmtId="49" fontId="0" fillId="0" borderId="0" xfId="0" applyNumberFormat="1" applyAlignment="1">
      <alignment horizontal="center" vertical="center"/>
    </xf>
    <xf numFmtId="0" fontId="0" fillId="0" borderId="0" xfId="0" applyFill="1" applyBorder="1" applyAlignment="1">
      <alignment horizontal="center" vertical="center" wrapText="1"/>
    </xf>
    <xf numFmtId="0" fontId="0" fillId="0" borderId="0" xfId="0" applyFont="1" applyAlignment="1">
      <alignment horizontal="center" vertical="center" wrapText="1"/>
    </xf>
    <xf numFmtId="49" fontId="0" fillId="0" borderId="0" xfId="0" applyNumberFormat="1" applyAlignment="1">
      <alignment horizontal="center" vertical="center" wrapText="1"/>
    </xf>
    <xf numFmtId="0" fontId="10" fillId="0" borderId="0" xfId="0" applyFont="1" applyAlignment="1">
      <alignment horizontal="center" vertical="center" wrapText="1"/>
    </xf>
    <xf numFmtId="0" fontId="3" fillId="0" borderId="0" xfId="0" applyFont="1" applyAlignment="1">
      <alignment horizontal="center" vertical="center"/>
    </xf>
    <xf numFmtId="17" fontId="0" fillId="0" borderId="0" xfId="0" applyNumberFormat="1" applyAlignment="1">
      <alignment horizontal="center" vertical="center" wrapText="1"/>
    </xf>
    <xf numFmtId="0" fontId="12" fillId="0" borderId="0" xfId="0" applyFont="1"/>
    <xf numFmtId="0" fontId="13" fillId="0" borderId="0" xfId="1" applyAlignment="1">
      <alignment wrapText="1"/>
    </xf>
    <xf numFmtId="0" fontId="13" fillId="0" borderId="0" xfId="1" applyAlignment="1">
      <alignment horizontal="center" vertical="center" wrapText="1"/>
    </xf>
    <xf numFmtId="0" fontId="13" fillId="0" borderId="0" xfId="1" applyFill="1" applyAlignment="1">
      <alignment horizontal="center" vertical="center"/>
    </xf>
    <xf numFmtId="0" fontId="13" fillId="0" borderId="0" xfId="1" applyAlignment="1">
      <alignment vertical="center"/>
    </xf>
    <xf numFmtId="0" fontId="13" fillId="0" borderId="0" xfId="1" applyAlignment="1">
      <alignment horizontal="center" vertical="center"/>
    </xf>
    <xf numFmtId="0" fontId="13" fillId="0" borderId="0" xfId="1" applyFill="1" applyBorder="1" applyAlignment="1">
      <alignment horizontal="center" vertical="center" wrapText="1"/>
    </xf>
    <xf numFmtId="0" fontId="14" fillId="0" borderId="0" xfId="0" applyFont="1" applyAlignment="1">
      <alignment horizontal="center" vertical="center" wrapText="1"/>
    </xf>
    <xf numFmtId="0" fontId="13" fillId="0" borderId="0" xfId="1" applyFill="1" applyAlignment="1">
      <alignment vertical="center"/>
    </xf>
    <xf numFmtId="0" fontId="0" fillId="0" borderId="0" xfId="0" applyFont="1" applyAlignment="1">
      <alignment horizontal="center" vertical="center"/>
    </xf>
    <xf numFmtId="0" fontId="15" fillId="0" borderId="0" xfId="0" applyFont="1" applyAlignment="1">
      <alignment horizontal="center" vertical="center" wrapText="1"/>
    </xf>
    <xf numFmtId="17" fontId="0" fillId="0" borderId="0" xfId="0" applyNumberFormat="1" applyAlignment="1">
      <alignment horizontal="center" vertical="center"/>
    </xf>
    <xf numFmtId="0" fontId="10" fillId="0" borderId="0" xfId="0" applyFont="1" applyAlignment="1">
      <alignment wrapText="1"/>
    </xf>
    <xf numFmtId="0" fontId="10" fillId="0" borderId="0" xfId="0" applyFont="1"/>
    <xf numFmtId="0" fontId="8" fillId="0" borderId="0" xfId="0" applyFont="1" applyAlignment="1">
      <alignment horizontal="center" vertical="center"/>
    </xf>
    <xf numFmtId="0" fontId="10" fillId="0" borderId="0" xfId="0" applyFont="1" applyAlignment="1">
      <alignment horizontal="center" vertical="center"/>
    </xf>
    <xf numFmtId="0" fontId="1" fillId="0" borderId="0" xfId="0" applyFont="1"/>
    <xf numFmtId="0" fontId="8" fillId="0" borderId="0" xfId="0" applyFont="1" applyAlignment="1">
      <alignment horizontal="center" vertical="center" wrapText="1"/>
    </xf>
    <xf numFmtId="0" fontId="8" fillId="0" borderId="0" xfId="0" applyFont="1" applyAlignment="1">
      <alignment vertical="center" wrapText="1"/>
    </xf>
    <xf numFmtId="49" fontId="0" fillId="0" borderId="0" xfId="0" applyNumberFormat="1" applyFont="1" applyAlignment="1">
      <alignment horizontal="center" vertical="center" wrapText="1"/>
    </xf>
    <xf numFmtId="0" fontId="16" fillId="0" borderId="0" xfId="0" applyFont="1"/>
    <xf numFmtId="0" fontId="18" fillId="0" borderId="0" xfId="0" applyFont="1"/>
    <xf numFmtId="0" fontId="19" fillId="0" borderId="0" xfId="0" applyFont="1" applyAlignment="1">
      <alignment horizontal="center" vertical="center" wrapText="1"/>
    </xf>
    <xf numFmtId="49" fontId="1" fillId="2" borderId="0" xfId="0" applyNumberFormat="1" applyFont="1" applyFill="1" applyAlignment="1">
      <alignment horizontal="center" vertical="center"/>
    </xf>
    <xf numFmtId="16" fontId="0" fillId="0" borderId="0" xfId="0" applyNumberFormat="1" applyAlignment="1">
      <alignment horizontal="center" vertical="center"/>
    </xf>
    <xf numFmtId="0" fontId="23" fillId="0" borderId="0" xfId="0" applyFont="1" applyAlignment="1">
      <alignment horizontal="center" vertical="center" wrapText="1"/>
    </xf>
    <xf numFmtId="0" fontId="0" fillId="0" borderId="0" xfId="0" applyFont="1"/>
    <xf numFmtId="0" fontId="24" fillId="0" borderId="0" xfId="0" applyFont="1"/>
    <xf numFmtId="49" fontId="0" fillId="0" borderId="0" xfId="0" applyNumberFormat="1" applyFont="1" applyAlignment="1">
      <alignment horizontal="center" vertical="center"/>
    </xf>
    <xf numFmtId="0" fontId="1" fillId="0" borderId="0" xfId="0" applyFont="1" applyAlignment="1">
      <alignment horizontal="center" vertical="center"/>
    </xf>
    <xf numFmtId="0" fontId="25" fillId="0" borderId="0" xfId="0" applyFont="1" applyAlignment="1">
      <alignment horizontal="center" wrapText="1"/>
    </xf>
    <xf numFmtId="0" fontId="0" fillId="0" borderId="0" xfId="0" applyFont="1" applyAlignment="1">
      <alignment horizontal="center" wrapText="1"/>
    </xf>
    <xf numFmtId="0" fontId="8" fillId="0" borderId="0" xfId="0" applyFont="1" applyAlignment="1">
      <alignment horizontal="center" wrapText="1"/>
    </xf>
    <xf numFmtId="0" fontId="26" fillId="0" borderId="0" xfId="0" applyFont="1" applyAlignment="1">
      <alignment horizontal="center" vertical="center"/>
    </xf>
    <xf numFmtId="0" fontId="0" fillId="0" borderId="0" xfId="0" applyFont="1" applyAlignment="1">
      <alignment vertical="center"/>
    </xf>
    <xf numFmtId="0" fontId="0" fillId="0" borderId="0" xfId="0" applyFont="1" applyAlignment="1">
      <alignment horizontal="center"/>
    </xf>
    <xf numFmtId="17" fontId="0" fillId="0" borderId="0" xfId="0" applyNumberFormat="1" applyFont="1" applyAlignment="1">
      <alignment horizontal="center" vertical="center"/>
    </xf>
    <xf numFmtId="0" fontId="13" fillId="0" borderId="0" xfId="1"/>
    <xf numFmtId="0" fontId="29" fillId="0" borderId="0" xfId="0" applyFont="1"/>
    <xf numFmtId="0" fontId="0" fillId="6" borderId="5" xfId="0" applyFill="1" applyBorder="1" applyAlignment="1">
      <alignment horizontal="center" vertical="center"/>
    </xf>
    <xf numFmtId="0" fontId="13" fillId="0" borderId="0" xfId="1" applyAlignment="1">
      <alignment horizontal="center" wrapText="1"/>
    </xf>
    <xf numFmtId="0" fontId="30" fillId="0" borderId="0" xfId="0" applyFont="1"/>
    <xf numFmtId="0" fontId="31" fillId="0" borderId="0" xfId="0" applyFont="1"/>
    <xf numFmtId="49" fontId="0" fillId="0" borderId="0" xfId="0" applyNumberFormat="1" applyAlignment="1">
      <alignment vertical="center"/>
    </xf>
    <xf numFmtId="0" fontId="32" fillId="0" borderId="0" xfId="0" applyFont="1"/>
    <xf numFmtId="0" fontId="33" fillId="0" borderId="0" xfId="0" applyFont="1"/>
    <xf numFmtId="0" fontId="0" fillId="4" borderId="0" xfId="0" applyFill="1" applyBorder="1" applyAlignment="1">
      <alignment horizontal="center" vertical="center"/>
    </xf>
    <xf numFmtId="0" fontId="0" fillId="4" borderId="4" xfId="0" applyFill="1" applyBorder="1" applyAlignment="1">
      <alignment horizontal="center"/>
    </xf>
    <xf numFmtId="0" fontId="34" fillId="0" borderId="0" xfId="0" applyFont="1" applyAlignment="1">
      <alignment wrapText="1"/>
    </xf>
    <xf numFmtId="0" fontId="35" fillId="0" borderId="0" xfId="0" applyFont="1" applyAlignment="1">
      <alignment wrapText="1"/>
    </xf>
    <xf numFmtId="0" fontId="36" fillId="0" borderId="0" xfId="0" applyFont="1" applyAlignment="1">
      <alignment wrapText="1"/>
    </xf>
    <xf numFmtId="0" fontId="37" fillId="0" borderId="0" xfId="0" applyFont="1"/>
    <xf numFmtId="0" fontId="38" fillId="0" borderId="0" xfId="0" applyFont="1"/>
    <xf numFmtId="0" fontId="18" fillId="0" borderId="0" xfId="0" applyFont="1" applyAlignment="1">
      <alignment horizontal="center" vertical="center" wrapText="1"/>
    </xf>
    <xf numFmtId="0" fontId="20" fillId="0" borderId="0" xfId="0" applyFont="1" applyAlignment="1">
      <alignment horizontal="center" vertical="center"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1" fillId="0" borderId="0" xfId="0" applyFont="1" applyAlignment="1">
      <alignment horizontal="center" vertical="center" wrapText="1"/>
    </xf>
    <xf numFmtId="0" fontId="8" fillId="0" borderId="0" xfId="1" applyFont="1" applyAlignment="1">
      <alignment horizontal="center" vertical="center" wrapText="1"/>
    </xf>
    <xf numFmtId="0" fontId="27" fillId="0" borderId="0" xfId="0" applyFont="1" applyAlignment="1">
      <alignment horizontal="center" vertical="center" wrapText="1"/>
    </xf>
    <xf numFmtId="0" fontId="28" fillId="0" borderId="0" xfId="0" applyFont="1" applyAlignment="1">
      <alignment horizontal="center" vertical="center" wrapText="1"/>
    </xf>
    <xf numFmtId="0" fontId="0" fillId="0" borderId="0" xfId="0" applyFont="1" applyAlignment="1">
      <alignment wrapText="1"/>
    </xf>
    <xf numFmtId="0" fontId="39" fillId="0" borderId="0" xfId="0" applyFont="1" applyAlignment="1">
      <alignment wrapText="1"/>
    </xf>
    <xf numFmtId="0" fontId="20" fillId="0" borderId="0" xfId="0" applyFont="1"/>
    <xf numFmtId="0" fontId="40" fillId="0" borderId="0" xfId="0" applyFont="1" applyAlignment="1">
      <alignment horizontal="center" vertical="center" wrapText="1"/>
    </xf>
    <xf numFmtId="0" fontId="41" fillId="0" borderId="0" xfId="0" applyFont="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Photos\PB190369.JPG" TargetMode="External"/><Relationship Id="rId170" Type="http://schemas.openxmlformats.org/officeDocument/2006/relationships/hyperlink" Target="Photos\PC150026.JPG" TargetMode="External"/><Relationship Id="rId268" Type="http://schemas.openxmlformats.org/officeDocument/2006/relationships/hyperlink" Target="Photos\P1010061.JPG" TargetMode="External"/><Relationship Id="rId475" Type="http://schemas.openxmlformats.org/officeDocument/2006/relationships/hyperlink" Target="Photos\P2030055.JPG" TargetMode="External"/><Relationship Id="rId682" Type="http://schemas.openxmlformats.org/officeDocument/2006/relationships/hyperlink" Target="Photos\PD020130.JPG" TargetMode="External"/><Relationship Id="rId128" Type="http://schemas.openxmlformats.org/officeDocument/2006/relationships/hyperlink" Target="Photos\PB270039.JPG" TargetMode="External"/><Relationship Id="rId335" Type="http://schemas.openxmlformats.org/officeDocument/2006/relationships/hyperlink" Target="Photos\PAA50109.JPG" TargetMode="External"/><Relationship Id="rId542" Type="http://schemas.openxmlformats.org/officeDocument/2006/relationships/hyperlink" Target="Photos\P2050182.JPG" TargetMode="External"/><Relationship Id="rId987" Type="http://schemas.openxmlformats.org/officeDocument/2006/relationships/hyperlink" Target="Photos\PE010054.JPG" TargetMode="External"/><Relationship Id="rId1172" Type="http://schemas.openxmlformats.org/officeDocument/2006/relationships/hyperlink" Target="Photos\PD030212.JPG" TargetMode="External"/><Relationship Id="rId402" Type="http://schemas.openxmlformats.org/officeDocument/2006/relationships/hyperlink" Target="Photos\PAA90194.JPG" TargetMode="External"/><Relationship Id="rId847" Type="http://schemas.openxmlformats.org/officeDocument/2006/relationships/hyperlink" Target="Photos\PD060417.JPG" TargetMode="External"/><Relationship Id="rId1032" Type="http://schemas.openxmlformats.org/officeDocument/2006/relationships/hyperlink" Target="Photos\PE010031.JPG" TargetMode="External"/><Relationship Id="rId707" Type="http://schemas.openxmlformats.org/officeDocument/2006/relationships/hyperlink" Target="Photos\PD020163.JPG" TargetMode="External"/><Relationship Id="rId914" Type="http://schemas.openxmlformats.org/officeDocument/2006/relationships/hyperlink" Target="Photos\P2070005.JPG" TargetMode="External"/><Relationship Id="rId1337" Type="http://schemas.openxmlformats.org/officeDocument/2006/relationships/hyperlink" Target="Photos\PG010081.JPG" TargetMode="External"/><Relationship Id="rId43" Type="http://schemas.openxmlformats.org/officeDocument/2006/relationships/hyperlink" Target="Photos\PB200031.JPG" TargetMode="External"/><Relationship Id="rId192" Type="http://schemas.openxmlformats.org/officeDocument/2006/relationships/hyperlink" Target="Photos\PC120055.JPG" TargetMode="External"/><Relationship Id="rId497" Type="http://schemas.openxmlformats.org/officeDocument/2006/relationships/hyperlink" Target="Photos\P2030104.JPG" TargetMode="External"/><Relationship Id="rId357" Type="http://schemas.openxmlformats.org/officeDocument/2006/relationships/hyperlink" Target="Photos\PAA50119.JPG" TargetMode="External"/><Relationship Id="rId1194" Type="http://schemas.openxmlformats.org/officeDocument/2006/relationships/hyperlink" Target="Photos\PF010016.JPG" TargetMode="External"/><Relationship Id="rId217" Type="http://schemas.openxmlformats.org/officeDocument/2006/relationships/hyperlink" Target="Photos\PC120016.JPG" TargetMode="External"/><Relationship Id="rId564" Type="http://schemas.openxmlformats.org/officeDocument/2006/relationships/hyperlink" Target="Photos\P2060256.JPG" TargetMode="External"/><Relationship Id="rId771" Type="http://schemas.openxmlformats.org/officeDocument/2006/relationships/hyperlink" Target="Photos\PD040250.JPG" TargetMode="External"/><Relationship Id="rId869" Type="http://schemas.openxmlformats.org/officeDocument/2006/relationships/hyperlink" Target="Photos\PD300547.JPG" TargetMode="External"/><Relationship Id="rId424" Type="http://schemas.openxmlformats.org/officeDocument/2006/relationships/hyperlink" Target="Photos\PAA90255.JPG" TargetMode="External"/><Relationship Id="rId631" Type="http://schemas.openxmlformats.org/officeDocument/2006/relationships/hyperlink" Target="Photos\PD020084.JPG" TargetMode="External"/><Relationship Id="rId729" Type="http://schemas.openxmlformats.org/officeDocument/2006/relationships/hyperlink" Target="Photos\PD170486.JPG" TargetMode="External"/><Relationship Id="rId1054" Type="http://schemas.openxmlformats.org/officeDocument/2006/relationships/hyperlink" Target="Photos\PE010120.JPG" TargetMode="External"/><Relationship Id="rId1261" Type="http://schemas.openxmlformats.org/officeDocument/2006/relationships/hyperlink" Target="Photos\PG010007.JPG" TargetMode="External"/><Relationship Id="rId936" Type="http://schemas.openxmlformats.org/officeDocument/2006/relationships/hyperlink" Target="Photos\PE010009.JPG" TargetMode="External"/><Relationship Id="rId1121" Type="http://schemas.openxmlformats.org/officeDocument/2006/relationships/hyperlink" Target="Photos\PE010181.JPG" TargetMode="External"/><Relationship Id="rId1219" Type="http://schemas.openxmlformats.org/officeDocument/2006/relationships/hyperlink" Target="Photos\PF010041.JPG" TargetMode="External"/><Relationship Id="rId65" Type="http://schemas.openxmlformats.org/officeDocument/2006/relationships/hyperlink" Target="Photos\PB210067.JPG" TargetMode="External"/><Relationship Id="rId281" Type="http://schemas.openxmlformats.org/officeDocument/2006/relationships/hyperlink" Target="Photos\P1010074.JPG" TargetMode="External"/><Relationship Id="rId141" Type="http://schemas.openxmlformats.org/officeDocument/2006/relationships/hyperlink" Target="Photos\P1010017.JPG" TargetMode="External"/><Relationship Id="rId379" Type="http://schemas.openxmlformats.org/officeDocument/2006/relationships/hyperlink" Target="Photos\PAA90214.JPG" TargetMode="External"/><Relationship Id="rId586" Type="http://schemas.openxmlformats.org/officeDocument/2006/relationships/hyperlink" Target="Photos\P2060236.JPG" TargetMode="External"/><Relationship Id="rId793" Type="http://schemas.openxmlformats.org/officeDocument/2006/relationships/hyperlink" Target="Photos\PD040263.JPG" TargetMode="External"/><Relationship Id="rId7" Type="http://schemas.openxmlformats.org/officeDocument/2006/relationships/hyperlink" Target="Photos\PB200004.JPG" TargetMode="External"/><Relationship Id="rId239" Type="http://schemas.openxmlformats.org/officeDocument/2006/relationships/hyperlink" Target="Photos\PA010019.JPG" TargetMode="External"/><Relationship Id="rId446" Type="http://schemas.openxmlformats.org/officeDocument/2006/relationships/hyperlink" Target="Photos\P2020048.JPG" TargetMode="External"/><Relationship Id="rId653" Type="http://schemas.openxmlformats.org/officeDocument/2006/relationships/hyperlink" Target="Photos\PD260037.JPG" TargetMode="External"/><Relationship Id="rId1076" Type="http://schemas.openxmlformats.org/officeDocument/2006/relationships/hyperlink" Target="Photos\PE010142.JPG" TargetMode="External"/><Relationship Id="rId1283" Type="http://schemas.openxmlformats.org/officeDocument/2006/relationships/hyperlink" Target="Photos\PG010028.JPG" TargetMode="External"/><Relationship Id="rId306" Type="http://schemas.openxmlformats.org/officeDocument/2006/relationships/hyperlink" Target="Photos\PAA40060.JPG" TargetMode="External"/><Relationship Id="rId860" Type="http://schemas.openxmlformats.org/officeDocument/2006/relationships/hyperlink" Target="Photos\PD060390.JPG" TargetMode="External"/><Relationship Id="rId958" Type="http://schemas.openxmlformats.org/officeDocument/2006/relationships/hyperlink" Target="Photos\PE010027.JPG" TargetMode="External"/><Relationship Id="rId1143" Type="http://schemas.openxmlformats.org/officeDocument/2006/relationships/hyperlink" Target="Photos\PE010200.JPG" TargetMode="External"/><Relationship Id="rId87" Type="http://schemas.openxmlformats.org/officeDocument/2006/relationships/hyperlink" Target="Photos\PB230049.JPG" TargetMode="External"/><Relationship Id="rId513" Type="http://schemas.openxmlformats.org/officeDocument/2006/relationships/hyperlink" Target="Photos\P2040129.JPG" TargetMode="External"/><Relationship Id="rId720" Type="http://schemas.openxmlformats.org/officeDocument/2006/relationships/hyperlink" Target="Photos\PD170517.JPG" TargetMode="External"/><Relationship Id="rId818" Type="http://schemas.openxmlformats.org/officeDocument/2006/relationships/hyperlink" Target="Photos\PD050353.JPG" TargetMode="External"/><Relationship Id="rId1350" Type="http://schemas.openxmlformats.org/officeDocument/2006/relationships/hyperlink" Target="Photos\PG010095.JPG" TargetMode="External"/><Relationship Id="rId1003" Type="http://schemas.openxmlformats.org/officeDocument/2006/relationships/hyperlink" Target="Photos\PE010070.JPG" TargetMode="External"/><Relationship Id="rId1210" Type="http://schemas.openxmlformats.org/officeDocument/2006/relationships/hyperlink" Target="Photos\PF010032.JPG" TargetMode="External"/><Relationship Id="rId1308" Type="http://schemas.openxmlformats.org/officeDocument/2006/relationships/hyperlink" Target="Photos\PG010053.JPG" TargetMode="External"/><Relationship Id="rId14" Type="http://schemas.openxmlformats.org/officeDocument/2006/relationships/hyperlink" Target="Photos\PB200011.JPG" TargetMode="External"/><Relationship Id="rId163" Type="http://schemas.openxmlformats.org/officeDocument/2006/relationships/hyperlink" Target="Photos\PC150033.JPG" TargetMode="External"/><Relationship Id="rId370" Type="http://schemas.openxmlformats.org/officeDocument/2006/relationships/hyperlink" Target="Photos\PAA50141.JPG" TargetMode="External"/><Relationship Id="rId230" Type="http://schemas.openxmlformats.org/officeDocument/2006/relationships/hyperlink" Target="Photos\P1010006.JPG" TargetMode="External"/><Relationship Id="rId468" Type="http://schemas.openxmlformats.org/officeDocument/2006/relationships/hyperlink" Target="Photos\P2030075.JPG" TargetMode="External"/><Relationship Id="rId675" Type="http://schemas.openxmlformats.org/officeDocument/2006/relationships/hyperlink" Target="Photos\PD020118.JPG" TargetMode="External"/><Relationship Id="rId882" Type="http://schemas.openxmlformats.org/officeDocument/2006/relationships/hyperlink" Target="Photos\PD300585.JPG" TargetMode="External"/><Relationship Id="rId1098" Type="http://schemas.openxmlformats.org/officeDocument/2006/relationships/hyperlink" Target="Photos\PE010161.JPG" TargetMode="External"/><Relationship Id="rId328" Type="http://schemas.openxmlformats.org/officeDocument/2006/relationships/hyperlink" Target="Photos\PAA40091.JPG" TargetMode="External"/><Relationship Id="rId535" Type="http://schemas.openxmlformats.org/officeDocument/2006/relationships/hyperlink" Target="Photos\P2040167.JPG" TargetMode="External"/><Relationship Id="rId742" Type="http://schemas.openxmlformats.org/officeDocument/2006/relationships/hyperlink" Target="Photos\PD030207.JPG" TargetMode="External"/><Relationship Id="rId1165" Type="http://schemas.openxmlformats.org/officeDocument/2006/relationships/hyperlink" Target="Photos\PE010218.JPG" TargetMode="External"/><Relationship Id="rId602" Type="http://schemas.openxmlformats.org/officeDocument/2006/relationships/hyperlink" Target="Photos\PC120005.JPG" TargetMode="External"/><Relationship Id="rId1025" Type="http://schemas.openxmlformats.org/officeDocument/2006/relationships/hyperlink" Target="Photos\PE010092.JPG" TargetMode="External"/><Relationship Id="rId1232" Type="http://schemas.openxmlformats.org/officeDocument/2006/relationships/hyperlink" Target="Photos\PF010054.JPG" TargetMode="External"/><Relationship Id="rId907" Type="http://schemas.openxmlformats.org/officeDocument/2006/relationships/hyperlink" Target="Photos\P2020004.JPG" TargetMode="External"/><Relationship Id="rId36" Type="http://schemas.openxmlformats.org/officeDocument/2006/relationships/hyperlink" Target="Photos\PB200020.JPG" TargetMode="External"/><Relationship Id="rId185" Type="http://schemas.openxmlformats.org/officeDocument/2006/relationships/hyperlink" Target="Photos\PC150011.JPG" TargetMode="External"/><Relationship Id="rId392" Type="http://schemas.openxmlformats.org/officeDocument/2006/relationships/hyperlink" Target="Photos\PAA60169.JPG" TargetMode="External"/><Relationship Id="rId697" Type="http://schemas.openxmlformats.org/officeDocument/2006/relationships/hyperlink" Target="Photos\PD010076.JPG" TargetMode="External"/><Relationship Id="rId252" Type="http://schemas.openxmlformats.org/officeDocument/2006/relationships/hyperlink" Target="Photos\PAA90231.JPG" TargetMode="External"/><Relationship Id="rId1187" Type="http://schemas.openxmlformats.org/officeDocument/2006/relationships/hyperlink" Target="Photos\PF010009.JPG" TargetMode="External"/><Relationship Id="rId112" Type="http://schemas.openxmlformats.org/officeDocument/2006/relationships/hyperlink" Target="Photos\PB260004.JPG" TargetMode="External"/><Relationship Id="rId557" Type="http://schemas.openxmlformats.org/officeDocument/2006/relationships/hyperlink" Target="Photos\P2060212.JPG" TargetMode="External"/><Relationship Id="rId764" Type="http://schemas.openxmlformats.org/officeDocument/2006/relationships/hyperlink" Target="Photos\PD030236.JPG" TargetMode="External"/><Relationship Id="rId971" Type="http://schemas.openxmlformats.org/officeDocument/2006/relationships/hyperlink" Target="Photos\P2040168.JPG" TargetMode="External"/><Relationship Id="rId417" Type="http://schemas.openxmlformats.org/officeDocument/2006/relationships/hyperlink" Target="Photos\PAA60183.JPG" TargetMode="External"/><Relationship Id="rId624" Type="http://schemas.openxmlformats.org/officeDocument/2006/relationships/hyperlink" Target="Photos\PD260019.JPG" TargetMode="External"/><Relationship Id="rId831" Type="http://schemas.openxmlformats.org/officeDocument/2006/relationships/hyperlink" Target="Photos\PD060426.JPG" TargetMode="External"/><Relationship Id="rId1047" Type="http://schemas.openxmlformats.org/officeDocument/2006/relationships/hyperlink" Target="Photos\PE010113.JPG" TargetMode="External"/><Relationship Id="rId1254" Type="http://schemas.openxmlformats.org/officeDocument/2006/relationships/hyperlink" Target="Photos\PF010076.JPG" TargetMode="External"/><Relationship Id="rId929" Type="http://schemas.openxmlformats.org/officeDocument/2006/relationships/hyperlink" Target="Photos\PAA50144.JPG" TargetMode="External"/><Relationship Id="rId1114" Type="http://schemas.openxmlformats.org/officeDocument/2006/relationships/hyperlink" Target="Photos\PE010175.JPG" TargetMode="External"/><Relationship Id="rId1321" Type="http://schemas.openxmlformats.org/officeDocument/2006/relationships/hyperlink" Target="Photos\PG010066.JPG" TargetMode="External"/><Relationship Id="rId58" Type="http://schemas.openxmlformats.org/officeDocument/2006/relationships/hyperlink" Target="Photos\PB210057.JPG" TargetMode="External"/><Relationship Id="rId274" Type="http://schemas.openxmlformats.org/officeDocument/2006/relationships/hyperlink" Target="Photos\P1010050.JPG" TargetMode="External"/><Relationship Id="rId481" Type="http://schemas.openxmlformats.org/officeDocument/2006/relationships/hyperlink" Target="Photos\P2030065.JPG" TargetMode="External"/><Relationship Id="rId134" Type="http://schemas.openxmlformats.org/officeDocument/2006/relationships/hyperlink" Target="Photos\PC120007.JPG" TargetMode="External"/><Relationship Id="rId579" Type="http://schemas.openxmlformats.org/officeDocument/2006/relationships/hyperlink" Target="Photos\P2060229.JPG" TargetMode="External"/><Relationship Id="rId786" Type="http://schemas.openxmlformats.org/officeDocument/2006/relationships/hyperlink" Target="Photos\PD040267.JPG" TargetMode="External"/><Relationship Id="rId993" Type="http://schemas.openxmlformats.org/officeDocument/2006/relationships/hyperlink" Target="Photos\PE010060.JPG" TargetMode="External"/><Relationship Id="rId341" Type="http://schemas.openxmlformats.org/officeDocument/2006/relationships/hyperlink" Target="Photos\PAA50118.JPG" TargetMode="External"/><Relationship Id="rId439" Type="http://schemas.openxmlformats.org/officeDocument/2006/relationships/hyperlink" Target="Photos\P2020021.JPG" TargetMode="External"/><Relationship Id="rId646" Type="http://schemas.openxmlformats.org/officeDocument/2006/relationships/hyperlink" Target="Photos\PD260029.JPG" TargetMode="External"/><Relationship Id="rId1069" Type="http://schemas.openxmlformats.org/officeDocument/2006/relationships/hyperlink" Target="Photos\PE010135.JPG" TargetMode="External"/><Relationship Id="rId1276" Type="http://schemas.openxmlformats.org/officeDocument/2006/relationships/hyperlink" Target="Photos\PG010022.JPG" TargetMode="External"/><Relationship Id="rId201" Type="http://schemas.openxmlformats.org/officeDocument/2006/relationships/hyperlink" Target="Photos\PC120040.JPG" TargetMode="External"/><Relationship Id="rId506" Type="http://schemas.openxmlformats.org/officeDocument/2006/relationships/hyperlink" Target="Photos\P2040123.JPG" TargetMode="External"/><Relationship Id="rId853" Type="http://schemas.openxmlformats.org/officeDocument/2006/relationships/hyperlink" Target="Photos\PD060378.JPG" TargetMode="External"/><Relationship Id="rId1136" Type="http://schemas.openxmlformats.org/officeDocument/2006/relationships/hyperlink" Target="Photos\PE010195.JPG" TargetMode="External"/><Relationship Id="rId713" Type="http://schemas.openxmlformats.org/officeDocument/2006/relationships/hyperlink" Target="Photos\PD020162.JPG" TargetMode="External"/><Relationship Id="rId920" Type="http://schemas.openxmlformats.org/officeDocument/2006/relationships/hyperlink" Target="Photos\P2030109.JPG" TargetMode="External"/><Relationship Id="rId1343" Type="http://schemas.openxmlformats.org/officeDocument/2006/relationships/hyperlink" Target="Photos\PG010087.JPG" TargetMode="External"/><Relationship Id="rId1203" Type="http://schemas.openxmlformats.org/officeDocument/2006/relationships/hyperlink" Target="Photos\PF010025.JPG" TargetMode="External"/><Relationship Id="rId296" Type="http://schemas.openxmlformats.org/officeDocument/2006/relationships/hyperlink" Target="Photos\PAA40043.JPG" TargetMode="External"/><Relationship Id="rId156" Type="http://schemas.openxmlformats.org/officeDocument/2006/relationships/hyperlink" Target="Photos\PC150041.JPG" TargetMode="External"/><Relationship Id="rId363" Type="http://schemas.openxmlformats.org/officeDocument/2006/relationships/hyperlink" Target="Photos\PAA50132.JPG" TargetMode="External"/><Relationship Id="rId570" Type="http://schemas.openxmlformats.org/officeDocument/2006/relationships/hyperlink" Target="Photos\P2060231.JPG" TargetMode="External"/><Relationship Id="rId223" Type="http://schemas.openxmlformats.org/officeDocument/2006/relationships/hyperlink" Target="Photos\PC120023.JPG" TargetMode="External"/><Relationship Id="rId430" Type="http://schemas.openxmlformats.org/officeDocument/2006/relationships/hyperlink" Target="Photos\PAA90246.JPG" TargetMode="External"/><Relationship Id="rId668" Type="http://schemas.openxmlformats.org/officeDocument/2006/relationships/hyperlink" Target="Photos\PD260059.JPG" TargetMode="External"/><Relationship Id="rId875" Type="http://schemas.openxmlformats.org/officeDocument/2006/relationships/hyperlink" Target="Photos\PD300591.JPG" TargetMode="External"/><Relationship Id="rId1060" Type="http://schemas.openxmlformats.org/officeDocument/2006/relationships/hyperlink" Target="Photos\PE010126.JPG" TargetMode="External"/><Relationship Id="rId1298" Type="http://schemas.openxmlformats.org/officeDocument/2006/relationships/hyperlink" Target="Photos\PG010043.JPG" TargetMode="External"/><Relationship Id="rId528" Type="http://schemas.openxmlformats.org/officeDocument/2006/relationships/hyperlink" Target="Photos\P2040141.JPG" TargetMode="External"/><Relationship Id="rId735" Type="http://schemas.openxmlformats.org/officeDocument/2006/relationships/hyperlink" Target="Photos\PD170473.JPG" TargetMode="External"/><Relationship Id="rId942" Type="http://schemas.openxmlformats.org/officeDocument/2006/relationships/hyperlink" Target="Photos\PE010012.JPG" TargetMode="External"/><Relationship Id="rId1158" Type="http://schemas.openxmlformats.org/officeDocument/2006/relationships/hyperlink" Target="Photos\PE010211.JPG" TargetMode="External"/><Relationship Id="rId1018" Type="http://schemas.openxmlformats.org/officeDocument/2006/relationships/hyperlink" Target="Photos\PE010085.JPG" TargetMode="External"/><Relationship Id="rId1225" Type="http://schemas.openxmlformats.org/officeDocument/2006/relationships/hyperlink" Target="Photos\PF010047.JPG" TargetMode="External"/><Relationship Id="rId71" Type="http://schemas.openxmlformats.org/officeDocument/2006/relationships/hyperlink" Target="Photos\PB230029.JPG" TargetMode="External"/><Relationship Id="rId802" Type="http://schemas.openxmlformats.org/officeDocument/2006/relationships/hyperlink" Target="Photos\PD040296.JPG" TargetMode="External"/><Relationship Id="rId29" Type="http://schemas.openxmlformats.org/officeDocument/2006/relationships/hyperlink" Target="Photos\PB190377.JPG" TargetMode="External"/><Relationship Id="rId178" Type="http://schemas.openxmlformats.org/officeDocument/2006/relationships/hyperlink" Target="Photos\PC150012.JPG" TargetMode="External"/><Relationship Id="rId385" Type="http://schemas.openxmlformats.org/officeDocument/2006/relationships/hyperlink" Target="Photos\PAA60165.JPG" TargetMode="External"/><Relationship Id="rId592" Type="http://schemas.openxmlformats.org/officeDocument/2006/relationships/hyperlink" Target="Photos\P1010070.JPG" TargetMode="External"/><Relationship Id="rId245" Type="http://schemas.openxmlformats.org/officeDocument/2006/relationships/hyperlink" Target="Photos\PC150045.JPG" TargetMode="External"/><Relationship Id="rId452" Type="http://schemas.openxmlformats.org/officeDocument/2006/relationships/hyperlink" Target="Photos\P2020040.JPG" TargetMode="External"/><Relationship Id="rId897" Type="http://schemas.openxmlformats.org/officeDocument/2006/relationships/hyperlink" Target="Photos\PD300573.JPG" TargetMode="External"/><Relationship Id="rId1082" Type="http://schemas.openxmlformats.org/officeDocument/2006/relationships/hyperlink" Target="Photos\PE010148.JPG" TargetMode="External"/><Relationship Id="rId105" Type="http://schemas.openxmlformats.org/officeDocument/2006/relationships/hyperlink" Target="Photos\PB270010.JPG" TargetMode="External"/><Relationship Id="rId312" Type="http://schemas.openxmlformats.org/officeDocument/2006/relationships/hyperlink" Target="Photos\PAA40064.JPG" TargetMode="External"/><Relationship Id="rId757" Type="http://schemas.openxmlformats.org/officeDocument/2006/relationships/hyperlink" Target="Photos\PD030229.JPG" TargetMode="External"/><Relationship Id="rId964" Type="http://schemas.openxmlformats.org/officeDocument/2006/relationships/hyperlink" Target="Photos\PE010033.JPG" TargetMode="External"/><Relationship Id="rId93" Type="http://schemas.openxmlformats.org/officeDocument/2006/relationships/hyperlink" Target="Photos\PB230012.JPG" TargetMode="External"/><Relationship Id="rId617" Type="http://schemas.openxmlformats.org/officeDocument/2006/relationships/hyperlink" Target="Photos\PD260012.JPG" TargetMode="External"/><Relationship Id="rId824" Type="http://schemas.openxmlformats.org/officeDocument/2006/relationships/hyperlink" Target="Photos\PD050318.JPG" TargetMode="External"/><Relationship Id="rId1247" Type="http://schemas.openxmlformats.org/officeDocument/2006/relationships/hyperlink" Target="Photos\PF010069.JPG" TargetMode="External"/><Relationship Id="rId1107" Type="http://schemas.openxmlformats.org/officeDocument/2006/relationships/hyperlink" Target="Photos\PE010167.JPG" TargetMode="External"/><Relationship Id="rId1314" Type="http://schemas.openxmlformats.org/officeDocument/2006/relationships/hyperlink" Target="Photos\PG010059.JPG" TargetMode="External"/><Relationship Id="rId20" Type="http://schemas.openxmlformats.org/officeDocument/2006/relationships/hyperlink" Target="Photos\PB190368.JPG" TargetMode="External"/><Relationship Id="rId267" Type="http://schemas.openxmlformats.org/officeDocument/2006/relationships/hyperlink" Target="Photos\P1010060.JPG" TargetMode="External"/><Relationship Id="rId474" Type="http://schemas.openxmlformats.org/officeDocument/2006/relationships/hyperlink" Target="Photos\P2030054.JPG" TargetMode="External"/><Relationship Id="rId127" Type="http://schemas.openxmlformats.org/officeDocument/2006/relationships/hyperlink" Target="Photos\PB270037.JPG" TargetMode="External"/><Relationship Id="rId681" Type="http://schemas.openxmlformats.org/officeDocument/2006/relationships/hyperlink" Target="Photos\PD020123.JPG" TargetMode="External"/><Relationship Id="rId779" Type="http://schemas.openxmlformats.org/officeDocument/2006/relationships/hyperlink" Target="Photos\PD040257.JPG" TargetMode="External"/><Relationship Id="rId986" Type="http://schemas.openxmlformats.org/officeDocument/2006/relationships/hyperlink" Target="Photos\PE010053.JPG" TargetMode="External"/><Relationship Id="rId334" Type="http://schemas.openxmlformats.org/officeDocument/2006/relationships/hyperlink" Target="Photos\PAA50104.JPG" TargetMode="External"/><Relationship Id="rId541" Type="http://schemas.openxmlformats.org/officeDocument/2006/relationships/hyperlink" Target="Photos\P2040172.JPG" TargetMode="External"/><Relationship Id="rId639" Type="http://schemas.openxmlformats.org/officeDocument/2006/relationships/hyperlink" Target="Photos\PD030211.JPG" TargetMode="External"/><Relationship Id="rId1171" Type="http://schemas.openxmlformats.org/officeDocument/2006/relationships/hyperlink" Target="Photos\PD020112.JPG" TargetMode="External"/><Relationship Id="rId1269" Type="http://schemas.openxmlformats.org/officeDocument/2006/relationships/hyperlink" Target="Photos\PG010015.JPG" TargetMode="External"/><Relationship Id="rId401" Type="http://schemas.openxmlformats.org/officeDocument/2006/relationships/hyperlink" Target="Photos\PAA90211.JPG" TargetMode="External"/><Relationship Id="rId846" Type="http://schemas.openxmlformats.org/officeDocument/2006/relationships/hyperlink" Target="Photos\PD060416.JPG" TargetMode="External"/><Relationship Id="rId1031" Type="http://schemas.openxmlformats.org/officeDocument/2006/relationships/hyperlink" Target="Photos\PE010098.JPG" TargetMode="External"/><Relationship Id="rId1129" Type="http://schemas.openxmlformats.org/officeDocument/2006/relationships/hyperlink" Target="Photos\PE010191.JPG" TargetMode="External"/><Relationship Id="rId706" Type="http://schemas.openxmlformats.org/officeDocument/2006/relationships/hyperlink" Target="Photos\PD020168.JPG" TargetMode="External"/><Relationship Id="rId913" Type="http://schemas.openxmlformats.org/officeDocument/2006/relationships/hyperlink" Target="Photos\P2080027.JPG" TargetMode="External"/><Relationship Id="rId1336" Type="http://schemas.openxmlformats.org/officeDocument/2006/relationships/hyperlink" Target="Photos\PG010088.JPG" TargetMode="External"/><Relationship Id="rId42" Type="http://schemas.openxmlformats.org/officeDocument/2006/relationships/hyperlink" Target="Photos\PB200016.JPG" TargetMode="External"/><Relationship Id="rId191" Type="http://schemas.openxmlformats.org/officeDocument/2006/relationships/hyperlink" Target="Photos\PC150018.JPG" TargetMode="External"/><Relationship Id="rId289" Type="http://schemas.openxmlformats.org/officeDocument/2006/relationships/hyperlink" Target="Photos\PAA40033.JPG" TargetMode="External"/><Relationship Id="rId496" Type="http://schemas.openxmlformats.org/officeDocument/2006/relationships/hyperlink" Target="Photos\P2030103.JPG" TargetMode="External"/><Relationship Id="rId149" Type="http://schemas.openxmlformats.org/officeDocument/2006/relationships/hyperlink" Target="Photos\P1010034.JPG" TargetMode="External"/><Relationship Id="rId356" Type="http://schemas.openxmlformats.org/officeDocument/2006/relationships/hyperlink" Target="Photos\PAA50124.JPG" TargetMode="External"/><Relationship Id="rId563" Type="http://schemas.openxmlformats.org/officeDocument/2006/relationships/hyperlink" Target="Photos\P2060254.JPG" TargetMode="External"/><Relationship Id="rId770" Type="http://schemas.openxmlformats.org/officeDocument/2006/relationships/hyperlink" Target="Photos\PD040255.JPG" TargetMode="External"/><Relationship Id="rId1193" Type="http://schemas.openxmlformats.org/officeDocument/2006/relationships/hyperlink" Target="Photos\PF010015.JPG" TargetMode="External"/><Relationship Id="rId216" Type="http://schemas.openxmlformats.org/officeDocument/2006/relationships/hyperlink" Target="Photos\PC120015.JPG" TargetMode="External"/><Relationship Id="rId423" Type="http://schemas.openxmlformats.org/officeDocument/2006/relationships/hyperlink" Target="Photos\PAA90254.JPG" TargetMode="External"/><Relationship Id="rId868" Type="http://schemas.openxmlformats.org/officeDocument/2006/relationships/hyperlink" Target="Photos\PD300546.JPG" TargetMode="External"/><Relationship Id="rId1053" Type="http://schemas.openxmlformats.org/officeDocument/2006/relationships/hyperlink" Target="Photos\PE010119.JPG" TargetMode="External"/><Relationship Id="rId1260" Type="http://schemas.openxmlformats.org/officeDocument/2006/relationships/hyperlink" Target="Photos\PG010006.JPG" TargetMode="External"/><Relationship Id="rId630" Type="http://schemas.openxmlformats.org/officeDocument/2006/relationships/hyperlink" Target="Photos\PD020083.JPG" TargetMode="External"/><Relationship Id="rId728" Type="http://schemas.openxmlformats.org/officeDocument/2006/relationships/hyperlink" Target="Photos\PD170482.JPG" TargetMode="External"/><Relationship Id="rId935" Type="http://schemas.openxmlformats.org/officeDocument/2006/relationships/hyperlink" Target="Photos\PE010008.JPG" TargetMode="External"/><Relationship Id="rId64" Type="http://schemas.openxmlformats.org/officeDocument/2006/relationships/hyperlink" Target="Photos\PB210066.JPG" TargetMode="External"/><Relationship Id="rId1120" Type="http://schemas.openxmlformats.org/officeDocument/2006/relationships/hyperlink" Target="Photos\PE010179.JPG" TargetMode="External"/><Relationship Id="rId1218" Type="http://schemas.openxmlformats.org/officeDocument/2006/relationships/hyperlink" Target="Photos\PF010040.JPG" TargetMode="External"/><Relationship Id="rId280" Type="http://schemas.openxmlformats.org/officeDocument/2006/relationships/hyperlink" Target="Photos\P1010073.JPG" TargetMode="External"/><Relationship Id="rId140" Type="http://schemas.openxmlformats.org/officeDocument/2006/relationships/hyperlink" Target="Photos\P1010014.JPG" TargetMode="External"/><Relationship Id="rId378" Type="http://schemas.openxmlformats.org/officeDocument/2006/relationships/hyperlink" Target="Photos\PAA50157.JPG" TargetMode="External"/><Relationship Id="rId585" Type="http://schemas.openxmlformats.org/officeDocument/2006/relationships/hyperlink" Target="Photos\P2060239.JPG" TargetMode="External"/><Relationship Id="rId792" Type="http://schemas.openxmlformats.org/officeDocument/2006/relationships/hyperlink" Target="Photos\PD040262.JPG" TargetMode="External"/><Relationship Id="rId6" Type="http://schemas.openxmlformats.org/officeDocument/2006/relationships/hyperlink" Target="Photos\PB200003.JPG" TargetMode="External"/><Relationship Id="rId238" Type="http://schemas.openxmlformats.org/officeDocument/2006/relationships/hyperlink" Target="Photos\PA010010.JPG" TargetMode="External"/><Relationship Id="rId445" Type="http://schemas.openxmlformats.org/officeDocument/2006/relationships/hyperlink" Target="Photos\P2020047.JPG" TargetMode="External"/><Relationship Id="rId652" Type="http://schemas.openxmlformats.org/officeDocument/2006/relationships/hyperlink" Target="Photos\PD260033.JPG" TargetMode="External"/><Relationship Id="rId1075" Type="http://schemas.openxmlformats.org/officeDocument/2006/relationships/hyperlink" Target="Photos\PE010141.JPG" TargetMode="External"/><Relationship Id="rId1282" Type="http://schemas.openxmlformats.org/officeDocument/2006/relationships/hyperlink" Target="Photos\PG010027.JPG" TargetMode="External"/><Relationship Id="rId305" Type="http://schemas.openxmlformats.org/officeDocument/2006/relationships/hyperlink" Target="Photos\PAA40059.JPG" TargetMode="External"/><Relationship Id="rId512" Type="http://schemas.openxmlformats.org/officeDocument/2006/relationships/hyperlink" Target="Photos\P2040127.JPG" TargetMode="External"/><Relationship Id="rId957" Type="http://schemas.openxmlformats.org/officeDocument/2006/relationships/hyperlink" Target="Photos\PE010026.JPG" TargetMode="External"/><Relationship Id="rId1142" Type="http://schemas.openxmlformats.org/officeDocument/2006/relationships/hyperlink" Target="Photos\PE010199.JPG" TargetMode="External"/><Relationship Id="rId86" Type="http://schemas.openxmlformats.org/officeDocument/2006/relationships/hyperlink" Target="Photos\PB230048.JPG" TargetMode="External"/><Relationship Id="rId817" Type="http://schemas.openxmlformats.org/officeDocument/2006/relationships/hyperlink" Target="Photos\PD050350.JPG" TargetMode="External"/><Relationship Id="rId1002" Type="http://schemas.openxmlformats.org/officeDocument/2006/relationships/hyperlink" Target="Photos\PE010069.JPG" TargetMode="External"/><Relationship Id="rId1307" Type="http://schemas.openxmlformats.org/officeDocument/2006/relationships/hyperlink" Target="Photos\PG010052.JPG" TargetMode="External"/><Relationship Id="rId13" Type="http://schemas.openxmlformats.org/officeDocument/2006/relationships/hyperlink" Target="Photos\PB200010.JPG" TargetMode="External"/><Relationship Id="rId162" Type="http://schemas.openxmlformats.org/officeDocument/2006/relationships/hyperlink" Target="Photos\PC150036.JPG" TargetMode="External"/><Relationship Id="rId467" Type="http://schemas.openxmlformats.org/officeDocument/2006/relationships/hyperlink" Target="Photos\P2030074.JPG" TargetMode="External"/><Relationship Id="rId1097" Type="http://schemas.openxmlformats.org/officeDocument/2006/relationships/hyperlink" Target="Photos\PE010160.JPG" TargetMode="External"/><Relationship Id="rId674" Type="http://schemas.openxmlformats.org/officeDocument/2006/relationships/hyperlink" Target="Photos\PD020117.JPG" TargetMode="External"/><Relationship Id="rId881" Type="http://schemas.openxmlformats.org/officeDocument/2006/relationships/hyperlink" Target="Photos\PD300564.JPG" TargetMode="External"/><Relationship Id="rId979" Type="http://schemas.openxmlformats.org/officeDocument/2006/relationships/hyperlink" Target="Photos\PE010046.JPG" TargetMode="External"/><Relationship Id="rId24" Type="http://schemas.openxmlformats.org/officeDocument/2006/relationships/hyperlink" Target="Photos\PB190372.JPG" TargetMode="External"/><Relationship Id="rId327" Type="http://schemas.openxmlformats.org/officeDocument/2006/relationships/hyperlink" Target="Photos\PAA50099.JPG" TargetMode="External"/><Relationship Id="rId534" Type="http://schemas.openxmlformats.org/officeDocument/2006/relationships/hyperlink" Target="Photos\P2040160.JPG" TargetMode="External"/><Relationship Id="rId741" Type="http://schemas.openxmlformats.org/officeDocument/2006/relationships/hyperlink" Target="Photos\PD030206.JPG" TargetMode="External"/><Relationship Id="rId839" Type="http://schemas.openxmlformats.org/officeDocument/2006/relationships/hyperlink" Target="Photos\PD060422.JPG" TargetMode="External"/><Relationship Id="rId1164" Type="http://schemas.openxmlformats.org/officeDocument/2006/relationships/hyperlink" Target="Photos\PE010217.JPG" TargetMode="External"/><Relationship Id="rId173" Type="http://schemas.openxmlformats.org/officeDocument/2006/relationships/hyperlink" Target="Photos\PC150030.JPG" TargetMode="External"/><Relationship Id="rId380" Type="http://schemas.openxmlformats.org/officeDocument/2006/relationships/hyperlink" Target="Photos\PAA90217.JPG" TargetMode="External"/><Relationship Id="rId601" Type="http://schemas.openxmlformats.org/officeDocument/2006/relationships/hyperlink" Target="Photos\PC120002.JPG" TargetMode="External"/><Relationship Id="rId1024" Type="http://schemas.openxmlformats.org/officeDocument/2006/relationships/hyperlink" Target="Photos\PE010091.JPG" TargetMode="External"/><Relationship Id="rId1231" Type="http://schemas.openxmlformats.org/officeDocument/2006/relationships/hyperlink" Target="Photos\PF010053.JPG" TargetMode="External"/><Relationship Id="rId240" Type="http://schemas.openxmlformats.org/officeDocument/2006/relationships/hyperlink" Target="Photos\P1010019.JPG" TargetMode="External"/><Relationship Id="rId478" Type="http://schemas.openxmlformats.org/officeDocument/2006/relationships/hyperlink" Target="Photos\P2030060.JPG" TargetMode="External"/><Relationship Id="rId685" Type="http://schemas.openxmlformats.org/officeDocument/2006/relationships/hyperlink" Target="Photos\PD020138.JPG" TargetMode="External"/><Relationship Id="rId892" Type="http://schemas.openxmlformats.org/officeDocument/2006/relationships/hyperlink" Target="Photos\PD090449.JPG" TargetMode="External"/><Relationship Id="rId906" Type="http://schemas.openxmlformats.org/officeDocument/2006/relationships/hyperlink" Target="Photos\PD310622.JPG" TargetMode="External"/><Relationship Id="rId1329" Type="http://schemas.openxmlformats.org/officeDocument/2006/relationships/hyperlink" Target="Photos\PG010074.JPG" TargetMode="External"/><Relationship Id="rId35" Type="http://schemas.openxmlformats.org/officeDocument/2006/relationships/hyperlink" Target="Photos\PB200019.JPG" TargetMode="External"/><Relationship Id="rId100" Type="http://schemas.openxmlformats.org/officeDocument/2006/relationships/hyperlink" Target="Photos\PB230019.JPG" TargetMode="External"/><Relationship Id="rId338" Type="http://schemas.openxmlformats.org/officeDocument/2006/relationships/hyperlink" Target="Photos\PAA50114.JPG" TargetMode="External"/><Relationship Id="rId545" Type="http://schemas.openxmlformats.org/officeDocument/2006/relationships/hyperlink" Target="Photos\P2050177.JPG" TargetMode="External"/><Relationship Id="rId752" Type="http://schemas.openxmlformats.org/officeDocument/2006/relationships/hyperlink" Target="Photos\PD030190.JPG" TargetMode="External"/><Relationship Id="rId1175" Type="http://schemas.openxmlformats.org/officeDocument/2006/relationships/hyperlink" Target="Photos\PD020114.JPG" TargetMode="External"/><Relationship Id="rId184" Type="http://schemas.openxmlformats.org/officeDocument/2006/relationships/hyperlink" Target="Photos\PC150010.JPG" TargetMode="External"/><Relationship Id="rId391" Type="http://schemas.openxmlformats.org/officeDocument/2006/relationships/hyperlink" Target="Photos\PAA60168.JPG" TargetMode="External"/><Relationship Id="rId405" Type="http://schemas.openxmlformats.org/officeDocument/2006/relationships/hyperlink" Target="Photos\PAA90196.JPG" TargetMode="External"/><Relationship Id="rId612" Type="http://schemas.openxmlformats.org/officeDocument/2006/relationships/hyperlink" Target="Photos\P2020003.JPG" TargetMode="External"/><Relationship Id="rId1035" Type="http://schemas.openxmlformats.org/officeDocument/2006/relationships/hyperlink" Target="Photos\PE010101.JPG" TargetMode="External"/><Relationship Id="rId1242" Type="http://schemas.openxmlformats.org/officeDocument/2006/relationships/hyperlink" Target="Photos\PF010064.JPG" TargetMode="External"/><Relationship Id="rId251" Type="http://schemas.openxmlformats.org/officeDocument/2006/relationships/hyperlink" Target="Photos\PAA90235.JPG" TargetMode="External"/><Relationship Id="rId489" Type="http://schemas.openxmlformats.org/officeDocument/2006/relationships/hyperlink" Target="Photos\P2030091.JPG" TargetMode="External"/><Relationship Id="rId696" Type="http://schemas.openxmlformats.org/officeDocument/2006/relationships/hyperlink" Target="Photos\PD020174.JPG" TargetMode="External"/><Relationship Id="rId917" Type="http://schemas.openxmlformats.org/officeDocument/2006/relationships/hyperlink" Target="Photos\P2080018.JPG" TargetMode="External"/><Relationship Id="rId1102" Type="http://schemas.openxmlformats.org/officeDocument/2006/relationships/hyperlink" Target="Photos\PE010165.JPG" TargetMode="External"/><Relationship Id="rId46" Type="http://schemas.openxmlformats.org/officeDocument/2006/relationships/hyperlink" Target="Photos\PB200027.JPG" TargetMode="External"/><Relationship Id="rId349" Type="http://schemas.openxmlformats.org/officeDocument/2006/relationships/hyperlink" Target="Photos\PAA40084.JPG" TargetMode="External"/><Relationship Id="rId556" Type="http://schemas.openxmlformats.org/officeDocument/2006/relationships/hyperlink" Target="Photos\P2060211.JPG" TargetMode="External"/><Relationship Id="rId763" Type="http://schemas.openxmlformats.org/officeDocument/2006/relationships/hyperlink" Target="Photos\PD030235.JPG" TargetMode="External"/><Relationship Id="rId1186" Type="http://schemas.openxmlformats.org/officeDocument/2006/relationships/hyperlink" Target="Photos\PF010008.JPG" TargetMode="External"/><Relationship Id="rId111" Type="http://schemas.openxmlformats.org/officeDocument/2006/relationships/hyperlink" Target="Photos\PB260003.JPG" TargetMode="External"/><Relationship Id="rId195" Type="http://schemas.openxmlformats.org/officeDocument/2006/relationships/hyperlink" Target="Photos\PC120050.JPG" TargetMode="External"/><Relationship Id="rId209" Type="http://schemas.openxmlformats.org/officeDocument/2006/relationships/hyperlink" Target="Photos\PC120031.JPG" TargetMode="External"/><Relationship Id="rId416" Type="http://schemas.openxmlformats.org/officeDocument/2006/relationships/hyperlink" Target="Photos\PAA60182.JPG" TargetMode="External"/><Relationship Id="rId970" Type="http://schemas.openxmlformats.org/officeDocument/2006/relationships/hyperlink" Target="Photos\PE010039.JPG" TargetMode="External"/><Relationship Id="rId1046" Type="http://schemas.openxmlformats.org/officeDocument/2006/relationships/hyperlink" Target="Photos\PE010112.JPG" TargetMode="External"/><Relationship Id="rId1253" Type="http://schemas.openxmlformats.org/officeDocument/2006/relationships/hyperlink" Target="Photos\PF010075.JPG" TargetMode="External"/><Relationship Id="rId623" Type="http://schemas.openxmlformats.org/officeDocument/2006/relationships/hyperlink" Target="Photos\PD260018.JPG" TargetMode="External"/><Relationship Id="rId830" Type="http://schemas.openxmlformats.org/officeDocument/2006/relationships/hyperlink" Target="Photos\PD050308.JPG" TargetMode="External"/><Relationship Id="rId928" Type="http://schemas.openxmlformats.org/officeDocument/2006/relationships/hyperlink" Target="Photos\PAA50143.JPG" TargetMode="External"/><Relationship Id="rId57" Type="http://schemas.openxmlformats.org/officeDocument/2006/relationships/hyperlink" Target="Photos\PB210056.JPG" TargetMode="External"/><Relationship Id="rId262" Type="http://schemas.openxmlformats.org/officeDocument/2006/relationships/hyperlink" Target="Photos\P1010058.JPG" TargetMode="External"/><Relationship Id="rId567" Type="http://schemas.openxmlformats.org/officeDocument/2006/relationships/hyperlink" Target="Photos\P2060217.JPG" TargetMode="External"/><Relationship Id="rId1113" Type="http://schemas.openxmlformats.org/officeDocument/2006/relationships/hyperlink" Target="Photos\PE010174.JPG" TargetMode="External"/><Relationship Id="rId1197" Type="http://schemas.openxmlformats.org/officeDocument/2006/relationships/hyperlink" Target="Photos\PF010019.JPG" TargetMode="External"/><Relationship Id="rId1320" Type="http://schemas.openxmlformats.org/officeDocument/2006/relationships/hyperlink" Target="Photos\PG010065.JPG" TargetMode="External"/><Relationship Id="rId122" Type="http://schemas.openxmlformats.org/officeDocument/2006/relationships/hyperlink" Target="Photos\PB270024.JPG" TargetMode="External"/><Relationship Id="rId774" Type="http://schemas.openxmlformats.org/officeDocument/2006/relationships/hyperlink" Target="Photos\PD040248.JPG" TargetMode="External"/><Relationship Id="rId981" Type="http://schemas.openxmlformats.org/officeDocument/2006/relationships/hyperlink" Target="Photos\PE010048.JPG" TargetMode="External"/><Relationship Id="rId1057" Type="http://schemas.openxmlformats.org/officeDocument/2006/relationships/hyperlink" Target="Photos\PE010123.JPG" TargetMode="External"/><Relationship Id="rId427" Type="http://schemas.openxmlformats.org/officeDocument/2006/relationships/hyperlink" Target="Photos\PAA90242.JPG" TargetMode="External"/><Relationship Id="rId634" Type="http://schemas.openxmlformats.org/officeDocument/2006/relationships/hyperlink" Target="Photos\PD020093.JPG" TargetMode="External"/><Relationship Id="rId841" Type="http://schemas.openxmlformats.org/officeDocument/2006/relationships/hyperlink" Target="Photos\PD060405.JPG" TargetMode="External"/><Relationship Id="rId1264" Type="http://schemas.openxmlformats.org/officeDocument/2006/relationships/hyperlink" Target="Photos\PG010010.JPG" TargetMode="External"/><Relationship Id="rId273" Type="http://schemas.openxmlformats.org/officeDocument/2006/relationships/hyperlink" Target="Photos\P1010049.JPG" TargetMode="External"/><Relationship Id="rId480" Type="http://schemas.openxmlformats.org/officeDocument/2006/relationships/hyperlink" Target="Photos\P2030063.JPG" TargetMode="External"/><Relationship Id="rId701" Type="http://schemas.openxmlformats.org/officeDocument/2006/relationships/hyperlink" Target="Photos\PD020149.JPG" TargetMode="External"/><Relationship Id="rId939" Type="http://schemas.openxmlformats.org/officeDocument/2006/relationships/hyperlink" Target="Photos\PE010006.JPG" TargetMode="External"/><Relationship Id="rId1124" Type="http://schemas.openxmlformats.org/officeDocument/2006/relationships/hyperlink" Target="Photos\PE010184.JPG" TargetMode="External"/><Relationship Id="rId1331" Type="http://schemas.openxmlformats.org/officeDocument/2006/relationships/hyperlink" Target="Photos\PG010076.JPG" TargetMode="External"/><Relationship Id="rId68" Type="http://schemas.openxmlformats.org/officeDocument/2006/relationships/hyperlink" Target="Photos\PB230025.JPG" TargetMode="External"/><Relationship Id="rId133" Type="http://schemas.openxmlformats.org/officeDocument/2006/relationships/hyperlink" Target="Photos\PC120006.JPG" TargetMode="External"/><Relationship Id="rId340" Type="http://schemas.openxmlformats.org/officeDocument/2006/relationships/hyperlink" Target="Photos\PAA50118.JPG" TargetMode="External"/><Relationship Id="rId578" Type="http://schemas.openxmlformats.org/officeDocument/2006/relationships/hyperlink" Target="Photos\P2060228.JPG" TargetMode="External"/><Relationship Id="rId785" Type="http://schemas.openxmlformats.org/officeDocument/2006/relationships/hyperlink" Target="Photos\PD040276.JPG" TargetMode="External"/><Relationship Id="rId992" Type="http://schemas.openxmlformats.org/officeDocument/2006/relationships/hyperlink" Target="Photos\PE010059.JPG" TargetMode="External"/><Relationship Id="rId200" Type="http://schemas.openxmlformats.org/officeDocument/2006/relationships/hyperlink" Target="Photos\PC120047.JPG" TargetMode="External"/><Relationship Id="rId438" Type="http://schemas.openxmlformats.org/officeDocument/2006/relationships/hyperlink" Target="Photos\P2020020.JPG" TargetMode="External"/><Relationship Id="rId645" Type="http://schemas.openxmlformats.org/officeDocument/2006/relationships/hyperlink" Target="Photos\PD020098.JPG" TargetMode="External"/><Relationship Id="rId852" Type="http://schemas.openxmlformats.org/officeDocument/2006/relationships/hyperlink" Target="Photos\PD060377.JPG" TargetMode="External"/><Relationship Id="rId1068" Type="http://schemas.openxmlformats.org/officeDocument/2006/relationships/hyperlink" Target="Photos\PE010134.JPG" TargetMode="External"/><Relationship Id="rId1275" Type="http://schemas.openxmlformats.org/officeDocument/2006/relationships/hyperlink" Target="Photos\PG010021.JPG" TargetMode="External"/><Relationship Id="rId284" Type="http://schemas.openxmlformats.org/officeDocument/2006/relationships/hyperlink" Target="Photos\PAA40026.JPG" TargetMode="External"/><Relationship Id="rId491" Type="http://schemas.openxmlformats.org/officeDocument/2006/relationships/hyperlink" Target="Photos\P2030095.JPG" TargetMode="External"/><Relationship Id="rId505" Type="http://schemas.openxmlformats.org/officeDocument/2006/relationships/hyperlink" Target="Photos\P2040119.JPG" TargetMode="External"/><Relationship Id="rId712" Type="http://schemas.openxmlformats.org/officeDocument/2006/relationships/hyperlink" Target="Photos\PD020160.JPG" TargetMode="External"/><Relationship Id="rId1135" Type="http://schemas.openxmlformats.org/officeDocument/2006/relationships/hyperlink" Target="Photos\PE010192.JPG" TargetMode="External"/><Relationship Id="rId1342" Type="http://schemas.openxmlformats.org/officeDocument/2006/relationships/hyperlink" Target="Photos\PG010086.JPG" TargetMode="External"/><Relationship Id="rId79" Type="http://schemas.openxmlformats.org/officeDocument/2006/relationships/hyperlink" Target="Photos\PB230040.JPG" TargetMode="External"/><Relationship Id="rId144" Type="http://schemas.openxmlformats.org/officeDocument/2006/relationships/hyperlink" Target="Photos\P1010016.JPG" TargetMode="External"/><Relationship Id="rId589" Type="http://schemas.openxmlformats.org/officeDocument/2006/relationships/hyperlink" Target="Photos\P2060251.JPG" TargetMode="External"/><Relationship Id="rId796" Type="http://schemas.openxmlformats.org/officeDocument/2006/relationships/hyperlink" Target="Photos\PD040305.JPG" TargetMode="External"/><Relationship Id="rId1202" Type="http://schemas.openxmlformats.org/officeDocument/2006/relationships/hyperlink" Target="Photos\PF010024.JPG" TargetMode="External"/><Relationship Id="rId351" Type="http://schemas.openxmlformats.org/officeDocument/2006/relationships/hyperlink" Target="Photos\PAA50125.JPG" TargetMode="External"/><Relationship Id="rId449" Type="http://schemas.openxmlformats.org/officeDocument/2006/relationships/hyperlink" Target="Photos\P2020046.JPG" TargetMode="External"/><Relationship Id="rId656" Type="http://schemas.openxmlformats.org/officeDocument/2006/relationships/hyperlink" Target="Photos\PD260047.JPG" TargetMode="External"/><Relationship Id="rId863" Type="http://schemas.openxmlformats.org/officeDocument/2006/relationships/hyperlink" Target="Photos\PD300542.JPG" TargetMode="External"/><Relationship Id="rId1079" Type="http://schemas.openxmlformats.org/officeDocument/2006/relationships/hyperlink" Target="Photos\PE010145.JPG" TargetMode="External"/><Relationship Id="rId1286" Type="http://schemas.openxmlformats.org/officeDocument/2006/relationships/hyperlink" Target="Photos\PG010031.JPG" TargetMode="External"/><Relationship Id="rId211" Type="http://schemas.openxmlformats.org/officeDocument/2006/relationships/hyperlink" Target="Photos\PC120012.JPG" TargetMode="External"/><Relationship Id="rId295" Type="http://schemas.openxmlformats.org/officeDocument/2006/relationships/hyperlink" Target="Photos\PAA40041.JPG" TargetMode="External"/><Relationship Id="rId309" Type="http://schemas.openxmlformats.org/officeDocument/2006/relationships/hyperlink" Target="Photos\PAA40060.JPG" TargetMode="External"/><Relationship Id="rId516" Type="http://schemas.openxmlformats.org/officeDocument/2006/relationships/hyperlink" Target="Photos\P2040151.JPG" TargetMode="External"/><Relationship Id="rId1146" Type="http://schemas.openxmlformats.org/officeDocument/2006/relationships/hyperlink" Target="Photos\PE010201A.JPG" TargetMode="External"/><Relationship Id="rId723" Type="http://schemas.openxmlformats.org/officeDocument/2006/relationships/hyperlink" Target="Photos\PD170500.JPG" TargetMode="External"/><Relationship Id="rId930" Type="http://schemas.openxmlformats.org/officeDocument/2006/relationships/hyperlink" Target="Photos\PAA50144A.JPG" TargetMode="External"/><Relationship Id="rId1006" Type="http://schemas.openxmlformats.org/officeDocument/2006/relationships/hyperlink" Target="Photos\PE010073.JPG" TargetMode="External"/><Relationship Id="rId1353" Type="http://schemas.openxmlformats.org/officeDocument/2006/relationships/hyperlink" Target="Photos\PG010098.JPG" TargetMode="External"/><Relationship Id="rId155" Type="http://schemas.openxmlformats.org/officeDocument/2006/relationships/hyperlink" Target="Photos\PC150044.JPG" TargetMode="External"/><Relationship Id="rId362" Type="http://schemas.openxmlformats.org/officeDocument/2006/relationships/hyperlink" Target="Photos\PAA50131.JPG" TargetMode="External"/><Relationship Id="rId1213" Type="http://schemas.openxmlformats.org/officeDocument/2006/relationships/hyperlink" Target="Photos\PF010035.JPG" TargetMode="External"/><Relationship Id="rId1297" Type="http://schemas.openxmlformats.org/officeDocument/2006/relationships/hyperlink" Target="Photos\PG010042.JPG" TargetMode="External"/><Relationship Id="rId222" Type="http://schemas.openxmlformats.org/officeDocument/2006/relationships/hyperlink" Target="Photos\PC120021.JPG" TargetMode="External"/><Relationship Id="rId667" Type="http://schemas.openxmlformats.org/officeDocument/2006/relationships/hyperlink" Target="Photos\PD260058.JPG" TargetMode="External"/><Relationship Id="rId874" Type="http://schemas.openxmlformats.org/officeDocument/2006/relationships/hyperlink" Target="Photos\PD300579.JPG" TargetMode="External"/><Relationship Id="rId17" Type="http://schemas.openxmlformats.org/officeDocument/2006/relationships/hyperlink" Target="Photos\PB190359.JPG" TargetMode="External"/><Relationship Id="rId527" Type="http://schemas.openxmlformats.org/officeDocument/2006/relationships/hyperlink" Target="Photos\P2040139.JPG" TargetMode="External"/><Relationship Id="rId734" Type="http://schemas.openxmlformats.org/officeDocument/2006/relationships/hyperlink" Target="Photos\PD170472.JPG" TargetMode="External"/><Relationship Id="rId941" Type="http://schemas.openxmlformats.org/officeDocument/2006/relationships/hyperlink" Target="Photos\PE010012.JPG" TargetMode="External"/><Relationship Id="rId1157" Type="http://schemas.openxmlformats.org/officeDocument/2006/relationships/hyperlink" Target="Photos\PE010210.JPG" TargetMode="External"/><Relationship Id="rId70" Type="http://schemas.openxmlformats.org/officeDocument/2006/relationships/hyperlink" Target="Photos\PB230028.JPG" TargetMode="External"/><Relationship Id="rId166" Type="http://schemas.openxmlformats.org/officeDocument/2006/relationships/hyperlink" Target="Photos\PC150020.JPG" TargetMode="External"/><Relationship Id="rId373" Type="http://schemas.openxmlformats.org/officeDocument/2006/relationships/hyperlink" Target="Photos\PAA50160.JPG" TargetMode="External"/><Relationship Id="rId580" Type="http://schemas.openxmlformats.org/officeDocument/2006/relationships/hyperlink" Target="Photos\P2060241.JPG" TargetMode="External"/><Relationship Id="rId801" Type="http://schemas.openxmlformats.org/officeDocument/2006/relationships/hyperlink" Target="Photos\PD040295.JPG" TargetMode="External"/><Relationship Id="rId1017" Type="http://schemas.openxmlformats.org/officeDocument/2006/relationships/hyperlink" Target="Photos\PE010084.JPG" TargetMode="External"/><Relationship Id="rId1224" Type="http://schemas.openxmlformats.org/officeDocument/2006/relationships/hyperlink" Target="Photos\PF010046.JPG" TargetMode="External"/><Relationship Id="rId1" Type="http://schemas.openxmlformats.org/officeDocument/2006/relationships/hyperlink" Target="Photos\PB190383.JPG" TargetMode="External"/><Relationship Id="rId233" Type="http://schemas.openxmlformats.org/officeDocument/2006/relationships/hyperlink" Target="Photos\PA010003.JPG" TargetMode="External"/><Relationship Id="rId440" Type="http://schemas.openxmlformats.org/officeDocument/2006/relationships/hyperlink" Target="Photos\P2020022.JPG" TargetMode="External"/><Relationship Id="rId678" Type="http://schemas.openxmlformats.org/officeDocument/2006/relationships/hyperlink" Target="Photos\PD020124.JPG" TargetMode="External"/><Relationship Id="rId885" Type="http://schemas.openxmlformats.org/officeDocument/2006/relationships/hyperlink" Target="Photos\PD090440.JPG" TargetMode="External"/><Relationship Id="rId1070" Type="http://schemas.openxmlformats.org/officeDocument/2006/relationships/hyperlink" Target="Photos\PE010136.JPG" TargetMode="External"/><Relationship Id="rId28" Type="http://schemas.openxmlformats.org/officeDocument/2006/relationships/hyperlink" Target="Photos\PB190376.JPG" TargetMode="External"/><Relationship Id="rId300" Type="http://schemas.openxmlformats.org/officeDocument/2006/relationships/hyperlink" Target="Photos\PAA40049.JPG" TargetMode="External"/><Relationship Id="rId538" Type="http://schemas.openxmlformats.org/officeDocument/2006/relationships/hyperlink" Target="Photos\P2040163.JPG" TargetMode="External"/><Relationship Id="rId745" Type="http://schemas.openxmlformats.org/officeDocument/2006/relationships/hyperlink" Target="Photos\PD030204.JPG" TargetMode="External"/><Relationship Id="rId952" Type="http://schemas.openxmlformats.org/officeDocument/2006/relationships/hyperlink" Target="Photos\PE010021.JPG" TargetMode="External"/><Relationship Id="rId1168" Type="http://schemas.openxmlformats.org/officeDocument/2006/relationships/hyperlink" Target="Photos\PE010221.JPG" TargetMode="External"/><Relationship Id="rId81" Type="http://schemas.openxmlformats.org/officeDocument/2006/relationships/hyperlink" Target="Photos\PB230042.JPG" TargetMode="External"/><Relationship Id="rId177" Type="http://schemas.openxmlformats.org/officeDocument/2006/relationships/hyperlink" Target="Photos\P1010005.JPG" TargetMode="External"/><Relationship Id="rId384" Type="http://schemas.openxmlformats.org/officeDocument/2006/relationships/hyperlink" Target="Photos\PAA60164.JPG" TargetMode="External"/><Relationship Id="rId591" Type="http://schemas.openxmlformats.org/officeDocument/2006/relationships/hyperlink" Target="Photos\P1010041.JPG" TargetMode="External"/><Relationship Id="rId605" Type="http://schemas.openxmlformats.org/officeDocument/2006/relationships/hyperlink" Target="Photos\P1220009.JPG" TargetMode="External"/><Relationship Id="rId812" Type="http://schemas.openxmlformats.org/officeDocument/2006/relationships/hyperlink" Target="Photos\PD050360.JPG" TargetMode="External"/><Relationship Id="rId1028" Type="http://schemas.openxmlformats.org/officeDocument/2006/relationships/hyperlink" Target="Photos\PE010095.JPG" TargetMode="External"/><Relationship Id="rId1235" Type="http://schemas.openxmlformats.org/officeDocument/2006/relationships/hyperlink" Target="Photos\PF010057.JPG" TargetMode="External"/><Relationship Id="rId244" Type="http://schemas.openxmlformats.org/officeDocument/2006/relationships/hyperlink" Target="Photos\PC150046.JPG" TargetMode="External"/><Relationship Id="rId689" Type="http://schemas.openxmlformats.org/officeDocument/2006/relationships/hyperlink" Target="Photos\PD020136.JPG" TargetMode="External"/><Relationship Id="rId896" Type="http://schemas.openxmlformats.org/officeDocument/2006/relationships/hyperlink" Target="Photos\PD300572.JPG" TargetMode="External"/><Relationship Id="rId1081" Type="http://schemas.openxmlformats.org/officeDocument/2006/relationships/hyperlink" Target="Photos\PE010147.JPG" TargetMode="External"/><Relationship Id="rId1302" Type="http://schemas.openxmlformats.org/officeDocument/2006/relationships/hyperlink" Target="Photos\PG010047.JPG" TargetMode="External"/><Relationship Id="rId39" Type="http://schemas.openxmlformats.org/officeDocument/2006/relationships/hyperlink" Target="Photos\PB200013.JPG" TargetMode="External"/><Relationship Id="rId451" Type="http://schemas.openxmlformats.org/officeDocument/2006/relationships/hyperlink" Target="Photos\P2020039.JPG" TargetMode="External"/><Relationship Id="rId549" Type="http://schemas.openxmlformats.org/officeDocument/2006/relationships/hyperlink" Target="Photos\P2050176.JPG" TargetMode="External"/><Relationship Id="rId756" Type="http://schemas.openxmlformats.org/officeDocument/2006/relationships/hyperlink" Target="Photos\PD030221.JPG" TargetMode="External"/><Relationship Id="rId1179" Type="http://schemas.openxmlformats.org/officeDocument/2006/relationships/hyperlink" Target="Photos\PF010001.JPG" TargetMode="External"/><Relationship Id="rId104" Type="http://schemas.openxmlformats.org/officeDocument/2006/relationships/hyperlink" Target="Photos\PB270009.JPG" TargetMode="External"/><Relationship Id="rId188" Type="http://schemas.openxmlformats.org/officeDocument/2006/relationships/hyperlink" Target="Photos\PC150008.JPG" TargetMode="External"/><Relationship Id="rId311" Type="http://schemas.openxmlformats.org/officeDocument/2006/relationships/hyperlink" Target="Photos\PAA40065.JPG" TargetMode="External"/><Relationship Id="rId395" Type="http://schemas.openxmlformats.org/officeDocument/2006/relationships/hyperlink" Target="Photos\PAA60176.JPG" TargetMode="External"/><Relationship Id="rId409" Type="http://schemas.openxmlformats.org/officeDocument/2006/relationships/hyperlink" Target="Photos\PAA90200.JPG" TargetMode="External"/><Relationship Id="rId963" Type="http://schemas.openxmlformats.org/officeDocument/2006/relationships/hyperlink" Target="Photos\PE010032.JPG" TargetMode="External"/><Relationship Id="rId1039" Type="http://schemas.openxmlformats.org/officeDocument/2006/relationships/hyperlink" Target="Photos\PE010105.JPG" TargetMode="External"/><Relationship Id="rId1246" Type="http://schemas.openxmlformats.org/officeDocument/2006/relationships/hyperlink" Target="Photos\PF010068.JPG" TargetMode="External"/><Relationship Id="rId92" Type="http://schemas.openxmlformats.org/officeDocument/2006/relationships/hyperlink" Target="Photos\PB230006.JPG" TargetMode="External"/><Relationship Id="rId616" Type="http://schemas.openxmlformats.org/officeDocument/2006/relationships/hyperlink" Target="Photos\P2030080.JPG" TargetMode="External"/><Relationship Id="rId823" Type="http://schemas.openxmlformats.org/officeDocument/2006/relationships/hyperlink" Target="Photos\PD050315.JPG" TargetMode="External"/><Relationship Id="rId255" Type="http://schemas.openxmlformats.org/officeDocument/2006/relationships/hyperlink" Target="Photos\P1010069.JPG" TargetMode="External"/><Relationship Id="rId462" Type="http://schemas.openxmlformats.org/officeDocument/2006/relationships/hyperlink" Target="Photos\P2020030.JPG" TargetMode="External"/><Relationship Id="rId1092" Type="http://schemas.openxmlformats.org/officeDocument/2006/relationships/hyperlink" Target="Photos\PE010158.JPG" TargetMode="External"/><Relationship Id="rId1106" Type="http://schemas.openxmlformats.org/officeDocument/2006/relationships/hyperlink" Target="Photos\PE010166.JPG" TargetMode="External"/><Relationship Id="rId1313" Type="http://schemas.openxmlformats.org/officeDocument/2006/relationships/hyperlink" Target="Photos\PG010058.JPG" TargetMode="External"/><Relationship Id="rId115" Type="http://schemas.openxmlformats.org/officeDocument/2006/relationships/hyperlink" Target="Photos\PB270048.JPG" TargetMode="External"/><Relationship Id="rId322" Type="http://schemas.openxmlformats.org/officeDocument/2006/relationships/hyperlink" Target="Photos\PAA40076.JPG" TargetMode="External"/><Relationship Id="rId767" Type="http://schemas.openxmlformats.org/officeDocument/2006/relationships/hyperlink" Target="Photos\PD030242.JPG" TargetMode="External"/><Relationship Id="rId974" Type="http://schemas.openxmlformats.org/officeDocument/2006/relationships/hyperlink" Target="Photos\PE010043.JPG" TargetMode="External"/><Relationship Id="rId199" Type="http://schemas.openxmlformats.org/officeDocument/2006/relationships/hyperlink" Target="Photos\PC120045.JPG" TargetMode="External"/><Relationship Id="rId627" Type="http://schemas.openxmlformats.org/officeDocument/2006/relationships/hyperlink" Target="Photos\PD020085.JPG" TargetMode="External"/><Relationship Id="rId834" Type="http://schemas.openxmlformats.org/officeDocument/2006/relationships/hyperlink" Target="Photos\PD060402.JPG" TargetMode="External"/><Relationship Id="rId1257" Type="http://schemas.openxmlformats.org/officeDocument/2006/relationships/hyperlink" Target="Photos\PG010003.JPG" TargetMode="External"/><Relationship Id="rId266" Type="http://schemas.openxmlformats.org/officeDocument/2006/relationships/hyperlink" Target="Photos\P1010064.JPG" TargetMode="External"/><Relationship Id="rId473" Type="http://schemas.openxmlformats.org/officeDocument/2006/relationships/hyperlink" Target="Photos\P2030073.JPG" TargetMode="External"/><Relationship Id="rId680" Type="http://schemas.openxmlformats.org/officeDocument/2006/relationships/hyperlink" Target="Photos\PD020122.JPG" TargetMode="External"/><Relationship Id="rId901" Type="http://schemas.openxmlformats.org/officeDocument/2006/relationships/hyperlink" Target="Photos\PD300600.JPG" TargetMode="External"/><Relationship Id="rId1117" Type="http://schemas.openxmlformats.org/officeDocument/2006/relationships/hyperlink" Target="Photos\PE010178.JPG" TargetMode="External"/><Relationship Id="rId1324" Type="http://schemas.openxmlformats.org/officeDocument/2006/relationships/hyperlink" Target="Photos\PG010069.JPG" TargetMode="External"/><Relationship Id="rId30" Type="http://schemas.openxmlformats.org/officeDocument/2006/relationships/hyperlink" Target="Photos\PB190378.JPG" TargetMode="External"/><Relationship Id="rId126" Type="http://schemas.openxmlformats.org/officeDocument/2006/relationships/hyperlink" Target="Photos\PB270036.JPG" TargetMode="External"/><Relationship Id="rId333" Type="http://schemas.openxmlformats.org/officeDocument/2006/relationships/hyperlink" Target="Photos\PAA50103.JPG" TargetMode="External"/><Relationship Id="rId540" Type="http://schemas.openxmlformats.org/officeDocument/2006/relationships/hyperlink" Target="Photos\P2040171.JPG" TargetMode="External"/><Relationship Id="rId778" Type="http://schemas.openxmlformats.org/officeDocument/2006/relationships/hyperlink" Target="Photos\PD040283.JPG" TargetMode="External"/><Relationship Id="rId985" Type="http://schemas.openxmlformats.org/officeDocument/2006/relationships/hyperlink" Target="Photos\PE010052.JPG" TargetMode="External"/><Relationship Id="rId1170" Type="http://schemas.openxmlformats.org/officeDocument/2006/relationships/hyperlink" Target="Photos\PE010223.JPG" TargetMode="External"/><Relationship Id="rId638" Type="http://schemas.openxmlformats.org/officeDocument/2006/relationships/hyperlink" Target="Photos\PD030210.JPG" TargetMode="External"/><Relationship Id="rId845" Type="http://schemas.openxmlformats.org/officeDocument/2006/relationships/hyperlink" Target="Photos\PD060415.JPG" TargetMode="External"/><Relationship Id="rId1030" Type="http://schemas.openxmlformats.org/officeDocument/2006/relationships/hyperlink" Target="Photos\PE010096.JPG" TargetMode="External"/><Relationship Id="rId1268" Type="http://schemas.openxmlformats.org/officeDocument/2006/relationships/hyperlink" Target="Photos\PG010014.JPG" TargetMode="External"/><Relationship Id="rId277" Type="http://schemas.openxmlformats.org/officeDocument/2006/relationships/hyperlink" Target="Photos\P1010044.JPG" TargetMode="External"/><Relationship Id="rId400" Type="http://schemas.openxmlformats.org/officeDocument/2006/relationships/hyperlink" Target="Photos\PAA90208.JPG" TargetMode="External"/><Relationship Id="rId484" Type="http://schemas.openxmlformats.org/officeDocument/2006/relationships/hyperlink" Target="Photos\P2030077.JPG" TargetMode="External"/><Relationship Id="rId705" Type="http://schemas.openxmlformats.org/officeDocument/2006/relationships/hyperlink" Target="Photos\PD020166.JPG" TargetMode="External"/><Relationship Id="rId1128" Type="http://schemas.openxmlformats.org/officeDocument/2006/relationships/hyperlink" Target="Photos\PE010191.JPG" TargetMode="External"/><Relationship Id="rId1335" Type="http://schemas.openxmlformats.org/officeDocument/2006/relationships/hyperlink" Target="Photos\PG010080.JPG" TargetMode="External"/><Relationship Id="rId137" Type="http://schemas.openxmlformats.org/officeDocument/2006/relationships/hyperlink" Target="Photos\PC120011.JPG" TargetMode="External"/><Relationship Id="rId344" Type="http://schemas.openxmlformats.org/officeDocument/2006/relationships/hyperlink" Target="Photos\PAA50105.JPG" TargetMode="External"/><Relationship Id="rId691" Type="http://schemas.openxmlformats.org/officeDocument/2006/relationships/hyperlink" Target="Photos\PD020144.JPG" TargetMode="External"/><Relationship Id="rId789" Type="http://schemas.openxmlformats.org/officeDocument/2006/relationships/hyperlink" Target="Photos\PD040270.JPG" TargetMode="External"/><Relationship Id="rId912" Type="http://schemas.openxmlformats.org/officeDocument/2006/relationships/hyperlink" Target="Photos\PD070003.JPG" TargetMode="External"/><Relationship Id="rId996" Type="http://schemas.openxmlformats.org/officeDocument/2006/relationships/hyperlink" Target="Photos\PE010063.JPG" TargetMode="External"/><Relationship Id="rId41" Type="http://schemas.openxmlformats.org/officeDocument/2006/relationships/hyperlink" Target="Photos\PB200015.JPG" TargetMode="External"/><Relationship Id="rId551" Type="http://schemas.openxmlformats.org/officeDocument/2006/relationships/hyperlink" Target="Photos\P2050206.JPG" TargetMode="External"/><Relationship Id="rId649" Type="http://schemas.openxmlformats.org/officeDocument/2006/relationships/hyperlink" Target="Photos\PD020081.JPG" TargetMode="External"/><Relationship Id="rId856" Type="http://schemas.openxmlformats.org/officeDocument/2006/relationships/hyperlink" Target="Photos\PD060388.JPG" TargetMode="External"/><Relationship Id="rId1181" Type="http://schemas.openxmlformats.org/officeDocument/2006/relationships/hyperlink" Target="Photos\PF010003.JPG" TargetMode="External"/><Relationship Id="rId1279" Type="http://schemas.openxmlformats.org/officeDocument/2006/relationships/hyperlink" Target="Photos\PG010024.JPG" TargetMode="External"/><Relationship Id="rId190" Type="http://schemas.openxmlformats.org/officeDocument/2006/relationships/hyperlink" Target="Photos\PC150017.JPG" TargetMode="External"/><Relationship Id="rId204" Type="http://schemas.openxmlformats.org/officeDocument/2006/relationships/hyperlink" Target="Photos\PC120039.JPG" TargetMode="External"/><Relationship Id="rId288" Type="http://schemas.openxmlformats.org/officeDocument/2006/relationships/hyperlink" Target="Photos\PAA40032.JPG" TargetMode="External"/><Relationship Id="rId411" Type="http://schemas.openxmlformats.org/officeDocument/2006/relationships/hyperlink" Target="Photos\PAA90202.JPG" TargetMode="External"/><Relationship Id="rId509" Type="http://schemas.openxmlformats.org/officeDocument/2006/relationships/hyperlink" Target="Photos\P2040145.JPG" TargetMode="External"/><Relationship Id="rId1041" Type="http://schemas.openxmlformats.org/officeDocument/2006/relationships/hyperlink" Target="Photos\PE010107.JPG" TargetMode="External"/><Relationship Id="rId1139" Type="http://schemas.openxmlformats.org/officeDocument/2006/relationships/hyperlink" Target="Photos\PE010197.JPG" TargetMode="External"/><Relationship Id="rId1346" Type="http://schemas.openxmlformats.org/officeDocument/2006/relationships/hyperlink" Target="Photos\PG010091.JPG" TargetMode="External"/><Relationship Id="rId495" Type="http://schemas.openxmlformats.org/officeDocument/2006/relationships/hyperlink" Target="Photos\P2030100.JPG" TargetMode="External"/><Relationship Id="rId716" Type="http://schemas.openxmlformats.org/officeDocument/2006/relationships/hyperlink" Target="Photos\PD030183.JPG" TargetMode="External"/><Relationship Id="rId923" Type="http://schemas.openxmlformats.org/officeDocument/2006/relationships/hyperlink" Target="Photos\PE010001.JPG" TargetMode="External"/><Relationship Id="rId52" Type="http://schemas.openxmlformats.org/officeDocument/2006/relationships/hyperlink" Target="Photos\PB210039.JPG" TargetMode="External"/><Relationship Id="rId148" Type="http://schemas.openxmlformats.org/officeDocument/2006/relationships/hyperlink" Target="Photos\P1010027.JPG" TargetMode="External"/><Relationship Id="rId355" Type="http://schemas.openxmlformats.org/officeDocument/2006/relationships/hyperlink" Target="Photos\PAA50123.JPG" TargetMode="External"/><Relationship Id="rId562" Type="http://schemas.openxmlformats.org/officeDocument/2006/relationships/hyperlink" Target="Photos\P2050186.JPG" TargetMode="External"/><Relationship Id="rId1192" Type="http://schemas.openxmlformats.org/officeDocument/2006/relationships/hyperlink" Target="Photos\PF010014.JPG" TargetMode="External"/><Relationship Id="rId1206" Type="http://schemas.openxmlformats.org/officeDocument/2006/relationships/hyperlink" Target="Photos\PF010028.JPG" TargetMode="External"/><Relationship Id="rId215" Type="http://schemas.openxmlformats.org/officeDocument/2006/relationships/hyperlink" Target="Photos\PC120014.JPG" TargetMode="External"/><Relationship Id="rId422" Type="http://schemas.openxmlformats.org/officeDocument/2006/relationships/hyperlink" Target="Photos\PAA90248.JPG" TargetMode="External"/><Relationship Id="rId867" Type="http://schemas.openxmlformats.org/officeDocument/2006/relationships/hyperlink" Target="Photos\PD300550.JPG" TargetMode="External"/><Relationship Id="rId1052" Type="http://schemas.openxmlformats.org/officeDocument/2006/relationships/hyperlink" Target="Photos\PE010118.JPG" TargetMode="External"/><Relationship Id="rId299" Type="http://schemas.openxmlformats.org/officeDocument/2006/relationships/hyperlink" Target="Photos\PAA40048.JPG" TargetMode="External"/><Relationship Id="rId727" Type="http://schemas.openxmlformats.org/officeDocument/2006/relationships/hyperlink" Target="Photos\PD170508.JPG" TargetMode="External"/><Relationship Id="rId934" Type="http://schemas.openxmlformats.org/officeDocument/2006/relationships/hyperlink" Target="Photos\PE010007.JPG" TargetMode="External"/><Relationship Id="rId63" Type="http://schemas.openxmlformats.org/officeDocument/2006/relationships/hyperlink" Target="Photos\PB210065.JPG" TargetMode="External"/><Relationship Id="rId159" Type="http://schemas.openxmlformats.org/officeDocument/2006/relationships/hyperlink" Target="Photos\PC150037.JPG" TargetMode="External"/><Relationship Id="rId366" Type="http://schemas.openxmlformats.org/officeDocument/2006/relationships/hyperlink" Target="Photos\PAA50139.JPG" TargetMode="External"/><Relationship Id="rId573" Type="http://schemas.openxmlformats.org/officeDocument/2006/relationships/hyperlink" Target="Photos\P2060215.JPG" TargetMode="External"/><Relationship Id="rId780" Type="http://schemas.openxmlformats.org/officeDocument/2006/relationships/hyperlink" Target="Photos\PD040258.JPG" TargetMode="External"/><Relationship Id="rId1217" Type="http://schemas.openxmlformats.org/officeDocument/2006/relationships/hyperlink" Target="Photos\PF010039.JPG" TargetMode="External"/><Relationship Id="rId226" Type="http://schemas.openxmlformats.org/officeDocument/2006/relationships/hyperlink" Target="Photos\PC120026.JPG" TargetMode="External"/><Relationship Id="rId433" Type="http://schemas.openxmlformats.org/officeDocument/2006/relationships/hyperlink" Target="Photos\PAA90257.JPG" TargetMode="External"/><Relationship Id="rId878" Type="http://schemas.openxmlformats.org/officeDocument/2006/relationships/hyperlink" Target="Photos\PD300587.JPG" TargetMode="External"/><Relationship Id="rId1063" Type="http://schemas.openxmlformats.org/officeDocument/2006/relationships/hyperlink" Target="Photos\PE010129.JPG" TargetMode="External"/><Relationship Id="rId1270" Type="http://schemas.openxmlformats.org/officeDocument/2006/relationships/hyperlink" Target="Photos\PG010016.JPG" TargetMode="External"/><Relationship Id="rId640" Type="http://schemas.openxmlformats.org/officeDocument/2006/relationships/hyperlink" Target="Photos\PD020103.JPG" TargetMode="External"/><Relationship Id="rId738" Type="http://schemas.openxmlformats.org/officeDocument/2006/relationships/hyperlink" Target="Photos\PC150040.JPG" TargetMode="External"/><Relationship Id="rId945" Type="http://schemas.openxmlformats.org/officeDocument/2006/relationships/hyperlink" Target="Photos\PE010014.JPG" TargetMode="External"/><Relationship Id="rId74" Type="http://schemas.openxmlformats.org/officeDocument/2006/relationships/hyperlink" Target="Photos\PB230032.JPG" TargetMode="External"/><Relationship Id="rId377" Type="http://schemas.openxmlformats.org/officeDocument/2006/relationships/hyperlink" Target="Photos\PAA50156.JPG" TargetMode="External"/><Relationship Id="rId500" Type="http://schemas.openxmlformats.org/officeDocument/2006/relationships/hyperlink" Target="Photos\P2040110.JPG" TargetMode="External"/><Relationship Id="rId584" Type="http://schemas.openxmlformats.org/officeDocument/2006/relationships/hyperlink" Target="Photos\P2060238.JPG" TargetMode="External"/><Relationship Id="rId805" Type="http://schemas.openxmlformats.org/officeDocument/2006/relationships/hyperlink" Target="Photos\PD040288.JPG" TargetMode="External"/><Relationship Id="rId1130" Type="http://schemas.openxmlformats.org/officeDocument/2006/relationships/hyperlink" Target="Photos\PE010192.JPG" TargetMode="External"/><Relationship Id="rId1228" Type="http://schemas.openxmlformats.org/officeDocument/2006/relationships/hyperlink" Target="Photos\PF010050.JPG" TargetMode="External"/><Relationship Id="rId5" Type="http://schemas.openxmlformats.org/officeDocument/2006/relationships/hyperlink" Target="Photos\PB200002.JPG" TargetMode="External"/><Relationship Id="rId237" Type="http://schemas.openxmlformats.org/officeDocument/2006/relationships/hyperlink" Target="Photos\PA010015.JPG" TargetMode="External"/><Relationship Id="rId791" Type="http://schemas.openxmlformats.org/officeDocument/2006/relationships/hyperlink" Target="Photos\PD040260.JPG" TargetMode="External"/><Relationship Id="rId889" Type="http://schemas.openxmlformats.org/officeDocument/2006/relationships/hyperlink" Target="Photos\PD090441.JPG" TargetMode="External"/><Relationship Id="rId1074" Type="http://schemas.openxmlformats.org/officeDocument/2006/relationships/hyperlink" Target="Photos\PE010140.JPG" TargetMode="External"/><Relationship Id="rId444" Type="http://schemas.openxmlformats.org/officeDocument/2006/relationships/hyperlink" Target="Photos\P2020052.JPG" TargetMode="External"/><Relationship Id="rId651" Type="http://schemas.openxmlformats.org/officeDocument/2006/relationships/hyperlink" Target="Photos\PD260032.JPG" TargetMode="External"/><Relationship Id="rId749" Type="http://schemas.openxmlformats.org/officeDocument/2006/relationships/hyperlink" Target="Photos\PD030198.JPG" TargetMode="External"/><Relationship Id="rId1281" Type="http://schemas.openxmlformats.org/officeDocument/2006/relationships/hyperlink" Target="Photos\PG010026.JPG" TargetMode="External"/><Relationship Id="rId290" Type="http://schemas.openxmlformats.org/officeDocument/2006/relationships/hyperlink" Target="Photos\PAA40036.JPG" TargetMode="External"/><Relationship Id="rId304" Type="http://schemas.openxmlformats.org/officeDocument/2006/relationships/hyperlink" Target="Photos\PAA40058.JPG" TargetMode="External"/><Relationship Id="rId388" Type="http://schemas.openxmlformats.org/officeDocument/2006/relationships/hyperlink" Target="Photos\PAA90188.JPG" TargetMode="External"/><Relationship Id="rId511" Type="http://schemas.openxmlformats.org/officeDocument/2006/relationships/hyperlink" Target="Photos\P2040126.JPG" TargetMode="External"/><Relationship Id="rId609" Type="http://schemas.openxmlformats.org/officeDocument/2006/relationships/hyperlink" Target="Photos\PAA40079.JPG" TargetMode="External"/><Relationship Id="rId956" Type="http://schemas.openxmlformats.org/officeDocument/2006/relationships/hyperlink" Target="Photos\PE010025.JPG" TargetMode="External"/><Relationship Id="rId1141" Type="http://schemas.openxmlformats.org/officeDocument/2006/relationships/hyperlink" Target="Photos\PE010197.JPG" TargetMode="External"/><Relationship Id="rId1239" Type="http://schemas.openxmlformats.org/officeDocument/2006/relationships/hyperlink" Target="Photos\PF010061.JPG" TargetMode="External"/><Relationship Id="rId85" Type="http://schemas.openxmlformats.org/officeDocument/2006/relationships/hyperlink" Target="Photos\PB230046.JPG" TargetMode="External"/><Relationship Id="rId150" Type="http://schemas.openxmlformats.org/officeDocument/2006/relationships/hyperlink" Target="Photos\P1010035.JPG" TargetMode="External"/><Relationship Id="rId595" Type="http://schemas.openxmlformats.org/officeDocument/2006/relationships/hyperlink" Target="Photos\P1200006.JPG" TargetMode="External"/><Relationship Id="rId816" Type="http://schemas.openxmlformats.org/officeDocument/2006/relationships/hyperlink" Target="Photos\PD050349.JPG" TargetMode="External"/><Relationship Id="rId1001" Type="http://schemas.openxmlformats.org/officeDocument/2006/relationships/hyperlink" Target="Photos\PE010068.JPG" TargetMode="External"/><Relationship Id="rId248" Type="http://schemas.openxmlformats.org/officeDocument/2006/relationships/hyperlink" Target="Photos\PAA90229.JPG" TargetMode="External"/><Relationship Id="rId455" Type="http://schemas.openxmlformats.org/officeDocument/2006/relationships/hyperlink" Target="Photos\P2020038.JPG" TargetMode="External"/><Relationship Id="rId662" Type="http://schemas.openxmlformats.org/officeDocument/2006/relationships/hyperlink" Target="Photos\PD020111.JPG" TargetMode="External"/><Relationship Id="rId1085" Type="http://schemas.openxmlformats.org/officeDocument/2006/relationships/hyperlink" Target="Photos\PE010151.JPG" TargetMode="External"/><Relationship Id="rId1292" Type="http://schemas.openxmlformats.org/officeDocument/2006/relationships/hyperlink" Target="Photos\PG010037.JPG" TargetMode="External"/><Relationship Id="rId1306" Type="http://schemas.openxmlformats.org/officeDocument/2006/relationships/hyperlink" Target="Photos\PG010051.JPG" TargetMode="External"/><Relationship Id="rId12" Type="http://schemas.openxmlformats.org/officeDocument/2006/relationships/hyperlink" Target="Photos\PB200009.JPG" TargetMode="External"/><Relationship Id="rId108" Type="http://schemas.openxmlformats.org/officeDocument/2006/relationships/hyperlink" Target="Photos\PB270018.JPG" TargetMode="External"/><Relationship Id="rId315" Type="http://schemas.openxmlformats.org/officeDocument/2006/relationships/hyperlink" Target="Photos\PAA40063.JPG" TargetMode="External"/><Relationship Id="rId522" Type="http://schemas.openxmlformats.org/officeDocument/2006/relationships/hyperlink" Target="Photos\P2040131.JPG" TargetMode="External"/><Relationship Id="rId967" Type="http://schemas.openxmlformats.org/officeDocument/2006/relationships/hyperlink" Target="Photos\PE010037.JPG" TargetMode="External"/><Relationship Id="rId1152" Type="http://schemas.openxmlformats.org/officeDocument/2006/relationships/hyperlink" Target="Photos\PE010206.JPG" TargetMode="External"/><Relationship Id="rId96" Type="http://schemas.openxmlformats.org/officeDocument/2006/relationships/hyperlink" Target="Photos\PB230015.JPG" TargetMode="External"/><Relationship Id="rId161" Type="http://schemas.openxmlformats.org/officeDocument/2006/relationships/hyperlink" Target="Photos\PC150035.JPG" TargetMode="External"/><Relationship Id="rId399" Type="http://schemas.openxmlformats.org/officeDocument/2006/relationships/hyperlink" Target="Photos\PAA90199.JPG" TargetMode="External"/><Relationship Id="rId827" Type="http://schemas.openxmlformats.org/officeDocument/2006/relationships/hyperlink" Target="Photos\PD050355.JPG" TargetMode="External"/><Relationship Id="rId1012" Type="http://schemas.openxmlformats.org/officeDocument/2006/relationships/hyperlink" Target="Photos\PE010079.JPG" TargetMode="External"/><Relationship Id="rId259" Type="http://schemas.openxmlformats.org/officeDocument/2006/relationships/hyperlink" Target="Photos\PAA40021.JPG" TargetMode="External"/><Relationship Id="rId466" Type="http://schemas.openxmlformats.org/officeDocument/2006/relationships/hyperlink" Target="Photos\P2030067.JPG" TargetMode="External"/><Relationship Id="rId673" Type="http://schemas.openxmlformats.org/officeDocument/2006/relationships/hyperlink" Target="Photos\PD020128.JPG" TargetMode="External"/><Relationship Id="rId880" Type="http://schemas.openxmlformats.org/officeDocument/2006/relationships/hyperlink" Target="Photos\PD300561.JPG" TargetMode="External"/><Relationship Id="rId1096" Type="http://schemas.openxmlformats.org/officeDocument/2006/relationships/hyperlink" Target="Photos\PE010159.JPG" TargetMode="External"/><Relationship Id="rId1317" Type="http://schemas.openxmlformats.org/officeDocument/2006/relationships/hyperlink" Target="Photos\PG010062.JPG" TargetMode="External"/><Relationship Id="rId23" Type="http://schemas.openxmlformats.org/officeDocument/2006/relationships/hyperlink" Target="Photos\PB190371.JPG" TargetMode="External"/><Relationship Id="rId119" Type="http://schemas.openxmlformats.org/officeDocument/2006/relationships/hyperlink" Target="Photos\PB270020.JPG" TargetMode="External"/><Relationship Id="rId326" Type="http://schemas.openxmlformats.org/officeDocument/2006/relationships/hyperlink" Target="Photos\PAA50098.JPG" TargetMode="External"/><Relationship Id="rId533" Type="http://schemas.openxmlformats.org/officeDocument/2006/relationships/hyperlink" Target="Photos\P2040159.JPG" TargetMode="External"/><Relationship Id="rId978" Type="http://schemas.openxmlformats.org/officeDocument/2006/relationships/hyperlink" Target="Photos\PE010045.JPG" TargetMode="External"/><Relationship Id="rId1163" Type="http://schemas.openxmlformats.org/officeDocument/2006/relationships/hyperlink" Target="Photos\PE010216.JPG" TargetMode="External"/><Relationship Id="rId740" Type="http://schemas.openxmlformats.org/officeDocument/2006/relationships/hyperlink" Target="Photos\PC120005A.JPG" TargetMode="External"/><Relationship Id="rId838" Type="http://schemas.openxmlformats.org/officeDocument/2006/relationships/hyperlink" Target="Photos\PD060401.JPG" TargetMode="External"/><Relationship Id="rId1023" Type="http://schemas.openxmlformats.org/officeDocument/2006/relationships/hyperlink" Target="Photos\PE010090.JPG" TargetMode="External"/><Relationship Id="rId172" Type="http://schemas.openxmlformats.org/officeDocument/2006/relationships/hyperlink" Target="Photos\PC150029.JPG" TargetMode="External"/><Relationship Id="rId477" Type="http://schemas.openxmlformats.org/officeDocument/2006/relationships/hyperlink" Target="Photos\P2030059.JPG" TargetMode="External"/><Relationship Id="rId600" Type="http://schemas.openxmlformats.org/officeDocument/2006/relationships/hyperlink" Target="Photos\PC120001.JPG" TargetMode="External"/><Relationship Id="rId684" Type="http://schemas.openxmlformats.org/officeDocument/2006/relationships/hyperlink" Target="Photos\PD020133.JPG" TargetMode="External"/><Relationship Id="rId1230" Type="http://schemas.openxmlformats.org/officeDocument/2006/relationships/hyperlink" Target="Photos\PF010052.JPG" TargetMode="External"/><Relationship Id="rId1328" Type="http://schemas.openxmlformats.org/officeDocument/2006/relationships/hyperlink" Target="Photos\PG010073.JPG" TargetMode="External"/><Relationship Id="rId337" Type="http://schemas.openxmlformats.org/officeDocument/2006/relationships/hyperlink" Target="Photos\PAA50111.JPG" TargetMode="External"/><Relationship Id="rId891" Type="http://schemas.openxmlformats.org/officeDocument/2006/relationships/hyperlink" Target="Photos\PD090448.JPG" TargetMode="External"/><Relationship Id="rId905" Type="http://schemas.openxmlformats.org/officeDocument/2006/relationships/hyperlink" Target="Photos\PD310614.JPG" TargetMode="External"/><Relationship Id="rId989" Type="http://schemas.openxmlformats.org/officeDocument/2006/relationships/hyperlink" Target="Photos\PE010056.JPG" TargetMode="External"/><Relationship Id="rId34" Type="http://schemas.openxmlformats.org/officeDocument/2006/relationships/hyperlink" Target="Photos\PB190382.JPG" TargetMode="External"/><Relationship Id="rId544" Type="http://schemas.openxmlformats.org/officeDocument/2006/relationships/hyperlink" Target="Photos\P2050181.JPG" TargetMode="External"/><Relationship Id="rId751" Type="http://schemas.openxmlformats.org/officeDocument/2006/relationships/hyperlink" Target="Photos\PD030195.JPG" TargetMode="External"/><Relationship Id="rId849" Type="http://schemas.openxmlformats.org/officeDocument/2006/relationships/hyperlink" Target="Photos\PD060395.JPG" TargetMode="External"/><Relationship Id="rId1174" Type="http://schemas.openxmlformats.org/officeDocument/2006/relationships/hyperlink" Target="Photos\PD020113.JPG" TargetMode="External"/><Relationship Id="rId183" Type="http://schemas.openxmlformats.org/officeDocument/2006/relationships/hyperlink" Target="Photos\PC150009.JPG" TargetMode="External"/><Relationship Id="rId390" Type="http://schemas.openxmlformats.org/officeDocument/2006/relationships/hyperlink" Target="Photos\PAA60167.JPG" TargetMode="External"/><Relationship Id="rId404" Type="http://schemas.openxmlformats.org/officeDocument/2006/relationships/hyperlink" Target="Photos\PAA90193.JPG" TargetMode="External"/><Relationship Id="rId611" Type="http://schemas.openxmlformats.org/officeDocument/2006/relationships/hyperlink" Target="Photos\P2020002.JPG" TargetMode="External"/><Relationship Id="rId1034" Type="http://schemas.openxmlformats.org/officeDocument/2006/relationships/hyperlink" Target="Photos\PE010100.JPG" TargetMode="External"/><Relationship Id="rId1241" Type="http://schemas.openxmlformats.org/officeDocument/2006/relationships/hyperlink" Target="Photos\PF010063.JPG" TargetMode="External"/><Relationship Id="rId1339" Type="http://schemas.openxmlformats.org/officeDocument/2006/relationships/hyperlink" Target="Photos\PG010083.JPG" TargetMode="External"/><Relationship Id="rId250" Type="http://schemas.openxmlformats.org/officeDocument/2006/relationships/hyperlink" Target="Photos\PAA90233.JPG" TargetMode="External"/><Relationship Id="rId488" Type="http://schemas.openxmlformats.org/officeDocument/2006/relationships/hyperlink" Target="Photos\P2030088.JPG" TargetMode="External"/><Relationship Id="rId695" Type="http://schemas.openxmlformats.org/officeDocument/2006/relationships/hyperlink" Target="Photos\PD020173.JPG" TargetMode="External"/><Relationship Id="rId709" Type="http://schemas.openxmlformats.org/officeDocument/2006/relationships/hyperlink" Target="Photos\PD020165.JPG" TargetMode="External"/><Relationship Id="rId916" Type="http://schemas.openxmlformats.org/officeDocument/2006/relationships/hyperlink" Target="Photos\P2080015.JPG" TargetMode="External"/><Relationship Id="rId1101" Type="http://schemas.openxmlformats.org/officeDocument/2006/relationships/hyperlink" Target="Photos\PE010164.JPG" TargetMode="External"/><Relationship Id="rId45" Type="http://schemas.openxmlformats.org/officeDocument/2006/relationships/hyperlink" Target="Photos\PB200033.JPG" TargetMode="External"/><Relationship Id="rId110" Type="http://schemas.openxmlformats.org/officeDocument/2006/relationships/hyperlink" Target="Photos\PB260002.JPG" TargetMode="External"/><Relationship Id="rId348" Type="http://schemas.openxmlformats.org/officeDocument/2006/relationships/hyperlink" Target="Photos\PAA40089.JPG" TargetMode="External"/><Relationship Id="rId555" Type="http://schemas.openxmlformats.org/officeDocument/2006/relationships/hyperlink" Target="Photos\P2050200.JPG" TargetMode="External"/><Relationship Id="rId762" Type="http://schemas.openxmlformats.org/officeDocument/2006/relationships/hyperlink" Target="../../AppData/Roaming/Microsoft/Excel/Photos/PD030232.JPG" TargetMode="External"/><Relationship Id="rId1185" Type="http://schemas.openxmlformats.org/officeDocument/2006/relationships/hyperlink" Target="Photos\PF010007.JPG" TargetMode="External"/><Relationship Id="rId194" Type="http://schemas.openxmlformats.org/officeDocument/2006/relationships/hyperlink" Target="Photos\PC150005.JPG" TargetMode="External"/><Relationship Id="rId208" Type="http://schemas.openxmlformats.org/officeDocument/2006/relationships/hyperlink" Target="Photos\PC120035.JPG" TargetMode="External"/><Relationship Id="rId415" Type="http://schemas.openxmlformats.org/officeDocument/2006/relationships/hyperlink" Target="Photos\PAA60179.JPG" TargetMode="External"/><Relationship Id="rId622" Type="http://schemas.openxmlformats.org/officeDocument/2006/relationships/hyperlink" Target="Photos\PD260017.JPG" TargetMode="External"/><Relationship Id="rId1045" Type="http://schemas.openxmlformats.org/officeDocument/2006/relationships/hyperlink" Target="Photos\PE010111.JPG" TargetMode="External"/><Relationship Id="rId1252" Type="http://schemas.openxmlformats.org/officeDocument/2006/relationships/hyperlink" Target="Photos\PF010074.JPG" TargetMode="External"/><Relationship Id="rId261" Type="http://schemas.openxmlformats.org/officeDocument/2006/relationships/hyperlink" Target="Photos\P1010057.JPG" TargetMode="External"/><Relationship Id="rId499" Type="http://schemas.openxmlformats.org/officeDocument/2006/relationships/hyperlink" Target="Photos\P2040109.JPG" TargetMode="External"/><Relationship Id="rId927" Type="http://schemas.openxmlformats.org/officeDocument/2006/relationships/hyperlink" Target="Photos\P2030082.JPG" TargetMode="External"/><Relationship Id="rId1112" Type="http://schemas.openxmlformats.org/officeDocument/2006/relationships/hyperlink" Target="Photos\PE010173.JPG" TargetMode="External"/><Relationship Id="rId56" Type="http://schemas.openxmlformats.org/officeDocument/2006/relationships/hyperlink" Target="Photos\PB210054.JPG" TargetMode="External"/><Relationship Id="rId359" Type="http://schemas.openxmlformats.org/officeDocument/2006/relationships/hyperlink" Target="Photos\PAA50145.JPG" TargetMode="External"/><Relationship Id="rId566" Type="http://schemas.openxmlformats.org/officeDocument/2006/relationships/hyperlink" Target="Photos\P2060223.JPG" TargetMode="External"/><Relationship Id="rId773" Type="http://schemas.openxmlformats.org/officeDocument/2006/relationships/hyperlink" Target="Photos\PD040247.JPG" TargetMode="External"/><Relationship Id="rId1196" Type="http://schemas.openxmlformats.org/officeDocument/2006/relationships/hyperlink" Target="Photos\PF010018.JPG" TargetMode="External"/><Relationship Id="rId121" Type="http://schemas.openxmlformats.org/officeDocument/2006/relationships/hyperlink" Target="Photos\PB270023.JPG" TargetMode="External"/><Relationship Id="rId219" Type="http://schemas.openxmlformats.org/officeDocument/2006/relationships/hyperlink" Target="Photos\PC120018.JPG" TargetMode="External"/><Relationship Id="rId426" Type="http://schemas.openxmlformats.org/officeDocument/2006/relationships/hyperlink" Target="Photos\PAA90260.JPG" TargetMode="External"/><Relationship Id="rId633" Type="http://schemas.openxmlformats.org/officeDocument/2006/relationships/hyperlink" Target="Photos\PD020090.JPG" TargetMode="External"/><Relationship Id="rId980" Type="http://schemas.openxmlformats.org/officeDocument/2006/relationships/hyperlink" Target="Photos\PE010047.JPG" TargetMode="External"/><Relationship Id="rId1056" Type="http://schemas.openxmlformats.org/officeDocument/2006/relationships/hyperlink" Target="Photos\PE010122.JPG" TargetMode="External"/><Relationship Id="rId1263" Type="http://schemas.openxmlformats.org/officeDocument/2006/relationships/hyperlink" Target="Photos\PG010009.JPG" TargetMode="External"/><Relationship Id="rId840" Type="http://schemas.openxmlformats.org/officeDocument/2006/relationships/hyperlink" Target="Photos\PD060419.JPG" TargetMode="External"/><Relationship Id="rId938" Type="http://schemas.openxmlformats.org/officeDocument/2006/relationships/hyperlink" Target="Photos\PE010005.JPG" TargetMode="External"/><Relationship Id="rId67" Type="http://schemas.openxmlformats.org/officeDocument/2006/relationships/hyperlink" Target="Photos\PB230023.JPG" TargetMode="External"/><Relationship Id="rId272" Type="http://schemas.openxmlformats.org/officeDocument/2006/relationships/hyperlink" Target="Photos\PAA90220.JPG" TargetMode="External"/><Relationship Id="rId577" Type="http://schemas.openxmlformats.org/officeDocument/2006/relationships/hyperlink" Target="Photos\P2060227.JPG" TargetMode="External"/><Relationship Id="rId700" Type="http://schemas.openxmlformats.org/officeDocument/2006/relationships/hyperlink" Target="Photos\PD020148.JPG" TargetMode="External"/><Relationship Id="rId1123" Type="http://schemas.openxmlformats.org/officeDocument/2006/relationships/hyperlink" Target="Photos\PE010183.JPG" TargetMode="External"/><Relationship Id="rId1330" Type="http://schemas.openxmlformats.org/officeDocument/2006/relationships/hyperlink" Target="Photos\PG010075.JPG" TargetMode="External"/><Relationship Id="rId132" Type="http://schemas.openxmlformats.org/officeDocument/2006/relationships/hyperlink" Target="Photos\PC120004.JPG" TargetMode="External"/><Relationship Id="rId784" Type="http://schemas.openxmlformats.org/officeDocument/2006/relationships/hyperlink" Target="Photos\PD040274.JPG" TargetMode="External"/><Relationship Id="rId991" Type="http://schemas.openxmlformats.org/officeDocument/2006/relationships/hyperlink" Target="Photos\PE010058.JPG" TargetMode="External"/><Relationship Id="rId1067" Type="http://schemas.openxmlformats.org/officeDocument/2006/relationships/hyperlink" Target="Photos\PE010133.JPG" TargetMode="External"/><Relationship Id="rId437" Type="http://schemas.openxmlformats.org/officeDocument/2006/relationships/hyperlink" Target="Photos\P2020018.JPG" TargetMode="External"/><Relationship Id="rId644" Type="http://schemas.openxmlformats.org/officeDocument/2006/relationships/hyperlink" Target="Photos\PD020097.JPG" TargetMode="External"/><Relationship Id="rId851" Type="http://schemas.openxmlformats.org/officeDocument/2006/relationships/hyperlink" Target="Photos\PD060374.JPG" TargetMode="External"/><Relationship Id="rId1274" Type="http://schemas.openxmlformats.org/officeDocument/2006/relationships/hyperlink" Target="Photos\PG010020.JPG" TargetMode="External"/><Relationship Id="rId283" Type="http://schemas.openxmlformats.org/officeDocument/2006/relationships/hyperlink" Target="Photos\PAA40024.JPG" TargetMode="External"/><Relationship Id="rId490" Type="http://schemas.openxmlformats.org/officeDocument/2006/relationships/hyperlink" Target="Photos\P2030094.JPG" TargetMode="External"/><Relationship Id="rId504" Type="http://schemas.openxmlformats.org/officeDocument/2006/relationships/hyperlink" Target="Photos\P2040118.JPG" TargetMode="External"/><Relationship Id="rId711" Type="http://schemas.openxmlformats.org/officeDocument/2006/relationships/hyperlink" Target="Photos\PD020155.JPG" TargetMode="External"/><Relationship Id="rId949" Type="http://schemas.openxmlformats.org/officeDocument/2006/relationships/hyperlink" Target="Photos\PE010018.JPG" TargetMode="External"/><Relationship Id="rId1134" Type="http://schemas.openxmlformats.org/officeDocument/2006/relationships/hyperlink" Target="Photos\PE010194.JPG" TargetMode="External"/><Relationship Id="rId1341" Type="http://schemas.openxmlformats.org/officeDocument/2006/relationships/hyperlink" Target="Photos\PG010085.JPG" TargetMode="External"/><Relationship Id="rId78" Type="http://schemas.openxmlformats.org/officeDocument/2006/relationships/hyperlink" Target="Photos\PB230038.JPG" TargetMode="External"/><Relationship Id="rId143" Type="http://schemas.openxmlformats.org/officeDocument/2006/relationships/hyperlink" Target="Photos\P1010015.JPG" TargetMode="External"/><Relationship Id="rId350" Type="http://schemas.openxmlformats.org/officeDocument/2006/relationships/hyperlink" Target="Photos\PAA40086.JPG" TargetMode="External"/><Relationship Id="rId588" Type="http://schemas.openxmlformats.org/officeDocument/2006/relationships/hyperlink" Target="Photos\P2060249.JPG" TargetMode="External"/><Relationship Id="rId795" Type="http://schemas.openxmlformats.org/officeDocument/2006/relationships/hyperlink" Target="Photos\PD040305.JPG" TargetMode="External"/><Relationship Id="rId809" Type="http://schemas.openxmlformats.org/officeDocument/2006/relationships/hyperlink" Target="Photos\PD050361.JPG" TargetMode="External"/><Relationship Id="rId1201" Type="http://schemas.openxmlformats.org/officeDocument/2006/relationships/hyperlink" Target="Photos\PF010023.JPG" TargetMode="External"/><Relationship Id="rId9" Type="http://schemas.openxmlformats.org/officeDocument/2006/relationships/hyperlink" Target="Photos\PB200006.JPG" TargetMode="External"/><Relationship Id="rId210" Type="http://schemas.openxmlformats.org/officeDocument/2006/relationships/hyperlink" Target="Photos\PC120032.JPG" TargetMode="External"/><Relationship Id="rId448" Type="http://schemas.openxmlformats.org/officeDocument/2006/relationships/hyperlink" Target="Photos\P2020045.JPG" TargetMode="External"/><Relationship Id="rId655" Type="http://schemas.openxmlformats.org/officeDocument/2006/relationships/hyperlink" Target="Photos\PD260048.JPG" TargetMode="External"/><Relationship Id="rId862" Type="http://schemas.openxmlformats.org/officeDocument/2006/relationships/hyperlink" Target="Photos\PD300540.JPG" TargetMode="External"/><Relationship Id="rId1078" Type="http://schemas.openxmlformats.org/officeDocument/2006/relationships/hyperlink" Target="Photos\PE010144.JPG" TargetMode="External"/><Relationship Id="rId1285" Type="http://schemas.openxmlformats.org/officeDocument/2006/relationships/hyperlink" Target="Photos\PG010030.JPG" TargetMode="External"/><Relationship Id="rId294" Type="http://schemas.openxmlformats.org/officeDocument/2006/relationships/hyperlink" Target="Photos\P1010072.JPG" TargetMode="External"/><Relationship Id="rId308" Type="http://schemas.openxmlformats.org/officeDocument/2006/relationships/hyperlink" Target="Photos\PAA40059.JPG" TargetMode="External"/><Relationship Id="rId515" Type="http://schemas.openxmlformats.org/officeDocument/2006/relationships/hyperlink" Target="Photos\P2040150.JPG" TargetMode="External"/><Relationship Id="rId722" Type="http://schemas.openxmlformats.org/officeDocument/2006/relationships/hyperlink" Target="Photos\PD170499.JPG" TargetMode="External"/><Relationship Id="rId1145" Type="http://schemas.openxmlformats.org/officeDocument/2006/relationships/hyperlink" Target="Photos\PE010201.JPG" TargetMode="External"/><Relationship Id="rId1352" Type="http://schemas.openxmlformats.org/officeDocument/2006/relationships/hyperlink" Target="Photos\PG010097.JPG" TargetMode="External"/><Relationship Id="rId89" Type="http://schemas.openxmlformats.org/officeDocument/2006/relationships/hyperlink" Target="Photos\PB230001.JPG" TargetMode="External"/><Relationship Id="rId154" Type="http://schemas.openxmlformats.org/officeDocument/2006/relationships/hyperlink" Target="Photos\PC150043.JPG" TargetMode="External"/><Relationship Id="rId361" Type="http://schemas.openxmlformats.org/officeDocument/2006/relationships/hyperlink" Target="Photos\PAA50137.JPG" TargetMode="External"/><Relationship Id="rId599" Type="http://schemas.openxmlformats.org/officeDocument/2006/relationships/hyperlink" Target="Photos\PC110001.JPG" TargetMode="External"/><Relationship Id="rId1005" Type="http://schemas.openxmlformats.org/officeDocument/2006/relationships/hyperlink" Target="Photos\PE010072.JPG" TargetMode="External"/><Relationship Id="rId1212" Type="http://schemas.openxmlformats.org/officeDocument/2006/relationships/hyperlink" Target="Photos\PF010034.JPG" TargetMode="External"/><Relationship Id="rId459" Type="http://schemas.openxmlformats.org/officeDocument/2006/relationships/hyperlink" Target="Photos\P2020035.JPG" TargetMode="External"/><Relationship Id="rId666" Type="http://schemas.openxmlformats.org/officeDocument/2006/relationships/hyperlink" Target="Photos\PD260057.JPG" TargetMode="External"/><Relationship Id="rId873" Type="http://schemas.openxmlformats.org/officeDocument/2006/relationships/hyperlink" Target="Photos\PD300578.JPG" TargetMode="External"/><Relationship Id="rId1089" Type="http://schemas.openxmlformats.org/officeDocument/2006/relationships/hyperlink" Target="Photos\PE010155.JPG" TargetMode="External"/><Relationship Id="rId1296" Type="http://schemas.openxmlformats.org/officeDocument/2006/relationships/hyperlink" Target="Photos\PG010041.JPG" TargetMode="External"/><Relationship Id="rId16" Type="http://schemas.openxmlformats.org/officeDocument/2006/relationships/hyperlink" Target="Photos\PB190358.JPG" TargetMode="External"/><Relationship Id="rId221" Type="http://schemas.openxmlformats.org/officeDocument/2006/relationships/hyperlink" Target="Photos\PC120020.JPG" TargetMode="External"/><Relationship Id="rId319" Type="http://schemas.openxmlformats.org/officeDocument/2006/relationships/hyperlink" Target="Photos\PAA40075.JPG" TargetMode="External"/><Relationship Id="rId526" Type="http://schemas.openxmlformats.org/officeDocument/2006/relationships/hyperlink" Target="Photos\P2040137.JPG" TargetMode="External"/><Relationship Id="rId1156" Type="http://schemas.openxmlformats.org/officeDocument/2006/relationships/hyperlink" Target="Photos\PE010209.JPG" TargetMode="External"/><Relationship Id="rId733" Type="http://schemas.openxmlformats.org/officeDocument/2006/relationships/hyperlink" Target="Photos\PD170470.JPG" TargetMode="External"/><Relationship Id="rId940" Type="http://schemas.openxmlformats.org/officeDocument/2006/relationships/hyperlink" Target="Photos\PE010011.JPG" TargetMode="External"/><Relationship Id="rId1016" Type="http://schemas.openxmlformats.org/officeDocument/2006/relationships/hyperlink" Target="Photos\PE010083.JPG" TargetMode="External"/><Relationship Id="rId165" Type="http://schemas.openxmlformats.org/officeDocument/2006/relationships/hyperlink" Target="Photos\PC150019.JPG" TargetMode="External"/><Relationship Id="rId372" Type="http://schemas.openxmlformats.org/officeDocument/2006/relationships/hyperlink" Target="Photos\PAA50159.JPG" TargetMode="External"/><Relationship Id="rId677" Type="http://schemas.openxmlformats.org/officeDocument/2006/relationships/hyperlink" Target="Photos\PD020121.JPG" TargetMode="External"/><Relationship Id="rId800" Type="http://schemas.openxmlformats.org/officeDocument/2006/relationships/hyperlink" Target="Photos\PD040294.JPG" TargetMode="External"/><Relationship Id="rId1223" Type="http://schemas.openxmlformats.org/officeDocument/2006/relationships/hyperlink" Target="Photos\PF010045.JPG" TargetMode="External"/><Relationship Id="rId232" Type="http://schemas.openxmlformats.org/officeDocument/2006/relationships/hyperlink" Target="Photos\PA010008.JPG" TargetMode="External"/><Relationship Id="rId884" Type="http://schemas.openxmlformats.org/officeDocument/2006/relationships/hyperlink" Target="Photos\PD090438.JPG" TargetMode="External"/><Relationship Id="rId27" Type="http://schemas.openxmlformats.org/officeDocument/2006/relationships/hyperlink" Target="Photos\PB190375.JPG" TargetMode="External"/><Relationship Id="rId537" Type="http://schemas.openxmlformats.org/officeDocument/2006/relationships/hyperlink" Target="Photos\P2040162.JPG" TargetMode="External"/><Relationship Id="rId744" Type="http://schemas.openxmlformats.org/officeDocument/2006/relationships/hyperlink" Target="Photos\PD030199.JPG" TargetMode="External"/><Relationship Id="rId951" Type="http://schemas.openxmlformats.org/officeDocument/2006/relationships/hyperlink" Target="Photos\PE010020.JPG" TargetMode="External"/><Relationship Id="rId1167" Type="http://schemas.openxmlformats.org/officeDocument/2006/relationships/hyperlink" Target="Photos\PE010220.JPG" TargetMode="External"/><Relationship Id="rId80" Type="http://schemas.openxmlformats.org/officeDocument/2006/relationships/hyperlink" Target="Photos\PB230041.JPG" TargetMode="External"/><Relationship Id="rId176" Type="http://schemas.openxmlformats.org/officeDocument/2006/relationships/hyperlink" Target="Photos\P1010004.JPG" TargetMode="External"/><Relationship Id="rId383" Type="http://schemas.openxmlformats.org/officeDocument/2006/relationships/hyperlink" Target="Photos\PAA60161.JPG" TargetMode="External"/><Relationship Id="rId590" Type="http://schemas.openxmlformats.org/officeDocument/2006/relationships/hyperlink" Target="Photos\P2060253.JPG" TargetMode="External"/><Relationship Id="rId604" Type="http://schemas.openxmlformats.org/officeDocument/2006/relationships/hyperlink" Target="Photos\P1220007.JPG" TargetMode="External"/><Relationship Id="rId811" Type="http://schemas.openxmlformats.org/officeDocument/2006/relationships/hyperlink" Target="Photos\PD050365.JPG" TargetMode="External"/><Relationship Id="rId1027" Type="http://schemas.openxmlformats.org/officeDocument/2006/relationships/hyperlink" Target="Photos\PE010094.JPG" TargetMode="External"/><Relationship Id="rId1234" Type="http://schemas.openxmlformats.org/officeDocument/2006/relationships/hyperlink" Target="Photos\PF010056.JPG" TargetMode="External"/><Relationship Id="rId243" Type="http://schemas.openxmlformats.org/officeDocument/2006/relationships/hyperlink" Target="Photos\P1010012.JPG" TargetMode="External"/><Relationship Id="rId450" Type="http://schemas.openxmlformats.org/officeDocument/2006/relationships/hyperlink" Target="Photos\P2020044.JPG" TargetMode="External"/><Relationship Id="rId688" Type="http://schemas.openxmlformats.org/officeDocument/2006/relationships/hyperlink" Target="Photos\PD020135.JPG" TargetMode="External"/><Relationship Id="rId895" Type="http://schemas.openxmlformats.org/officeDocument/2006/relationships/hyperlink" Target="Photos\PD300596.JPG" TargetMode="External"/><Relationship Id="rId909" Type="http://schemas.openxmlformats.org/officeDocument/2006/relationships/hyperlink" Target="Photos\PD090459.JPG" TargetMode="External"/><Relationship Id="rId1080" Type="http://schemas.openxmlformats.org/officeDocument/2006/relationships/hyperlink" Target="Photos\PE010146.JPG" TargetMode="External"/><Relationship Id="rId1301" Type="http://schemas.openxmlformats.org/officeDocument/2006/relationships/hyperlink" Target="Photos\PG010046.JPG" TargetMode="External"/><Relationship Id="rId38" Type="http://schemas.openxmlformats.org/officeDocument/2006/relationships/hyperlink" Target="Photos\PB200023.JPG" TargetMode="External"/><Relationship Id="rId103" Type="http://schemas.openxmlformats.org/officeDocument/2006/relationships/hyperlink" Target="Photos\PB270008.JPG" TargetMode="External"/><Relationship Id="rId310" Type="http://schemas.openxmlformats.org/officeDocument/2006/relationships/hyperlink" Target="Photos\PAA40064.JPG" TargetMode="External"/><Relationship Id="rId548" Type="http://schemas.openxmlformats.org/officeDocument/2006/relationships/hyperlink" Target="Photos\P2050174.JPG" TargetMode="External"/><Relationship Id="rId755" Type="http://schemas.openxmlformats.org/officeDocument/2006/relationships/hyperlink" Target="Photos\PD030224.JPG" TargetMode="External"/><Relationship Id="rId962" Type="http://schemas.openxmlformats.org/officeDocument/2006/relationships/hyperlink" Target="Photos\PE010031.JPG" TargetMode="External"/><Relationship Id="rId1178" Type="http://schemas.openxmlformats.org/officeDocument/2006/relationships/hyperlink" Target="Photos\PD030188.JPG" TargetMode="External"/><Relationship Id="rId91" Type="http://schemas.openxmlformats.org/officeDocument/2006/relationships/hyperlink" Target="Photos\PB230005.JPG" TargetMode="External"/><Relationship Id="rId187" Type="http://schemas.openxmlformats.org/officeDocument/2006/relationships/hyperlink" Target="Photos\PC150007.JPG" TargetMode="External"/><Relationship Id="rId394" Type="http://schemas.openxmlformats.org/officeDocument/2006/relationships/hyperlink" Target="Photos\PAA60175.JPG" TargetMode="External"/><Relationship Id="rId408" Type="http://schemas.openxmlformats.org/officeDocument/2006/relationships/hyperlink" Target="Photos\PAA60186.JPG" TargetMode="External"/><Relationship Id="rId615" Type="http://schemas.openxmlformats.org/officeDocument/2006/relationships/hyperlink" Target="Photos\P2030079.JPG" TargetMode="External"/><Relationship Id="rId822" Type="http://schemas.openxmlformats.org/officeDocument/2006/relationships/hyperlink" Target="Photos\PD050343.JPG" TargetMode="External"/><Relationship Id="rId1038" Type="http://schemas.openxmlformats.org/officeDocument/2006/relationships/hyperlink" Target="Photos\PE010104.JPG" TargetMode="External"/><Relationship Id="rId1245" Type="http://schemas.openxmlformats.org/officeDocument/2006/relationships/hyperlink" Target="Photos\PF010067.JPG" TargetMode="External"/><Relationship Id="rId254" Type="http://schemas.openxmlformats.org/officeDocument/2006/relationships/hyperlink" Target="Photos\P1010066.JPG" TargetMode="External"/><Relationship Id="rId699" Type="http://schemas.openxmlformats.org/officeDocument/2006/relationships/hyperlink" Target="Photos\PD020146.JPG" TargetMode="External"/><Relationship Id="rId1091" Type="http://schemas.openxmlformats.org/officeDocument/2006/relationships/hyperlink" Target="Photos\PE010157.JPG" TargetMode="External"/><Relationship Id="rId1105" Type="http://schemas.openxmlformats.org/officeDocument/2006/relationships/hyperlink" Target="Photos\PE010168.JPG" TargetMode="External"/><Relationship Id="rId1312" Type="http://schemas.openxmlformats.org/officeDocument/2006/relationships/hyperlink" Target="Photos\PG010057.JPG" TargetMode="External"/><Relationship Id="rId49" Type="http://schemas.openxmlformats.org/officeDocument/2006/relationships/hyperlink" Target="Photos\PB200030.JPG" TargetMode="External"/><Relationship Id="rId114" Type="http://schemas.openxmlformats.org/officeDocument/2006/relationships/hyperlink" Target="Photos\PB270047.JPG" TargetMode="External"/><Relationship Id="rId461" Type="http://schemas.openxmlformats.org/officeDocument/2006/relationships/hyperlink" Target="Photos\P2020029.JPG" TargetMode="External"/><Relationship Id="rId559" Type="http://schemas.openxmlformats.org/officeDocument/2006/relationships/hyperlink" Target="Photos\P2050187.JPG" TargetMode="External"/><Relationship Id="rId766" Type="http://schemas.openxmlformats.org/officeDocument/2006/relationships/hyperlink" Target="Photos\PD030240.JPG" TargetMode="External"/><Relationship Id="rId1189" Type="http://schemas.openxmlformats.org/officeDocument/2006/relationships/hyperlink" Target="Photos\PF010011.JPG" TargetMode="External"/><Relationship Id="rId198" Type="http://schemas.openxmlformats.org/officeDocument/2006/relationships/hyperlink" Target="Photos\PC120049.JPG" TargetMode="External"/><Relationship Id="rId321" Type="http://schemas.openxmlformats.org/officeDocument/2006/relationships/hyperlink" Target="Photos\PAA40072.JPG" TargetMode="External"/><Relationship Id="rId419" Type="http://schemas.openxmlformats.org/officeDocument/2006/relationships/hyperlink" Target="Photos\PAA90236.JPG" TargetMode="External"/><Relationship Id="rId626" Type="http://schemas.openxmlformats.org/officeDocument/2006/relationships/hyperlink" Target="Photos\PD260022.JPG" TargetMode="External"/><Relationship Id="rId973" Type="http://schemas.openxmlformats.org/officeDocument/2006/relationships/hyperlink" Target="Photos\PE010042.JPG" TargetMode="External"/><Relationship Id="rId1049" Type="http://schemas.openxmlformats.org/officeDocument/2006/relationships/hyperlink" Target="Photos\PE010115.JPG" TargetMode="External"/><Relationship Id="rId1256" Type="http://schemas.openxmlformats.org/officeDocument/2006/relationships/hyperlink" Target="Photos\PG010002.JPG" TargetMode="External"/><Relationship Id="rId833" Type="http://schemas.openxmlformats.org/officeDocument/2006/relationships/hyperlink" Target="Photos\PD060429.JPG" TargetMode="External"/><Relationship Id="rId1116" Type="http://schemas.openxmlformats.org/officeDocument/2006/relationships/hyperlink" Target="Photos\PE010177.JPG" TargetMode="External"/><Relationship Id="rId265" Type="http://schemas.openxmlformats.org/officeDocument/2006/relationships/hyperlink" Target="Photos\P1010063.JPG" TargetMode="External"/><Relationship Id="rId472" Type="http://schemas.openxmlformats.org/officeDocument/2006/relationships/hyperlink" Target="Photos\P2030072.JPG" TargetMode="External"/><Relationship Id="rId900" Type="http://schemas.openxmlformats.org/officeDocument/2006/relationships/hyperlink" Target="Photos\PD300599.JPG" TargetMode="External"/><Relationship Id="rId1323" Type="http://schemas.openxmlformats.org/officeDocument/2006/relationships/hyperlink" Target="Photos\PG010068.JPG" TargetMode="External"/><Relationship Id="rId125" Type="http://schemas.openxmlformats.org/officeDocument/2006/relationships/hyperlink" Target="Photos\PB270030.JPG" TargetMode="External"/><Relationship Id="rId332" Type="http://schemas.openxmlformats.org/officeDocument/2006/relationships/hyperlink" Target="Photos\PAA50100.JPG" TargetMode="External"/><Relationship Id="rId777" Type="http://schemas.openxmlformats.org/officeDocument/2006/relationships/hyperlink" Target="Photos\PD040280.JPG" TargetMode="External"/><Relationship Id="rId984" Type="http://schemas.openxmlformats.org/officeDocument/2006/relationships/hyperlink" Target="Photos\PE010051.JPG" TargetMode="External"/><Relationship Id="rId637" Type="http://schemas.openxmlformats.org/officeDocument/2006/relationships/hyperlink" Target="Photos\PD020095.JPG" TargetMode="External"/><Relationship Id="rId844" Type="http://schemas.openxmlformats.org/officeDocument/2006/relationships/hyperlink" Target="Photos\PD060414.JPG" TargetMode="External"/><Relationship Id="rId1267" Type="http://schemas.openxmlformats.org/officeDocument/2006/relationships/hyperlink" Target="Photos\PG010013.JPG" TargetMode="External"/><Relationship Id="rId276" Type="http://schemas.openxmlformats.org/officeDocument/2006/relationships/hyperlink" Target="Photos\P1010053.JPG" TargetMode="External"/><Relationship Id="rId483" Type="http://schemas.openxmlformats.org/officeDocument/2006/relationships/hyperlink" Target="Photos\P2030076.JPG" TargetMode="External"/><Relationship Id="rId690" Type="http://schemas.openxmlformats.org/officeDocument/2006/relationships/hyperlink" Target="Photos\PD020137.JPG" TargetMode="External"/><Relationship Id="rId704" Type="http://schemas.openxmlformats.org/officeDocument/2006/relationships/hyperlink" Target="Photos\PD020152.JPG" TargetMode="External"/><Relationship Id="rId911" Type="http://schemas.openxmlformats.org/officeDocument/2006/relationships/hyperlink" Target="Photos\P2070002.JPG" TargetMode="External"/><Relationship Id="rId1127" Type="http://schemas.openxmlformats.org/officeDocument/2006/relationships/hyperlink" Target="Photos\PE010187.JPG" TargetMode="External"/><Relationship Id="rId1334" Type="http://schemas.openxmlformats.org/officeDocument/2006/relationships/hyperlink" Target="Photos\PG010079.JPG" TargetMode="External"/><Relationship Id="rId40" Type="http://schemas.openxmlformats.org/officeDocument/2006/relationships/hyperlink" Target="Photos\PB200014.JPG" TargetMode="External"/><Relationship Id="rId136" Type="http://schemas.openxmlformats.org/officeDocument/2006/relationships/hyperlink" Target="Photos\PC120010.JPG" TargetMode="External"/><Relationship Id="rId343" Type="http://schemas.openxmlformats.org/officeDocument/2006/relationships/hyperlink" Target="Photos\PAA50113.JPG" TargetMode="External"/><Relationship Id="rId550" Type="http://schemas.openxmlformats.org/officeDocument/2006/relationships/hyperlink" Target="Photos\P2050204.JPG" TargetMode="External"/><Relationship Id="rId788" Type="http://schemas.openxmlformats.org/officeDocument/2006/relationships/hyperlink" Target="Photos\PD040269.JPG" TargetMode="External"/><Relationship Id="rId995" Type="http://schemas.openxmlformats.org/officeDocument/2006/relationships/hyperlink" Target="Photos\PE010062.JPG" TargetMode="External"/><Relationship Id="rId1180" Type="http://schemas.openxmlformats.org/officeDocument/2006/relationships/hyperlink" Target="Photos\PF010002.JPG" TargetMode="External"/><Relationship Id="rId203" Type="http://schemas.openxmlformats.org/officeDocument/2006/relationships/hyperlink" Target="Photos\PC120043.JPG" TargetMode="External"/><Relationship Id="rId648" Type="http://schemas.openxmlformats.org/officeDocument/2006/relationships/hyperlink" Target="Photos\PD260031.JPG" TargetMode="External"/><Relationship Id="rId855" Type="http://schemas.openxmlformats.org/officeDocument/2006/relationships/hyperlink" Target="Photos\PD060386.JPG" TargetMode="External"/><Relationship Id="rId1040" Type="http://schemas.openxmlformats.org/officeDocument/2006/relationships/hyperlink" Target="Photos\PE010106.JPG" TargetMode="External"/><Relationship Id="rId1278" Type="http://schemas.openxmlformats.org/officeDocument/2006/relationships/hyperlink" Target="Photos\PG010023.JPG" TargetMode="External"/><Relationship Id="rId287" Type="http://schemas.openxmlformats.org/officeDocument/2006/relationships/hyperlink" Target="Photos\PAA40031.JPG" TargetMode="External"/><Relationship Id="rId410" Type="http://schemas.openxmlformats.org/officeDocument/2006/relationships/hyperlink" Target="Photos\PAA90201.JPG" TargetMode="External"/><Relationship Id="rId494" Type="http://schemas.openxmlformats.org/officeDocument/2006/relationships/hyperlink" Target="Photos\P2030099.JPG" TargetMode="External"/><Relationship Id="rId508" Type="http://schemas.openxmlformats.org/officeDocument/2006/relationships/hyperlink" Target="Photos\P2040142.JPG" TargetMode="External"/><Relationship Id="rId715" Type="http://schemas.openxmlformats.org/officeDocument/2006/relationships/hyperlink" Target="Photos\PD020159.JPG" TargetMode="External"/><Relationship Id="rId922" Type="http://schemas.openxmlformats.org/officeDocument/2006/relationships/hyperlink" Target="Photos\P2030111.JPG" TargetMode="External"/><Relationship Id="rId1138" Type="http://schemas.openxmlformats.org/officeDocument/2006/relationships/hyperlink" Target="Photos\PE010196.JPG" TargetMode="External"/><Relationship Id="rId1345" Type="http://schemas.openxmlformats.org/officeDocument/2006/relationships/hyperlink" Target="Photos\PG010090.JPG" TargetMode="External"/><Relationship Id="rId147" Type="http://schemas.openxmlformats.org/officeDocument/2006/relationships/hyperlink" Target="Photos\P1010025.JPG" TargetMode="External"/><Relationship Id="rId354" Type="http://schemas.openxmlformats.org/officeDocument/2006/relationships/hyperlink" Target="Photos\PAA50122.JPG" TargetMode="External"/><Relationship Id="rId799" Type="http://schemas.openxmlformats.org/officeDocument/2006/relationships/hyperlink" Target="Photos\PD040303.JPG" TargetMode="External"/><Relationship Id="rId1191" Type="http://schemas.openxmlformats.org/officeDocument/2006/relationships/hyperlink" Target="Photos\PF010013.JPG" TargetMode="External"/><Relationship Id="rId1205" Type="http://schemas.openxmlformats.org/officeDocument/2006/relationships/hyperlink" Target="Photos\PF010027.JPG" TargetMode="External"/><Relationship Id="rId51" Type="http://schemas.openxmlformats.org/officeDocument/2006/relationships/hyperlink" Target="Photos\PB210038.JPG" TargetMode="External"/><Relationship Id="rId561" Type="http://schemas.openxmlformats.org/officeDocument/2006/relationships/hyperlink" Target="Photos\P2050184.JPG" TargetMode="External"/><Relationship Id="rId659" Type="http://schemas.openxmlformats.org/officeDocument/2006/relationships/hyperlink" Target="Photos\PD260053.JPG" TargetMode="External"/><Relationship Id="rId866" Type="http://schemas.openxmlformats.org/officeDocument/2006/relationships/hyperlink" Target="Photos\PD300549.JPG" TargetMode="External"/><Relationship Id="rId1289" Type="http://schemas.openxmlformats.org/officeDocument/2006/relationships/hyperlink" Target="Photos\PG010034.JPG" TargetMode="External"/><Relationship Id="rId214" Type="http://schemas.openxmlformats.org/officeDocument/2006/relationships/hyperlink" Target="Photos\PC120058.JPG" TargetMode="External"/><Relationship Id="rId298" Type="http://schemas.openxmlformats.org/officeDocument/2006/relationships/hyperlink" Target="Photos\PAA40047.JPG" TargetMode="External"/><Relationship Id="rId421" Type="http://schemas.openxmlformats.org/officeDocument/2006/relationships/hyperlink" Target="Photos\PAA90238.JPG" TargetMode="External"/><Relationship Id="rId519" Type="http://schemas.openxmlformats.org/officeDocument/2006/relationships/hyperlink" Target="Photos\P2040153.JPG" TargetMode="External"/><Relationship Id="rId1051" Type="http://schemas.openxmlformats.org/officeDocument/2006/relationships/hyperlink" Target="Photos\PE010117.JPG" TargetMode="External"/><Relationship Id="rId1149" Type="http://schemas.openxmlformats.org/officeDocument/2006/relationships/hyperlink" Target="Photos\PE010204.JPG" TargetMode="External"/><Relationship Id="rId158" Type="http://schemas.openxmlformats.org/officeDocument/2006/relationships/hyperlink" Target="Photos\PC150039.JPG" TargetMode="External"/><Relationship Id="rId726" Type="http://schemas.openxmlformats.org/officeDocument/2006/relationships/hyperlink" Target="Photos\PD170505.JPG" TargetMode="External"/><Relationship Id="rId933" Type="http://schemas.openxmlformats.org/officeDocument/2006/relationships/hyperlink" Target="Photos\PE010004.JPG" TargetMode="External"/><Relationship Id="rId1009" Type="http://schemas.openxmlformats.org/officeDocument/2006/relationships/hyperlink" Target="Photos\PE010076.JPG" TargetMode="External"/><Relationship Id="rId62" Type="http://schemas.openxmlformats.org/officeDocument/2006/relationships/hyperlink" Target="Photos\PB210063.JPG" TargetMode="External"/><Relationship Id="rId365" Type="http://schemas.openxmlformats.org/officeDocument/2006/relationships/hyperlink" Target="Photos\PAA50138.JPG" TargetMode="External"/><Relationship Id="rId572" Type="http://schemas.openxmlformats.org/officeDocument/2006/relationships/hyperlink" Target="Photos\P2060220.JPG" TargetMode="External"/><Relationship Id="rId1216" Type="http://schemas.openxmlformats.org/officeDocument/2006/relationships/hyperlink" Target="Photos\PF010038.JPG" TargetMode="External"/><Relationship Id="rId225" Type="http://schemas.openxmlformats.org/officeDocument/2006/relationships/hyperlink" Target="Photos\PC120025.JPG" TargetMode="External"/><Relationship Id="rId432" Type="http://schemas.openxmlformats.org/officeDocument/2006/relationships/hyperlink" Target="Photos\PAA90262.JPG" TargetMode="External"/><Relationship Id="rId877" Type="http://schemas.openxmlformats.org/officeDocument/2006/relationships/hyperlink" Target="Photos\PD300586.JPG" TargetMode="External"/><Relationship Id="rId1062" Type="http://schemas.openxmlformats.org/officeDocument/2006/relationships/hyperlink" Target="Photos\PE010128.JPG" TargetMode="External"/><Relationship Id="rId737" Type="http://schemas.openxmlformats.org/officeDocument/2006/relationships/hyperlink" Target="Photos\PD170480.JPG" TargetMode="External"/><Relationship Id="rId944" Type="http://schemas.openxmlformats.org/officeDocument/2006/relationships/hyperlink" Target="Photos\PE010013.JPG" TargetMode="External"/><Relationship Id="rId73" Type="http://schemas.openxmlformats.org/officeDocument/2006/relationships/hyperlink" Target="Photos\PB230031.JPG" TargetMode="External"/><Relationship Id="rId169" Type="http://schemas.openxmlformats.org/officeDocument/2006/relationships/hyperlink" Target="Photos\PC150023.JPG" TargetMode="External"/><Relationship Id="rId376" Type="http://schemas.openxmlformats.org/officeDocument/2006/relationships/hyperlink" Target="Photos\PAA50154.JPG" TargetMode="External"/><Relationship Id="rId583" Type="http://schemas.openxmlformats.org/officeDocument/2006/relationships/hyperlink" Target="Photos\P2060250.JPG" TargetMode="External"/><Relationship Id="rId790" Type="http://schemas.openxmlformats.org/officeDocument/2006/relationships/hyperlink" Target="Photos\PD040272.JPG" TargetMode="External"/><Relationship Id="rId804" Type="http://schemas.openxmlformats.org/officeDocument/2006/relationships/hyperlink" Target="Photos\PD040293.JPG" TargetMode="External"/><Relationship Id="rId1227" Type="http://schemas.openxmlformats.org/officeDocument/2006/relationships/hyperlink" Target="Photos\PF010049.JPG" TargetMode="External"/><Relationship Id="rId4" Type="http://schemas.openxmlformats.org/officeDocument/2006/relationships/hyperlink" Target="Photos\PB200001.JPG" TargetMode="External"/><Relationship Id="rId236" Type="http://schemas.openxmlformats.org/officeDocument/2006/relationships/hyperlink" Target="Photos\PA010017.JPG" TargetMode="External"/><Relationship Id="rId443" Type="http://schemas.openxmlformats.org/officeDocument/2006/relationships/hyperlink" Target="Photos\P2020051.JPG" TargetMode="External"/><Relationship Id="rId650" Type="http://schemas.openxmlformats.org/officeDocument/2006/relationships/hyperlink" Target="Photos\PD020082.JPG" TargetMode="External"/><Relationship Id="rId888" Type="http://schemas.openxmlformats.org/officeDocument/2006/relationships/hyperlink" Target="Photos\PD090453.JPG" TargetMode="External"/><Relationship Id="rId1073" Type="http://schemas.openxmlformats.org/officeDocument/2006/relationships/hyperlink" Target="Photos\PE010139.JPG" TargetMode="External"/><Relationship Id="rId1280" Type="http://schemas.openxmlformats.org/officeDocument/2006/relationships/hyperlink" Target="Photos\PG010025.JPG" TargetMode="External"/><Relationship Id="rId303" Type="http://schemas.openxmlformats.org/officeDocument/2006/relationships/hyperlink" Target="Photos\PAA40055.JPG" TargetMode="External"/><Relationship Id="rId748" Type="http://schemas.openxmlformats.org/officeDocument/2006/relationships/hyperlink" Target="Photos\PD030196.JPG" TargetMode="External"/><Relationship Id="rId955" Type="http://schemas.openxmlformats.org/officeDocument/2006/relationships/hyperlink" Target="Photos\PE010024.JPG" TargetMode="External"/><Relationship Id="rId1140" Type="http://schemas.openxmlformats.org/officeDocument/2006/relationships/hyperlink" Target="Photos\PE010198.JPG" TargetMode="External"/><Relationship Id="rId84" Type="http://schemas.openxmlformats.org/officeDocument/2006/relationships/hyperlink" Target="Photos\PB230045.JPG" TargetMode="External"/><Relationship Id="rId387" Type="http://schemas.openxmlformats.org/officeDocument/2006/relationships/hyperlink" Target="Photos\PAA90187.JPG" TargetMode="External"/><Relationship Id="rId510" Type="http://schemas.openxmlformats.org/officeDocument/2006/relationships/hyperlink" Target="Photos\P2040125.JPG" TargetMode="External"/><Relationship Id="rId594" Type="http://schemas.openxmlformats.org/officeDocument/2006/relationships/hyperlink" Target="Photos\P1200005.JPG" TargetMode="External"/><Relationship Id="rId608" Type="http://schemas.openxmlformats.org/officeDocument/2006/relationships/hyperlink" Target="Photos\PAA40078.JPG" TargetMode="External"/><Relationship Id="rId815" Type="http://schemas.openxmlformats.org/officeDocument/2006/relationships/hyperlink" Target="Photos\PD050326.JPG" TargetMode="External"/><Relationship Id="rId1238" Type="http://schemas.openxmlformats.org/officeDocument/2006/relationships/hyperlink" Target="Photos\PF010060.JPG" TargetMode="External"/><Relationship Id="rId247" Type="http://schemas.openxmlformats.org/officeDocument/2006/relationships/hyperlink" Target="Photos\PAA90226.JPG" TargetMode="External"/><Relationship Id="rId899" Type="http://schemas.openxmlformats.org/officeDocument/2006/relationships/hyperlink" Target="Photos\PD300605.JPG" TargetMode="External"/><Relationship Id="rId1000" Type="http://schemas.openxmlformats.org/officeDocument/2006/relationships/hyperlink" Target="Photos\PE010067.JPG" TargetMode="External"/><Relationship Id="rId1084" Type="http://schemas.openxmlformats.org/officeDocument/2006/relationships/hyperlink" Target="Photos\PE010150.JPG" TargetMode="External"/><Relationship Id="rId1305" Type="http://schemas.openxmlformats.org/officeDocument/2006/relationships/hyperlink" Target="Photos\PG010050.JPG" TargetMode="External"/><Relationship Id="rId107" Type="http://schemas.openxmlformats.org/officeDocument/2006/relationships/hyperlink" Target="Photos\PB270017.JPG" TargetMode="External"/><Relationship Id="rId454" Type="http://schemas.openxmlformats.org/officeDocument/2006/relationships/hyperlink" Target="Photos\P2020037.JPG" TargetMode="External"/><Relationship Id="rId661" Type="http://schemas.openxmlformats.org/officeDocument/2006/relationships/hyperlink" Target="Photos\PD020110.JPG" TargetMode="External"/><Relationship Id="rId759" Type="http://schemas.openxmlformats.org/officeDocument/2006/relationships/hyperlink" Target="Photos\PD030225.JPG" TargetMode="External"/><Relationship Id="rId966" Type="http://schemas.openxmlformats.org/officeDocument/2006/relationships/hyperlink" Target="Photos\PE010035.JPG" TargetMode="External"/><Relationship Id="rId1291" Type="http://schemas.openxmlformats.org/officeDocument/2006/relationships/hyperlink" Target="Photos\PG010036.JPG" TargetMode="External"/><Relationship Id="rId11" Type="http://schemas.openxmlformats.org/officeDocument/2006/relationships/hyperlink" Target="Photos\PB200008.JPG" TargetMode="External"/><Relationship Id="rId314" Type="http://schemas.openxmlformats.org/officeDocument/2006/relationships/hyperlink" Target="Photos\PAA40062.JPG" TargetMode="External"/><Relationship Id="rId398" Type="http://schemas.openxmlformats.org/officeDocument/2006/relationships/hyperlink" Target="Photos\PAA90198.JPG" TargetMode="External"/><Relationship Id="rId521" Type="http://schemas.openxmlformats.org/officeDocument/2006/relationships/hyperlink" Target="Photos\P2040130.JPG" TargetMode="External"/><Relationship Id="rId619" Type="http://schemas.openxmlformats.org/officeDocument/2006/relationships/hyperlink" Target="Photos\PD020081.JPG" TargetMode="External"/><Relationship Id="rId1151" Type="http://schemas.openxmlformats.org/officeDocument/2006/relationships/hyperlink" Target="Photos\PE010195.JPG" TargetMode="External"/><Relationship Id="rId1249" Type="http://schemas.openxmlformats.org/officeDocument/2006/relationships/hyperlink" Target="Photos\PF010071.JPG" TargetMode="External"/><Relationship Id="rId95" Type="http://schemas.openxmlformats.org/officeDocument/2006/relationships/hyperlink" Target="Photos\PB230014.JPG" TargetMode="External"/><Relationship Id="rId160" Type="http://schemas.openxmlformats.org/officeDocument/2006/relationships/hyperlink" Target="Photos\PC150038.JPG" TargetMode="External"/><Relationship Id="rId826" Type="http://schemas.openxmlformats.org/officeDocument/2006/relationships/hyperlink" Target="Photos\PD050312.JPG" TargetMode="External"/><Relationship Id="rId1011" Type="http://schemas.openxmlformats.org/officeDocument/2006/relationships/hyperlink" Target="Photos\PE010078.JPG" TargetMode="External"/><Relationship Id="rId1109" Type="http://schemas.openxmlformats.org/officeDocument/2006/relationships/hyperlink" Target="Photos\PE010170.JPG" TargetMode="External"/><Relationship Id="rId258" Type="http://schemas.openxmlformats.org/officeDocument/2006/relationships/hyperlink" Target="Photos\P1010069.JPG" TargetMode="External"/><Relationship Id="rId465" Type="http://schemas.openxmlformats.org/officeDocument/2006/relationships/hyperlink" Target="Photos\P2060209.JPG" TargetMode="External"/><Relationship Id="rId672" Type="http://schemas.openxmlformats.org/officeDocument/2006/relationships/hyperlink" Target="Photos\PD020127.JPG" TargetMode="External"/><Relationship Id="rId1095" Type="http://schemas.openxmlformats.org/officeDocument/2006/relationships/hyperlink" Target="Photos\PE010188.JPG" TargetMode="External"/><Relationship Id="rId1316" Type="http://schemas.openxmlformats.org/officeDocument/2006/relationships/hyperlink" Target="Photos\PG010061.JPG" TargetMode="External"/><Relationship Id="rId22" Type="http://schemas.openxmlformats.org/officeDocument/2006/relationships/hyperlink" Target="Photos\PB190370.JPG" TargetMode="External"/><Relationship Id="rId118" Type="http://schemas.openxmlformats.org/officeDocument/2006/relationships/hyperlink" Target="Photos\PB270046A.JPG" TargetMode="External"/><Relationship Id="rId325" Type="http://schemas.openxmlformats.org/officeDocument/2006/relationships/hyperlink" Target="Photos\PAA50096.JPG" TargetMode="External"/><Relationship Id="rId532" Type="http://schemas.openxmlformats.org/officeDocument/2006/relationships/hyperlink" Target="Photos\P2040158.JPG" TargetMode="External"/><Relationship Id="rId977" Type="http://schemas.openxmlformats.org/officeDocument/2006/relationships/hyperlink" Target="Photos\PE010044.JPG" TargetMode="External"/><Relationship Id="rId1162" Type="http://schemas.openxmlformats.org/officeDocument/2006/relationships/hyperlink" Target="Photos\PE010215.JPG" TargetMode="External"/><Relationship Id="rId171" Type="http://schemas.openxmlformats.org/officeDocument/2006/relationships/hyperlink" Target="Photos\PC150028.JPG" TargetMode="External"/><Relationship Id="rId837" Type="http://schemas.openxmlformats.org/officeDocument/2006/relationships/hyperlink" Target="Photos\PD060400.JPG" TargetMode="External"/><Relationship Id="rId1022" Type="http://schemas.openxmlformats.org/officeDocument/2006/relationships/hyperlink" Target="Photos\PE010089.JPG" TargetMode="External"/><Relationship Id="rId269" Type="http://schemas.openxmlformats.org/officeDocument/2006/relationships/hyperlink" Target="Photos\P1010054.JPG" TargetMode="External"/><Relationship Id="rId476" Type="http://schemas.openxmlformats.org/officeDocument/2006/relationships/hyperlink" Target="Photos\P2030058.JPG" TargetMode="External"/><Relationship Id="rId683" Type="http://schemas.openxmlformats.org/officeDocument/2006/relationships/hyperlink" Target="Photos\PD020131.JPG" TargetMode="External"/><Relationship Id="rId890" Type="http://schemas.openxmlformats.org/officeDocument/2006/relationships/hyperlink" Target="Photos\PD090446.JPG" TargetMode="External"/><Relationship Id="rId904" Type="http://schemas.openxmlformats.org/officeDocument/2006/relationships/hyperlink" Target="Photos\PD310611.JPG" TargetMode="External"/><Relationship Id="rId1327" Type="http://schemas.openxmlformats.org/officeDocument/2006/relationships/hyperlink" Target="Photos\PG010072.JPG" TargetMode="External"/><Relationship Id="rId33" Type="http://schemas.openxmlformats.org/officeDocument/2006/relationships/hyperlink" Target="Photos\PB190381.JPG" TargetMode="External"/><Relationship Id="rId129" Type="http://schemas.openxmlformats.org/officeDocument/2006/relationships/hyperlink" Target="Photos\PB270041.JPG" TargetMode="External"/><Relationship Id="rId336" Type="http://schemas.openxmlformats.org/officeDocument/2006/relationships/hyperlink" Target="Photos\PAA50110.JPG" TargetMode="External"/><Relationship Id="rId543" Type="http://schemas.openxmlformats.org/officeDocument/2006/relationships/hyperlink" Target="Photos\P2050180.JPG" TargetMode="External"/><Relationship Id="rId988" Type="http://schemas.openxmlformats.org/officeDocument/2006/relationships/hyperlink" Target="Photos\PE010055.JPG" TargetMode="External"/><Relationship Id="rId1173" Type="http://schemas.openxmlformats.org/officeDocument/2006/relationships/hyperlink" Target="Photos\PD030213.JPG" TargetMode="External"/><Relationship Id="rId182" Type="http://schemas.openxmlformats.org/officeDocument/2006/relationships/hyperlink" Target="Photos\PC150016.JPG" TargetMode="External"/><Relationship Id="rId403" Type="http://schemas.openxmlformats.org/officeDocument/2006/relationships/hyperlink" Target="Photos\PAA90192.JPG" TargetMode="External"/><Relationship Id="rId750" Type="http://schemas.openxmlformats.org/officeDocument/2006/relationships/hyperlink" Target="Photos\PD030194.JPG" TargetMode="External"/><Relationship Id="rId848" Type="http://schemas.openxmlformats.org/officeDocument/2006/relationships/hyperlink" Target="Photos\PD060393.JPG" TargetMode="External"/><Relationship Id="rId1033" Type="http://schemas.openxmlformats.org/officeDocument/2006/relationships/hyperlink" Target="Photos\PE010099.JPG" TargetMode="External"/><Relationship Id="rId487" Type="http://schemas.openxmlformats.org/officeDocument/2006/relationships/hyperlink" Target="Photos\P2030086.JPG" TargetMode="External"/><Relationship Id="rId610" Type="http://schemas.openxmlformats.org/officeDocument/2006/relationships/hyperlink" Target="Photos\P2020001.JPG" TargetMode="External"/><Relationship Id="rId694" Type="http://schemas.openxmlformats.org/officeDocument/2006/relationships/hyperlink" Target="Photos\PD020172.JPG" TargetMode="External"/><Relationship Id="rId708" Type="http://schemas.openxmlformats.org/officeDocument/2006/relationships/hyperlink" Target="Photos\PD020164.JPG" TargetMode="External"/><Relationship Id="rId915" Type="http://schemas.openxmlformats.org/officeDocument/2006/relationships/hyperlink" Target="Photos\P2070007.JPG" TargetMode="External"/><Relationship Id="rId1240" Type="http://schemas.openxmlformats.org/officeDocument/2006/relationships/hyperlink" Target="Photos\PF010062.JPG" TargetMode="External"/><Relationship Id="rId1338" Type="http://schemas.openxmlformats.org/officeDocument/2006/relationships/hyperlink" Target="Photos\PG010082.JPG" TargetMode="External"/><Relationship Id="rId347" Type="http://schemas.openxmlformats.org/officeDocument/2006/relationships/hyperlink" Target="Photos\PAA40088.JPG" TargetMode="External"/><Relationship Id="rId999" Type="http://schemas.openxmlformats.org/officeDocument/2006/relationships/hyperlink" Target="Photos\PE010066.JPG" TargetMode="External"/><Relationship Id="rId1100" Type="http://schemas.openxmlformats.org/officeDocument/2006/relationships/hyperlink" Target="Photos\PE010163.JPG" TargetMode="External"/><Relationship Id="rId1184" Type="http://schemas.openxmlformats.org/officeDocument/2006/relationships/hyperlink" Target="Photos\PF010006.JPG" TargetMode="External"/><Relationship Id="rId44" Type="http://schemas.openxmlformats.org/officeDocument/2006/relationships/hyperlink" Target="Photos\PB200032.JPG" TargetMode="External"/><Relationship Id="rId554" Type="http://schemas.openxmlformats.org/officeDocument/2006/relationships/hyperlink" Target="Photos\P2050199.JPG" TargetMode="External"/><Relationship Id="rId761" Type="http://schemas.openxmlformats.org/officeDocument/2006/relationships/hyperlink" Target="../../AppData/Roaming/Microsoft/Excel/Photos/PD030231.JPG" TargetMode="External"/><Relationship Id="rId859" Type="http://schemas.openxmlformats.org/officeDocument/2006/relationships/hyperlink" Target="Photos\PD060385.JPG" TargetMode="External"/><Relationship Id="rId193" Type="http://schemas.openxmlformats.org/officeDocument/2006/relationships/hyperlink" Target="Photos\PC150003.JPG" TargetMode="External"/><Relationship Id="rId207" Type="http://schemas.openxmlformats.org/officeDocument/2006/relationships/hyperlink" Target="Photos\PC120034.JPG" TargetMode="External"/><Relationship Id="rId414" Type="http://schemas.openxmlformats.org/officeDocument/2006/relationships/hyperlink" Target="Photos\PAA60178.JPG" TargetMode="External"/><Relationship Id="rId498" Type="http://schemas.openxmlformats.org/officeDocument/2006/relationships/hyperlink" Target="Photos\P2030108.JPG" TargetMode="External"/><Relationship Id="rId621" Type="http://schemas.openxmlformats.org/officeDocument/2006/relationships/hyperlink" Target="Photos\PD260015.JPG" TargetMode="External"/><Relationship Id="rId1044" Type="http://schemas.openxmlformats.org/officeDocument/2006/relationships/hyperlink" Target="Photos\PE010110.JPG" TargetMode="External"/><Relationship Id="rId1251" Type="http://schemas.openxmlformats.org/officeDocument/2006/relationships/hyperlink" Target="Photos\PF010073.JPG" TargetMode="External"/><Relationship Id="rId1349" Type="http://schemas.openxmlformats.org/officeDocument/2006/relationships/hyperlink" Target="Photos\PG010094.JPG" TargetMode="External"/><Relationship Id="rId260" Type="http://schemas.openxmlformats.org/officeDocument/2006/relationships/hyperlink" Target="Photos\PAA40022.JPG" TargetMode="External"/><Relationship Id="rId719" Type="http://schemas.openxmlformats.org/officeDocument/2006/relationships/hyperlink" Target="Photos\PD170523.JPG" TargetMode="External"/><Relationship Id="rId926" Type="http://schemas.openxmlformats.org/officeDocument/2006/relationships/hyperlink" Target="Photos\P2030081.JPG" TargetMode="External"/><Relationship Id="rId1111" Type="http://schemas.openxmlformats.org/officeDocument/2006/relationships/hyperlink" Target="Photos\PE010172.JPG" TargetMode="External"/><Relationship Id="rId55" Type="http://schemas.openxmlformats.org/officeDocument/2006/relationships/hyperlink" Target="Photos\PB210050.JPG" TargetMode="External"/><Relationship Id="rId120" Type="http://schemas.openxmlformats.org/officeDocument/2006/relationships/hyperlink" Target="Photos\PB270021.JPG" TargetMode="External"/><Relationship Id="rId358" Type="http://schemas.openxmlformats.org/officeDocument/2006/relationships/hyperlink" Target="Photos\PAA50121.JPG" TargetMode="External"/><Relationship Id="rId565" Type="http://schemas.openxmlformats.org/officeDocument/2006/relationships/hyperlink" Target="Photos\P2060222.JPG" TargetMode="External"/><Relationship Id="rId772" Type="http://schemas.openxmlformats.org/officeDocument/2006/relationships/hyperlink" Target="Photos\PD040252.JPG" TargetMode="External"/><Relationship Id="rId1195" Type="http://schemas.openxmlformats.org/officeDocument/2006/relationships/hyperlink" Target="Photos\PF010017.JPG" TargetMode="External"/><Relationship Id="rId1209" Type="http://schemas.openxmlformats.org/officeDocument/2006/relationships/hyperlink" Target="Photos\PF010031.JPG" TargetMode="External"/><Relationship Id="rId218" Type="http://schemas.openxmlformats.org/officeDocument/2006/relationships/hyperlink" Target="Photos\PC120017.JPG" TargetMode="External"/><Relationship Id="rId425" Type="http://schemas.openxmlformats.org/officeDocument/2006/relationships/hyperlink" Target="Photos\PAA90258.JPG" TargetMode="External"/><Relationship Id="rId632" Type="http://schemas.openxmlformats.org/officeDocument/2006/relationships/hyperlink" Target="Photos\PD020089.JPG" TargetMode="External"/><Relationship Id="rId1055" Type="http://schemas.openxmlformats.org/officeDocument/2006/relationships/hyperlink" Target="Photos\PE010121.JPG" TargetMode="External"/><Relationship Id="rId1262" Type="http://schemas.openxmlformats.org/officeDocument/2006/relationships/hyperlink" Target="Photos\PG010008.JPG" TargetMode="External"/><Relationship Id="rId271" Type="http://schemas.openxmlformats.org/officeDocument/2006/relationships/hyperlink" Target="Photos\PAA90219.JPG" TargetMode="External"/><Relationship Id="rId937" Type="http://schemas.openxmlformats.org/officeDocument/2006/relationships/hyperlink" Target="Photos\PE010010.JPG" TargetMode="External"/><Relationship Id="rId1122" Type="http://schemas.openxmlformats.org/officeDocument/2006/relationships/hyperlink" Target="Photos\PE010182.JPG" TargetMode="External"/><Relationship Id="rId66" Type="http://schemas.openxmlformats.org/officeDocument/2006/relationships/hyperlink" Target="Photos\PB210068.JPG" TargetMode="External"/><Relationship Id="rId131" Type="http://schemas.openxmlformats.org/officeDocument/2006/relationships/hyperlink" Target="Photos\PB270044.JPG" TargetMode="External"/><Relationship Id="rId369" Type="http://schemas.openxmlformats.org/officeDocument/2006/relationships/hyperlink" Target="Photos\PAA50151.JPG" TargetMode="External"/><Relationship Id="rId576" Type="http://schemas.openxmlformats.org/officeDocument/2006/relationships/hyperlink" Target="Photos\P2060214.JPG" TargetMode="External"/><Relationship Id="rId783" Type="http://schemas.openxmlformats.org/officeDocument/2006/relationships/hyperlink" Target="Photos\PD040266.JPG" TargetMode="External"/><Relationship Id="rId990" Type="http://schemas.openxmlformats.org/officeDocument/2006/relationships/hyperlink" Target="Photos\PE010057.JPG" TargetMode="External"/><Relationship Id="rId229" Type="http://schemas.openxmlformats.org/officeDocument/2006/relationships/hyperlink" Target="Photos\PC120030.JPG" TargetMode="External"/><Relationship Id="rId436" Type="http://schemas.openxmlformats.org/officeDocument/2006/relationships/hyperlink" Target="Photos\P2020017.JPG" TargetMode="External"/><Relationship Id="rId643" Type="http://schemas.openxmlformats.org/officeDocument/2006/relationships/hyperlink" Target="Photos\PD020100.JPG" TargetMode="External"/><Relationship Id="rId1066" Type="http://schemas.openxmlformats.org/officeDocument/2006/relationships/hyperlink" Target="Photos\PE010132.JPG" TargetMode="External"/><Relationship Id="rId1273" Type="http://schemas.openxmlformats.org/officeDocument/2006/relationships/hyperlink" Target="Photos\PG010019.JPG" TargetMode="External"/><Relationship Id="rId850" Type="http://schemas.openxmlformats.org/officeDocument/2006/relationships/hyperlink" Target="Photos\PD060397.JPG" TargetMode="External"/><Relationship Id="rId948" Type="http://schemas.openxmlformats.org/officeDocument/2006/relationships/hyperlink" Target="Photos\PE010017.JPG" TargetMode="External"/><Relationship Id="rId1133" Type="http://schemas.openxmlformats.org/officeDocument/2006/relationships/hyperlink" Target="Photos\PE010192.JPG" TargetMode="External"/><Relationship Id="rId77" Type="http://schemas.openxmlformats.org/officeDocument/2006/relationships/hyperlink" Target="Photos\PB230037.JPG" TargetMode="External"/><Relationship Id="rId282" Type="http://schemas.openxmlformats.org/officeDocument/2006/relationships/hyperlink" Target="Photos\PAA40023.JPG" TargetMode="External"/><Relationship Id="rId503" Type="http://schemas.openxmlformats.org/officeDocument/2006/relationships/hyperlink" Target="Photos\P2040116.JPG" TargetMode="External"/><Relationship Id="rId587" Type="http://schemas.openxmlformats.org/officeDocument/2006/relationships/hyperlink" Target="Photos\P2060237.JPG" TargetMode="External"/><Relationship Id="rId710" Type="http://schemas.openxmlformats.org/officeDocument/2006/relationships/hyperlink" Target="Photos\PD020153.JPG" TargetMode="External"/><Relationship Id="rId808" Type="http://schemas.openxmlformats.org/officeDocument/2006/relationships/hyperlink" Target="Photos\PD040287.JPG" TargetMode="External"/><Relationship Id="rId1340" Type="http://schemas.openxmlformats.org/officeDocument/2006/relationships/hyperlink" Target="Photos\PG010084.JPG" TargetMode="External"/><Relationship Id="rId8" Type="http://schemas.openxmlformats.org/officeDocument/2006/relationships/hyperlink" Target="Photos\PB200005.JPG" TargetMode="External"/><Relationship Id="rId142" Type="http://schemas.openxmlformats.org/officeDocument/2006/relationships/hyperlink" Target="Photos\P1010018.JPG" TargetMode="External"/><Relationship Id="rId447" Type="http://schemas.openxmlformats.org/officeDocument/2006/relationships/hyperlink" Target="Photos\P2020049.JPG" TargetMode="External"/><Relationship Id="rId794" Type="http://schemas.openxmlformats.org/officeDocument/2006/relationships/hyperlink" Target="Photos\PD040297.JPG" TargetMode="External"/><Relationship Id="rId1077" Type="http://schemas.openxmlformats.org/officeDocument/2006/relationships/hyperlink" Target="Photos\PE010143.JPG" TargetMode="External"/><Relationship Id="rId1200" Type="http://schemas.openxmlformats.org/officeDocument/2006/relationships/hyperlink" Target="Photos\PF010022.JPG" TargetMode="External"/><Relationship Id="rId654" Type="http://schemas.openxmlformats.org/officeDocument/2006/relationships/hyperlink" Target="Photos\PD260046.JPG" TargetMode="External"/><Relationship Id="rId861" Type="http://schemas.openxmlformats.org/officeDocument/2006/relationships/hyperlink" Target="Photos\PD060392.JPG" TargetMode="External"/><Relationship Id="rId959" Type="http://schemas.openxmlformats.org/officeDocument/2006/relationships/hyperlink" Target="Photos\PE010028.JPG" TargetMode="External"/><Relationship Id="rId1284" Type="http://schemas.openxmlformats.org/officeDocument/2006/relationships/hyperlink" Target="Photos\PG010029.JPG" TargetMode="External"/><Relationship Id="rId293" Type="http://schemas.openxmlformats.org/officeDocument/2006/relationships/hyperlink" Target="Photos\P1010071.JPG" TargetMode="External"/><Relationship Id="rId307" Type="http://schemas.openxmlformats.org/officeDocument/2006/relationships/hyperlink" Target="Photos\PAA40057.JPG" TargetMode="External"/><Relationship Id="rId514" Type="http://schemas.openxmlformats.org/officeDocument/2006/relationships/hyperlink" Target="Photos\P2040149.JPG" TargetMode="External"/><Relationship Id="rId721" Type="http://schemas.openxmlformats.org/officeDocument/2006/relationships/hyperlink" Target="Photos\PD170518.JPG" TargetMode="External"/><Relationship Id="rId1144" Type="http://schemas.openxmlformats.org/officeDocument/2006/relationships/hyperlink" Target="Photos\PE010197.JPG" TargetMode="External"/><Relationship Id="rId1351" Type="http://schemas.openxmlformats.org/officeDocument/2006/relationships/hyperlink" Target="Photos\PG010096.JPG" TargetMode="External"/><Relationship Id="rId88" Type="http://schemas.openxmlformats.org/officeDocument/2006/relationships/hyperlink" Target="Photos\PB230011.JPG" TargetMode="External"/><Relationship Id="rId153" Type="http://schemas.openxmlformats.org/officeDocument/2006/relationships/hyperlink" Target="Photos\P1010040.JPG" TargetMode="External"/><Relationship Id="rId360" Type="http://schemas.openxmlformats.org/officeDocument/2006/relationships/hyperlink" Target="Photos\PAA50134.JPG" TargetMode="External"/><Relationship Id="rId598" Type="http://schemas.openxmlformats.org/officeDocument/2006/relationships/hyperlink" Target="Photos\P1200002.JPG" TargetMode="External"/><Relationship Id="rId819" Type="http://schemas.openxmlformats.org/officeDocument/2006/relationships/hyperlink" Target="Photos\PD050338.JPG" TargetMode="External"/><Relationship Id="rId1004" Type="http://schemas.openxmlformats.org/officeDocument/2006/relationships/hyperlink" Target="Photos\PE010071.JPG" TargetMode="External"/><Relationship Id="rId1211" Type="http://schemas.openxmlformats.org/officeDocument/2006/relationships/hyperlink" Target="Photos\PF010033.JPG" TargetMode="External"/><Relationship Id="rId220" Type="http://schemas.openxmlformats.org/officeDocument/2006/relationships/hyperlink" Target="Photos\PC120019.JPG" TargetMode="External"/><Relationship Id="rId458" Type="http://schemas.openxmlformats.org/officeDocument/2006/relationships/hyperlink" Target="Photos\P2020034.JPG" TargetMode="External"/><Relationship Id="rId665" Type="http://schemas.openxmlformats.org/officeDocument/2006/relationships/hyperlink" Target="Photos\PD260056.JPG" TargetMode="External"/><Relationship Id="rId872" Type="http://schemas.openxmlformats.org/officeDocument/2006/relationships/hyperlink" Target="Photos\PD300559.JPG" TargetMode="External"/><Relationship Id="rId1088" Type="http://schemas.openxmlformats.org/officeDocument/2006/relationships/hyperlink" Target="Photos\PE010154.JPG" TargetMode="External"/><Relationship Id="rId1295" Type="http://schemas.openxmlformats.org/officeDocument/2006/relationships/hyperlink" Target="Photos\PG010040.JPG" TargetMode="External"/><Relationship Id="rId1309" Type="http://schemas.openxmlformats.org/officeDocument/2006/relationships/hyperlink" Target="Photos\PG010054.JPG" TargetMode="External"/><Relationship Id="rId15" Type="http://schemas.openxmlformats.org/officeDocument/2006/relationships/hyperlink" Target="Photos\PB190357.JPG" TargetMode="External"/><Relationship Id="rId318" Type="http://schemas.openxmlformats.org/officeDocument/2006/relationships/hyperlink" Target="Photos\PAA40074.JPG" TargetMode="External"/><Relationship Id="rId525" Type="http://schemas.openxmlformats.org/officeDocument/2006/relationships/hyperlink" Target="Photos\P2040136.JPG" TargetMode="External"/><Relationship Id="rId732" Type="http://schemas.openxmlformats.org/officeDocument/2006/relationships/hyperlink" Target="Photos\PD170491.JPG" TargetMode="External"/><Relationship Id="rId1155" Type="http://schemas.openxmlformats.org/officeDocument/2006/relationships/hyperlink" Target="Photos\PE010208.JPG" TargetMode="External"/><Relationship Id="rId99" Type="http://schemas.openxmlformats.org/officeDocument/2006/relationships/hyperlink" Target="Photos\PB230018.JPG" TargetMode="External"/><Relationship Id="rId164" Type="http://schemas.openxmlformats.org/officeDocument/2006/relationships/hyperlink" Target="Photos\PC150034.JPG" TargetMode="External"/><Relationship Id="rId371" Type="http://schemas.openxmlformats.org/officeDocument/2006/relationships/hyperlink" Target="Photos\PAA50142.JPG" TargetMode="External"/><Relationship Id="rId1015" Type="http://schemas.openxmlformats.org/officeDocument/2006/relationships/hyperlink" Target="Photos\PE010082.JPG" TargetMode="External"/><Relationship Id="rId1222" Type="http://schemas.openxmlformats.org/officeDocument/2006/relationships/hyperlink" Target="Photos\PF010044.JPG" TargetMode="External"/><Relationship Id="rId469" Type="http://schemas.openxmlformats.org/officeDocument/2006/relationships/hyperlink" Target="Photos\P2030068.JPG" TargetMode="External"/><Relationship Id="rId676" Type="http://schemas.openxmlformats.org/officeDocument/2006/relationships/hyperlink" Target="Photos\PD020120.JPG" TargetMode="External"/><Relationship Id="rId883" Type="http://schemas.openxmlformats.org/officeDocument/2006/relationships/hyperlink" Target="Photos\PD300593.JPG" TargetMode="External"/><Relationship Id="rId1099" Type="http://schemas.openxmlformats.org/officeDocument/2006/relationships/hyperlink" Target="Photos\PE010162.JPG" TargetMode="External"/><Relationship Id="rId26" Type="http://schemas.openxmlformats.org/officeDocument/2006/relationships/hyperlink" Target="Photos\PB190374.JPG" TargetMode="External"/><Relationship Id="rId231" Type="http://schemas.openxmlformats.org/officeDocument/2006/relationships/hyperlink" Target="Photos\PA010007.JPG" TargetMode="External"/><Relationship Id="rId329" Type="http://schemas.openxmlformats.org/officeDocument/2006/relationships/hyperlink" Target="Photos\PAA40092.JPG" TargetMode="External"/><Relationship Id="rId536" Type="http://schemas.openxmlformats.org/officeDocument/2006/relationships/hyperlink" Target="Photos\P2040167.JPG" TargetMode="External"/><Relationship Id="rId1166" Type="http://schemas.openxmlformats.org/officeDocument/2006/relationships/hyperlink" Target="Photos\PE010219.JPG" TargetMode="External"/><Relationship Id="rId175" Type="http://schemas.openxmlformats.org/officeDocument/2006/relationships/hyperlink" Target="Photos\P1010003.JPG" TargetMode="External"/><Relationship Id="rId743" Type="http://schemas.openxmlformats.org/officeDocument/2006/relationships/hyperlink" Target="Photos\PD030208.JPG" TargetMode="External"/><Relationship Id="rId950" Type="http://schemas.openxmlformats.org/officeDocument/2006/relationships/hyperlink" Target="Photos\PE010019.JPG" TargetMode="External"/><Relationship Id="rId1026" Type="http://schemas.openxmlformats.org/officeDocument/2006/relationships/hyperlink" Target="Photos\PE010093.JPG" TargetMode="External"/><Relationship Id="rId382" Type="http://schemas.openxmlformats.org/officeDocument/2006/relationships/hyperlink" Target="Photos\PAA90217.JPG" TargetMode="External"/><Relationship Id="rId603" Type="http://schemas.openxmlformats.org/officeDocument/2006/relationships/hyperlink" Target="Photos\PC120037.JPG" TargetMode="External"/><Relationship Id="rId687" Type="http://schemas.openxmlformats.org/officeDocument/2006/relationships/hyperlink" Target="Photos\PD020141.JPG" TargetMode="External"/><Relationship Id="rId810" Type="http://schemas.openxmlformats.org/officeDocument/2006/relationships/hyperlink" Target="Photos\PD050363.JPG" TargetMode="External"/><Relationship Id="rId908" Type="http://schemas.openxmlformats.org/officeDocument/2006/relationships/hyperlink" Target="Photos\PD090458.JPG" TargetMode="External"/><Relationship Id="rId1233" Type="http://schemas.openxmlformats.org/officeDocument/2006/relationships/hyperlink" Target="Photos\PF010055.JPG" TargetMode="External"/><Relationship Id="rId242" Type="http://schemas.openxmlformats.org/officeDocument/2006/relationships/hyperlink" Target="Photos\P1010021.JPG" TargetMode="External"/><Relationship Id="rId894" Type="http://schemas.openxmlformats.org/officeDocument/2006/relationships/hyperlink" Target="Photos\PD090455.JPG" TargetMode="External"/><Relationship Id="rId1177" Type="http://schemas.openxmlformats.org/officeDocument/2006/relationships/hyperlink" Target="Photos\PD030187.JPG" TargetMode="External"/><Relationship Id="rId1300" Type="http://schemas.openxmlformats.org/officeDocument/2006/relationships/hyperlink" Target="Photos\PG010045.JPG" TargetMode="External"/><Relationship Id="rId37" Type="http://schemas.openxmlformats.org/officeDocument/2006/relationships/hyperlink" Target="Photos\PB200022.JPG" TargetMode="External"/><Relationship Id="rId102" Type="http://schemas.openxmlformats.org/officeDocument/2006/relationships/hyperlink" Target="Photos\PB230021.JPG" TargetMode="External"/><Relationship Id="rId547" Type="http://schemas.openxmlformats.org/officeDocument/2006/relationships/hyperlink" Target="Photos\P2050173.JPG" TargetMode="External"/><Relationship Id="rId754" Type="http://schemas.openxmlformats.org/officeDocument/2006/relationships/hyperlink" Target="Photos\PD030214.JPG" TargetMode="External"/><Relationship Id="rId961" Type="http://schemas.openxmlformats.org/officeDocument/2006/relationships/hyperlink" Target="Photos\PE010030.JPG" TargetMode="External"/><Relationship Id="rId90" Type="http://schemas.openxmlformats.org/officeDocument/2006/relationships/hyperlink" Target="Photos\PB230004.JPG" TargetMode="External"/><Relationship Id="rId186" Type="http://schemas.openxmlformats.org/officeDocument/2006/relationships/hyperlink" Target="Photos\PC150006.JPG" TargetMode="External"/><Relationship Id="rId393" Type="http://schemas.openxmlformats.org/officeDocument/2006/relationships/hyperlink" Target="Photos\PAA60170.JPG" TargetMode="External"/><Relationship Id="rId407" Type="http://schemas.openxmlformats.org/officeDocument/2006/relationships/hyperlink" Target="Photos\PAA60185.JPG" TargetMode="External"/><Relationship Id="rId614" Type="http://schemas.openxmlformats.org/officeDocument/2006/relationships/hyperlink" Target="Photos\P2030078.JPG" TargetMode="External"/><Relationship Id="rId821" Type="http://schemas.openxmlformats.org/officeDocument/2006/relationships/hyperlink" Target="Photos\PD050341.JPG" TargetMode="External"/><Relationship Id="rId1037" Type="http://schemas.openxmlformats.org/officeDocument/2006/relationships/hyperlink" Target="Photos\PE010103.JPG" TargetMode="External"/><Relationship Id="rId1244" Type="http://schemas.openxmlformats.org/officeDocument/2006/relationships/hyperlink" Target="Photos\PF010066.JPG" TargetMode="External"/><Relationship Id="rId253" Type="http://schemas.openxmlformats.org/officeDocument/2006/relationships/hyperlink" Target="Photos\P1010065.JPG" TargetMode="External"/><Relationship Id="rId460" Type="http://schemas.openxmlformats.org/officeDocument/2006/relationships/hyperlink" Target="Photos\P2020028.JPG" TargetMode="External"/><Relationship Id="rId698" Type="http://schemas.openxmlformats.org/officeDocument/2006/relationships/hyperlink" Target="Photos\PD010078.JPG" TargetMode="External"/><Relationship Id="rId919" Type="http://schemas.openxmlformats.org/officeDocument/2006/relationships/hyperlink" Target="Photos\P2070011.JPG" TargetMode="External"/><Relationship Id="rId1090" Type="http://schemas.openxmlformats.org/officeDocument/2006/relationships/hyperlink" Target="Photos\PE010156.JPG" TargetMode="External"/><Relationship Id="rId1104" Type="http://schemas.openxmlformats.org/officeDocument/2006/relationships/hyperlink" Target="Photos\PE010167.JPG" TargetMode="External"/><Relationship Id="rId1311" Type="http://schemas.openxmlformats.org/officeDocument/2006/relationships/hyperlink" Target="Photos\PG010056.JPG" TargetMode="External"/><Relationship Id="rId48" Type="http://schemas.openxmlformats.org/officeDocument/2006/relationships/hyperlink" Target="Photos\PB200029.JPG" TargetMode="External"/><Relationship Id="rId113" Type="http://schemas.openxmlformats.org/officeDocument/2006/relationships/hyperlink" Target="Photos\PB260005.JPG" TargetMode="External"/><Relationship Id="rId320" Type="http://schemas.openxmlformats.org/officeDocument/2006/relationships/hyperlink" Target="Photos\PAA40071.JPG" TargetMode="External"/><Relationship Id="rId558" Type="http://schemas.openxmlformats.org/officeDocument/2006/relationships/hyperlink" Target="Photos\P2050193.JPG" TargetMode="External"/><Relationship Id="rId765" Type="http://schemas.openxmlformats.org/officeDocument/2006/relationships/hyperlink" Target="Photos\PD030239.JPG" TargetMode="External"/><Relationship Id="rId972" Type="http://schemas.openxmlformats.org/officeDocument/2006/relationships/hyperlink" Target="Photos\P2040169.JPG" TargetMode="External"/><Relationship Id="rId1188" Type="http://schemas.openxmlformats.org/officeDocument/2006/relationships/hyperlink" Target="Photos\PF010010.JPG" TargetMode="External"/><Relationship Id="rId197" Type="http://schemas.openxmlformats.org/officeDocument/2006/relationships/hyperlink" Target="Photos\PC120048.JPG" TargetMode="External"/><Relationship Id="rId418" Type="http://schemas.openxmlformats.org/officeDocument/2006/relationships/hyperlink" Target="Photos\PAA90207.JPG" TargetMode="External"/><Relationship Id="rId625" Type="http://schemas.openxmlformats.org/officeDocument/2006/relationships/hyperlink" Target="Photos\PD260021.JPG" TargetMode="External"/><Relationship Id="rId832" Type="http://schemas.openxmlformats.org/officeDocument/2006/relationships/hyperlink" Target="Photos\PD060428.JPG" TargetMode="External"/><Relationship Id="rId1048" Type="http://schemas.openxmlformats.org/officeDocument/2006/relationships/hyperlink" Target="Photos\PE010114.JPG" TargetMode="External"/><Relationship Id="rId1255" Type="http://schemas.openxmlformats.org/officeDocument/2006/relationships/hyperlink" Target="Photos\PG010001.JPG" TargetMode="External"/><Relationship Id="rId264" Type="http://schemas.openxmlformats.org/officeDocument/2006/relationships/hyperlink" Target="Photos\P1010062.JPG" TargetMode="External"/><Relationship Id="rId471" Type="http://schemas.openxmlformats.org/officeDocument/2006/relationships/hyperlink" Target="Photos\P2030070.JPG" TargetMode="External"/><Relationship Id="rId1115" Type="http://schemas.openxmlformats.org/officeDocument/2006/relationships/hyperlink" Target="Photos\PE010176.JPG" TargetMode="External"/><Relationship Id="rId1322" Type="http://schemas.openxmlformats.org/officeDocument/2006/relationships/hyperlink" Target="Photos\PG010067.JPG" TargetMode="External"/><Relationship Id="rId59" Type="http://schemas.openxmlformats.org/officeDocument/2006/relationships/hyperlink" Target="Photos\PB210058.JPG" TargetMode="External"/><Relationship Id="rId124" Type="http://schemas.openxmlformats.org/officeDocument/2006/relationships/hyperlink" Target="Photos\PB270029.JPG" TargetMode="External"/><Relationship Id="rId569" Type="http://schemas.openxmlformats.org/officeDocument/2006/relationships/hyperlink" Target="Photos\P2060219.JPG" TargetMode="External"/><Relationship Id="rId776" Type="http://schemas.openxmlformats.org/officeDocument/2006/relationships/hyperlink" Target="Photos\PD040246.JPG" TargetMode="External"/><Relationship Id="rId983" Type="http://schemas.openxmlformats.org/officeDocument/2006/relationships/hyperlink" Target="Photos\PE010050.JPG" TargetMode="External"/><Relationship Id="rId1199" Type="http://schemas.openxmlformats.org/officeDocument/2006/relationships/hyperlink" Target="Photos\PF010021.JPG" TargetMode="External"/><Relationship Id="rId331" Type="http://schemas.openxmlformats.org/officeDocument/2006/relationships/hyperlink" Target="Photos\PAA40082.JPG" TargetMode="External"/><Relationship Id="rId429" Type="http://schemas.openxmlformats.org/officeDocument/2006/relationships/hyperlink" Target="Photos\PAA90245.JPG" TargetMode="External"/><Relationship Id="rId636" Type="http://schemas.openxmlformats.org/officeDocument/2006/relationships/hyperlink" Target="Photos\PD020094.JPG" TargetMode="External"/><Relationship Id="rId1059" Type="http://schemas.openxmlformats.org/officeDocument/2006/relationships/hyperlink" Target="Photos\PE010125.JPG" TargetMode="External"/><Relationship Id="rId1266" Type="http://schemas.openxmlformats.org/officeDocument/2006/relationships/hyperlink" Target="Photos\PG010012.JPG" TargetMode="External"/><Relationship Id="rId843" Type="http://schemas.openxmlformats.org/officeDocument/2006/relationships/hyperlink" Target="Photos\PD060409.JPG" TargetMode="External"/><Relationship Id="rId1126" Type="http://schemas.openxmlformats.org/officeDocument/2006/relationships/hyperlink" Target="Photos\PE010186.JPG" TargetMode="External"/><Relationship Id="rId275" Type="http://schemas.openxmlformats.org/officeDocument/2006/relationships/hyperlink" Target="Photos\P1010051.JPG" TargetMode="External"/><Relationship Id="rId482" Type="http://schemas.openxmlformats.org/officeDocument/2006/relationships/hyperlink" Target="Photos\P2030066.JPG" TargetMode="External"/><Relationship Id="rId703" Type="http://schemas.openxmlformats.org/officeDocument/2006/relationships/hyperlink" Target="Photos\PD020150.JPG" TargetMode="External"/><Relationship Id="rId910" Type="http://schemas.openxmlformats.org/officeDocument/2006/relationships/hyperlink" Target="Photos\P2070001.JPG" TargetMode="External"/><Relationship Id="rId1333" Type="http://schemas.openxmlformats.org/officeDocument/2006/relationships/hyperlink" Target="Photos\PG010078.JPG" TargetMode="External"/><Relationship Id="rId135" Type="http://schemas.openxmlformats.org/officeDocument/2006/relationships/hyperlink" Target="Photos\PC120009.JPG" TargetMode="External"/><Relationship Id="rId342" Type="http://schemas.openxmlformats.org/officeDocument/2006/relationships/hyperlink" Target="Photos\PAA50112.JPG" TargetMode="External"/><Relationship Id="rId787" Type="http://schemas.openxmlformats.org/officeDocument/2006/relationships/hyperlink" Target="Photos\PD040268.JPG" TargetMode="External"/><Relationship Id="rId994" Type="http://schemas.openxmlformats.org/officeDocument/2006/relationships/hyperlink" Target="Photos\PE010061.JPG" TargetMode="External"/><Relationship Id="rId202" Type="http://schemas.openxmlformats.org/officeDocument/2006/relationships/hyperlink" Target="Photos\PC120042.JPG" TargetMode="External"/><Relationship Id="rId647" Type="http://schemas.openxmlformats.org/officeDocument/2006/relationships/hyperlink" Target="Photos\PD260030.JPG" TargetMode="External"/><Relationship Id="rId854" Type="http://schemas.openxmlformats.org/officeDocument/2006/relationships/hyperlink" Target="Photos\PD060379.JPG" TargetMode="External"/><Relationship Id="rId1277" Type="http://schemas.openxmlformats.org/officeDocument/2006/relationships/hyperlink" Target="Photos\PG010022A.JPG" TargetMode="External"/><Relationship Id="rId286" Type="http://schemas.openxmlformats.org/officeDocument/2006/relationships/hyperlink" Target="Photos\PAA40029.JPG" TargetMode="External"/><Relationship Id="rId493" Type="http://schemas.openxmlformats.org/officeDocument/2006/relationships/hyperlink" Target="Photos\P2030098.JPG" TargetMode="External"/><Relationship Id="rId507" Type="http://schemas.openxmlformats.org/officeDocument/2006/relationships/hyperlink" Target="Photos\P2040121.JPG" TargetMode="External"/><Relationship Id="rId714" Type="http://schemas.openxmlformats.org/officeDocument/2006/relationships/hyperlink" Target="Photos\PD020158.JPG" TargetMode="External"/><Relationship Id="rId921" Type="http://schemas.openxmlformats.org/officeDocument/2006/relationships/hyperlink" Target="Photos\P2030110.JPG" TargetMode="External"/><Relationship Id="rId1137" Type="http://schemas.openxmlformats.org/officeDocument/2006/relationships/hyperlink" Target="Photos\PE010195.JPG" TargetMode="External"/><Relationship Id="rId1344" Type="http://schemas.openxmlformats.org/officeDocument/2006/relationships/hyperlink" Target="Photos\PG010089.JPG" TargetMode="External"/><Relationship Id="rId50" Type="http://schemas.openxmlformats.org/officeDocument/2006/relationships/hyperlink" Target="Photos\PB210037.JPG" TargetMode="External"/><Relationship Id="rId146" Type="http://schemas.openxmlformats.org/officeDocument/2006/relationships/hyperlink" Target="Photos\P1010024.JPG" TargetMode="External"/><Relationship Id="rId353" Type="http://schemas.openxmlformats.org/officeDocument/2006/relationships/hyperlink" Target="Photos\PAA50129.JPG" TargetMode="External"/><Relationship Id="rId560" Type="http://schemas.openxmlformats.org/officeDocument/2006/relationships/hyperlink" Target="Photos\P2050188.JPG" TargetMode="External"/><Relationship Id="rId798" Type="http://schemas.openxmlformats.org/officeDocument/2006/relationships/hyperlink" Target="Photos\PD040302.JPG" TargetMode="External"/><Relationship Id="rId1190" Type="http://schemas.openxmlformats.org/officeDocument/2006/relationships/hyperlink" Target="Photos\PF010012.JPG" TargetMode="External"/><Relationship Id="rId1204" Type="http://schemas.openxmlformats.org/officeDocument/2006/relationships/hyperlink" Target="Photos\PF010026.JPG" TargetMode="External"/><Relationship Id="rId213" Type="http://schemas.openxmlformats.org/officeDocument/2006/relationships/hyperlink" Target="Photos\PC120056.JPG" TargetMode="External"/><Relationship Id="rId420" Type="http://schemas.openxmlformats.org/officeDocument/2006/relationships/hyperlink" Target="Photos\PAA90239.JPG" TargetMode="External"/><Relationship Id="rId658" Type="http://schemas.openxmlformats.org/officeDocument/2006/relationships/hyperlink" Target="Photos\PD260051.JPG" TargetMode="External"/><Relationship Id="rId865" Type="http://schemas.openxmlformats.org/officeDocument/2006/relationships/hyperlink" Target="Photos\PD300544.JPG" TargetMode="External"/><Relationship Id="rId1050" Type="http://schemas.openxmlformats.org/officeDocument/2006/relationships/hyperlink" Target="Photos\PE010116.JPG" TargetMode="External"/><Relationship Id="rId1288" Type="http://schemas.openxmlformats.org/officeDocument/2006/relationships/hyperlink" Target="Photos\PG010033.JPG" TargetMode="External"/><Relationship Id="rId297" Type="http://schemas.openxmlformats.org/officeDocument/2006/relationships/hyperlink" Target="Photos\PAA40045.JPG" TargetMode="External"/><Relationship Id="rId518" Type="http://schemas.openxmlformats.org/officeDocument/2006/relationships/hyperlink" Target="Photos\P2040152.JPG" TargetMode="External"/><Relationship Id="rId725" Type="http://schemas.openxmlformats.org/officeDocument/2006/relationships/hyperlink" Target="Photos\PD170511.JPG" TargetMode="External"/><Relationship Id="rId932" Type="http://schemas.openxmlformats.org/officeDocument/2006/relationships/hyperlink" Target="Photos\PE010003.JPG" TargetMode="External"/><Relationship Id="rId1148" Type="http://schemas.openxmlformats.org/officeDocument/2006/relationships/hyperlink" Target="Photos\PE010203.JPG" TargetMode="External"/><Relationship Id="rId157" Type="http://schemas.openxmlformats.org/officeDocument/2006/relationships/hyperlink" Target="Photos\PC150042.JPG" TargetMode="External"/><Relationship Id="rId364" Type="http://schemas.openxmlformats.org/officeDocument/2006/relationships/hyperlink" Target="Photos\PAA50133.JPG" TargetMode="External"/><Relationship Id="rId1008" Type="http://schemas.openxmlformats.org/officeDocument/2006/relationships/hyperlink" Target="Photos\PE010075.JPG" TargetMode="External"/><Relationship Id="rId1215" Type="http://schemas.openxmlformats.org/officeDocument/2006/relationships/hyperlink" Target="Photos\PF010037.JPG" TargetMode="External"/><Relationship Id="rId61" Type="http://schemas.openxmlformats.org/officeDocument/2006/relationships/hyperlink" Target="Photos\PB210061.JPG" TargetMode="External"/><Relationship Id="rId571" Type="http://schemas.openxmlformats.org/officeDocument/2006/relationships/hyperlink" Target="Photos\P2060232.JPG" TargetMode="External"/><Relationship Id="rId669" Type="http://schemas.openxmlformats.org/officeDocument/2006/relationships/hyperlink" Target="Photos\PD260060.JPG" TargetMode="External"/><Relationship Id="rId876" Type="http://schemas.openxmlformats.org/officeDocument/2006/relationships/hyperlink" Target="https://buckrogers.fandom.com/" TargetMode="External"/><Relationship Id="rId1299" Type="http://schemas.openxmlformats.org/officeDocument/2006/relationships/hyperlink" Target="Photos\PG010044.JPG" TargetMode="External"/><Relationship Id="rId19" Type="http://schemas.openxmlformats.org/officeDocument/2006/relationships/hyperlink" Target="Photos\PB190367.JPG" TargetMode="External"/><Relationship Id="rId224" Type="http://schemas.openxmlformats.org/officeDocument/2006/relationships/hyperlink" Target="Photos\PC120024.JPG" TargetMode="External"/><Relationship Id="rId431" Type="http://schemas.openxmlformats.org/officeDocument/2006/relationships/hyperlink" Target="Photos\PAA90261.JPG" TargetMode="External"/><Relationship Id="rId529" Type="http://schemas.openxmlformats.org/officeDocument/2006/relationships/hyperlink" Target="Photos\P2040155.JPG" TargetMode="External"/><Relationship Id="rId736" Type="http://schemas.openxmlformats.org/officeDocument/2006/relationships/hyperlink" Target="Photos\PD170476.JPG" TargetMode="External"/><Relationship Id="rId1061" Type="http://schemas.openxmlformats.org/officeDocument/2006/relationships/hyperlink" Target="Photos\PE010127.JPG" TargetMode="External"/><Relationship Id="rId1159" Type="http://schemas.openxmlformats.org/officeDocument/2006/relationships/hyperlink" Target="Photos\PE010212.JPG" TargetMode="External"/><Relationship Id="rId168" Type="http://schemas.openxmlformats.org/officeDocument/2006/relationships/hyperlink" Target="Photos\PC150022.JPG" TargetMode="External"/><Relationship Id="rId943" Type="http://schemas.openxmlformats.org/officeDocument/2006/relationships/hyperlink" Target="Photos\PE010012.JPG" TargetMode="External"/><Relationship Id="rId1019" Type="http://schemas.openxmlformats.org/officeDocument/2006/relationships/hyperlink" Target="Photos\PE010086.JPG" TargetMode="External"/><Relationship Id="rId72" Type="http://schemas.openxmlformats.org/officeDocument/2006/relationships/hyperlink" Target="Photos\PB230030.JPG" TargetMode="External"/><Relationship Id="rId375" Type="http://schemas.openxmlformats.org/officeDocument/2006/relationships/hyperlink" Target="Photos\PAA50153.JPG" TargetMode="External"/><Relationship Id="rId582" Type="http://schemas.openxmlformats.org/officeDocument/2006/relationships/hyperlink" Target="Photos\P2060243.JPG" TargetMode="External"/><Relationship Id="rId803" Type="http://schemas.openxmlformats.org/officeDocument/2006/relationships/hyperlink" Target="Photos\PD040292.JPG" TargetMode="External"/><Relationship Id="rId1226" Type="http://schemas.openxmlformats.org/officeDocument/2006/relationships/hyperlink" Target="Photos\PF010048.JPG" TargetMode="External"/><Relationship Id="rId3" Type="http://schemas.openxmlformats.org/officeDocument/2006/relationships/hyperlink" Target="Photos\PB190385.JPG" TargetMode="External"/><Relationship Id="rId235" Type="http://schemas.openxmlformats.org/officeDocument/2006/relationships/hyperlink" Target="Photos\PA010009.JPG" TargetMode="External"/><Relationship Id="rId442" Type="http://schemas.openxmlformats.org/officeDocument/2006/relationships/hyperlink" Target="Photos\P2020050.JPG" TargetMode="External"/><Relationship Id="rId887" Type="http://schemas.openxmlformats.org/officeDocument/2006/relationships/hyperlink" Target="Photos\PD090452.JPG" TargetMode="External"/><Relationship Id="rId1072" Type="http://schemas.openxmlformats.org/officeDocument/2006/relationships/hyperlink" Target="Photos\PE010138.JPG" TargetMode="External"/><Relationship Id="rId302" Type="http://schemas.openxmlformats.org/officeDocument/2006/relationships/hyperlink" Target="Photos\PAA40053.JPG" TargetMode="External"/><Relationship Id="rId747" Type="http://schemas.openxmlformats.org/officeDocument/2006/relationships/hyperlink" Target="Photos\P1010043.JPG" TargetMode="External"/><Relationship Id="rId954" Type="http://schemas.openxmlformats.org/officeDocument/2006/relationships/hyperlink" Target="Photos\PE010023.JPG" TargetMode="External"/><Relationship Id="rId83" Type="http://schemas.openxmlformats.org/officeDocument/2006/relationships/hyperlink" Target="Photos\PB230044.JPG" TargetMode="External"/><Relationship Id="rId179" Type="http://schemas.openxmlformats.org/officeDocument/2006/relationships/hyperlink" Target="Photos\PC150013.JPG" TargetMode="External"/><Relationship Id="rId386" Type="http://schemas.openxmlformats.org/officeDocument/2006/relationships/hyperlink" Target="Photos\PAA60166.JPG" TargetMode="External"/><Relationship Id="rId593" Type="http://schemas.openxmlformats.org/officeDocument/2006/relationships/hyperlink" Target="Photos\P1010070A.JPG" TargetMode="External"/><Relationship Id="rId607" Type="http://schemas.openxmlformats.org/officeDocument/2006/relationships/hyperlink" Target="Photos\PAA40040.JPG" TargetMode="External"/><Relationship Id="rId814" Type="http://schemas.openxmlformats.org/officeDocument/2006/relationships/hyperlink" Target="Photos\PD050321.JPG" TargetMode="External"/><Relationship Id="rId1237" Type="http://schemas.openxmlformats.org/officeDocument/2006/relationships/hyperlink" Target="Photos\PF010059.JPG" TargetMode="External"/><Relationship Id="rId246" Type="http://schemas.openxmlformats.org/officeDocument/2006/relationships/hyperlink" Target="Photos\PAA90223.JPG" TargetMode="External"/><Relationship Id="rId453" Type="http://schemas.openxmlformats.org/officeDocument/2006/relationships/hyperlink" Target="Photos\P2020043.JPG" TargetMode="External"/><Relationship Id="rId660" Type="http://schemas.openxmlformats.org/officeDocument/2006/relationships/hyperlink" Target="Photos\PD020108.JPG" TargetMode="External"/><Relationship Id="rId898" Type="http://schemas.openxmlformats.org/officeDocument/2006/relationships/hyperlink" Target="Photos\PD300577.JPG" TargetMode="External"/><Relationship Id="rId1083" Type="http://schemas.openxmlformats.org/officeDocument/2006/relationships/hyperlink" Target="Photos\PE010149.JPG" TargetMode="External"/><Relationship Id="rId1290" Type="http://schemas.openxmlformats.org/officeDocument/2006/relationships/hyperlink" Target="Photos\PG010035.JPG" TargetMode="External"/><Relationship Id="rId1304" Type="http://schemas.openxmlformats.org/officeDocument/2006/relationships/hyperlink" Target="Photos\PG010049.JPG" TargetMode="External"/><Relationship Id="rId106" Type="http://schemas.openxmlformats.org/officeDocument/2006/relationships/hyperlink" Target="Photos\PB270016.JPG" TargetMode="External"/><Relationship Id="rId313" Type="http://schemas.openxmlformats.org/officeDocument/2006/relationships/hyperlink" Target="Photos\PAA40065.JPG" TargetMode="External"/><Relationship Id="rId758" Type="http://schemas.openxmlformats.org/officeDocument/2006/relationships/hyperlink" Target="Photos\PD030230.JPG" TargetMode="External"/><Relationship Id="rId965" Type="http://schemas.openxmlformats.org/officeDocument/2006/relationships/hyperlink" Target="Photos\PE010034.JPG" TargetMode="External"/><Relationship Id="rId1150" Type="http://schemas.openxmlformats.org/officeDocument/2006/relationships/hyperlink" Target="Photos\PE010205.JPG" TargetMode="External"/><Relationship Id="rId10" Type="http://schemas.openxmlformats.org/officeDocument/2006/relationships/hyperlink" Target="Photos\PB200007.JPG" TargetMode="External"/><Relationship Id="rId94" Type="http://schemas.openxmlformats.org/officeDocument/2006/relationships/hyperlink" Target="Photos\PB230013.JPG" TargetMode="External"/><Relationship Id="rId397" Type="http://schemas.openxmlformats.org/officeDocument/2006/relationships/hyperlink" Target="Photos\PAA60174.JPG" TargetMode="External"/><Relationship Id="rId520" Type="http://schemas.openxmlformats.org/officeDocument/2006/relationships/hyperlink" Target="Photos\P2040154.JPG" TargetMode="External"/><Relationship Id="rId618" Type="http://schemas.openxmlformats.org/officeDocument/2006/relationships/hyperlink" Target="Photos\PD260013.JPG" TargetMode="External"/><Relationship Id="rId825" Type="http://schemas.openxmlformats.org/officeDocument/2006/relationships/hyperlink" Target="Photos\PD050310.JPG" TargetMode="External"/><Relationship Id="rId1248" Type="http://schemas.openxmlformats.org/officeDocument/2006/relationships/hyperlink" Target="Photos\PF010070.JPG" TargetMode="External"/><Relationship Id="rId257" Type="http://schemas.openxmlformats.org/officeDocument/2006/relationships/hyperlink" Target="Photos\P1010068.JPG" TargetMode="External"/><Relationship Id="rId464" Type="http://schemas.openxmlformats.org/officeDocument/2006/relationships/hyperlink" Target="Photos\P2060208.JPG" TargetMode="External"/><Relationship Id="rId1010" Type="http://schemas.openxmlformats.org/officeDocument/2006/relationships/hyperlink" Target="Photos\PE010077.JPG" TargetMode="External"/><Relationship Id="rId1094" Type="http://schemas.openxmlformats.org/officeDocument/2006/relationships/hyperlink" Target="Photos\PE010189.JPG" TargetMode="External"/><Relationship Id="rId1108" Type="http://schemas.openxmlformats.org/officeDocument/2006/relationships/hyperlink" Target="Photos\PE010169.JPG" TargetMode="External"/><Relationship Id="rId1315" Type="http://schemas.openxmlformats.org/officeDocument/2006/relationships/hyperlink" Target="Photos\PG010060.JPG" TargetMode="External"/><Relationship Id="rId117" Type="http://schemas.openxmlformats.org/officeDocument/2006/relationships/hyperlink" Target="Photos\PB270046.JPG" TargetMode="External"/><Relationship Id="rId671" Type="http://schemas.openxmlformats.org/officeDocument/2006/relationships/hyperlink" Target="Photos\PD020126.JPG" TargetMode="External"/><Relationship Id="rId769" Type="http://schemas.openxmlformats.org/officeDocument/2006/relationships/hyperlink" Target="Photos\PD040253.JPG" TargetMode="External"/><Relationship Id="rId976" Type="http://schemas.openxmlformats.org/officeDocument/2006/relationships/hyperlink" Target="Photos\PE010041.JPG" TargetMode="External"/><Relationship Id="rId324" Type="http://schemas.openxmlformats.org/officeDocument/2006/relationships/hyperlink" Target="Photos\PAA50094.JPG" TargetMode="External"/><Relationship Id="rId531" Type="http://schemas.openxmlformats.org/officeDocument/2006/relationships/hyperlink" Target="Photos\P2040157.JPG" TargetMode="External"/><Relationship Id="rId629" Type="http://schemas.openxmlformats.org/officeDocument/2006/relationships/hyperlink" Target="Photos\PD020088.JPG" TargetMode="External"/><Relationship Id="rId1161" Type="http://schemas.openxmlformats.org/officeDocument/2006/relationships/hyperlink" Target="Photos\PE010214.JPG" TargetMode="External"/><Relationship Id="rId1259" Type="http://schemas.openxmlformats.org/officeDocument/2006/relationships/hyperlink" Target="Photos\PG010005.JPG" TargetMode="External"/><Relationship Id="rId836" Type="http://schemas.openxmlformats.org/officeDocument/2006/relationships/hyperlink" Target="Photos\PD060398.JPG" TargetMode="External"/><Relationship Id="rId1021" Type="http://schemas.openxmlformats.org/officeDocument/2006/relationships/hyperlink" Target="Photos\PE010088.JPG" TargetMode="External"/><Relationship Id="rId1119" Type="http://schemas.openxmlformats.org/officeDocument/2006/relationships/hyperlink" Target="Photos\PE010180.JPG" TargetMode="External"/><Relationship Id="rId903" Type="http://schemas.openxmlformats.org/officeDocument/2006/relationships/hyperlink" Target="Photos\PD300598.JPG" TargetMode="External"/><Relationship Id="rId1326" Type="http://schemas.openxmlformats.org/officeDocument/2006/relationships/hyperlink" Target="Photos\PG010071.JPG" TargetMode="External"/><Relationship Id="rId32" Type="http://schemas.openxmlformats.org/officeDocument/2006/relationships/hyperlink" Target="Photos\PB190380.JPG" TargetMode="External"/><Relationship Id="rId181" Type="http://schemas.openxmlformats.org/officeDocument/2006/relationships/hyperlink" Target="Photos\PC150015.JPG" TargetMode="External"/><Relationship Id="rId279" Type="http://schemas.openxmlformats.org/officeDocument/2006/relationships/hyperlink" Target="Photos\PAA40039.JPG" TargetMode="External"/><Relationship Id="rId486" Type="http://schemas.openxmlformats.org/officeDocument/2006/relationships/hyperlink" Target="Photos\P2030084.JPG" TargetMode="External"/><Relationship Id="rId693" Type="http://schemas.openxmlformats.org/officeDocument/2006/relationships/hyperlink" Target="Photos\PD020171.JPG" TargetMode="External"/><Relationship Id="rId139" Type="http://schemas.openxmlformats.org/officeDocument/2006/relationships/hyperlink" Target="Photos\P1010011.JPG" TargetMode="External"/><Relationship Id="rId346" Type="http://schemas.openxmlformats.org/officeDocument/2006/relationships/hyperlink" Target="Photos\PAA50107.JPG" TargetMode="External"/><Relationship Id="rId553" Type="http://schemas.openxmlformats.org/officeDocument/2006/relationships/hyperlink" Target="Photos\P2050203.JPG" TargetMode="External"/><Relationship Id="rId760" Type="http://schemas.openxmlformats.org/officeDocument/2006/relationships/hyperlink" Target="Photos\PD030226.JPG" TargetMode="External"/><Relationship Id="rId998" Type="http://schemas.openxmlformats.org/officeDocument/2006/relationships/hyperlink" Target="Photos\PE010065.JPG" TargetMode="External"/><Relationship Id="rId1183" Type="http://schemas.openxmlformats.org/officeDocument/2006/relationships/hyperlink" Target="Photos\PF010005.JPG" TargetMode="External"/><Relationship Id="rId206" Type="http://schemas.openxmlformats.org/officeDocument/2006/relationships/hyperlink" Target="Photos\PC120036.JPG" TargetMode="External"/><Relationship Id="rId413" Type="http://schemas.openxmlformats.org/officeDocument/2006/relationships/hyperlink" Target="Photos\PAA60177.JPG" TargetMode="External"/><Relationship Id="rId858" Type="http://schemas.openxmlformats.org/officeDocument/2006/relationships/hyperlink" Target="Photos\PD060381.JPG" TargetMode="External"/><Relationship Id="rId1043" Type="http://schemas.openxmlformats.org/officeDocument/2006/relationships/hyperlink" Target="Photos\PE010109.JPG" TargetMode="External"/><Relationship Id="rId620" Type="http://schemas.openxmlformats.org/officeDocument/2006/relationships/hyperlink" Target="Photos\PD020082.JPG" TargetMode="External"/><Relationship Id="rId718" Type="http://schemas.openxmlformats.org/officeDocument/2006/relationships/hyperlink" Target="Photos\PD170521.JPG" TargetMode="External"/><Relationship Id="rId925" Type="http://schemas.openxmlformats.org/officeDocument/2006/relationships/hyperlink" Target="Photos\PAA90264.JPG" TargetMode="External"/><Relationship Id="rId1250" Type="http://schemas.openxmlformats.org/officeDocument/2006/relationships/hyperlink" Target="Photos\PF010072.JPG" TargetMode="External"/><Relationship Id="rId1348" Type="http://schemas.openxmlformats.org/officeDocument/2006/relationships/hyperlink" Target="Photos\PG010093.JPG" TargetMode="External"/><Relationship Id="rId1110" Type="http://schemas.openxmlformats.org/officeDocument/2006/relationships/hyperlink" Target="Photos\PE010171.JPG" TargetMode="External"/><Relationship Id="rId1208" Type="http://schemas.openxmlformats.org/officeDocument/2006/relationships/hyperlink" Target="Photos\PF010030.JPG" TargetMode="External"/><Relationship Id="rId54" Type="http://schemas.openxmlformats.org/officeDocument/2006/relationships/hyperlink" Target="Photos\PB210049.JPG" TargetMode="External"/><Relationship Id="rId270" Type="http://schemas.openxmlformats.org/officeDocument/2006/relationships/hyperlink" Target="Photos\P1010055.JPG" TargetMode="External"/><Relationship Id="rId130" Type="http://schemas.openxmlformats.org/officeDocument/2006/relationships/hyperlink" Target="Photos\PB270042.JPG" TargetMode="External"/><Relationship Id="rId368" Type="http://schemas.openxmlformats.org/officeDocument/2006/relationships/hyperlink" Target="Photos\PAA50149.JPG" TargetMode="External"/><Relationship Id="rId575" Type="http://schemas.openxmlformats.org/officeDocument/2006/relationships/hyperlink" Target="Photos\P2060213.JPG" TargetMode="External"/><Relationship Id="rId782" Type="http://schemas.openxmlformats.org/officeDocument/2006/relationships/hyperlink" Target="Photos\PD040264.JPG" TargetMode="External"/><Relationship Id="rId228" Type="http://schemas.openxmlformats.org/officeDocument/2006/relationships/hyperlink" Target="Photos\PC120029.JPG" TargetMode="External"/><Relationship Id="rId435" Type="http://schemas.openxmlformats.org/officeDocument/2006/relationships/hyperlink" Target="Photos\PAA90240.JPG" TargetMode="External"/><Relationship Id="rId642" Type="http://schemas.openxmlformats.org/officeDocument/2006/relationships/hyperlink" Target="Photos\PD020102.JPG" TargetMode="External"/><Relationship Id="rId1065" Type="http://schemas.openxmlformats.org/officeDocument/2006/relationships/hyperlink" Target="Photos\PE010131.JPG" TargetMode="External"/><Relationship Id="rId1272" Type="http://schemas.openxmlformats.org/officeDocument/2006/relationships/hyperlink" Target="Photos\PG010018.JPG" TargetMode="External"/><Relationship Id="rId502" Type="http://schemas.openxmlformats.org/officeDocument/2006/relationships/hyperlink" Target="Photos\P2040115.JPG" TargetMode="External"/><Relationship Id="rId947" Type="http://schemas.openxmlformats.org/officeDocument/2006/relationships/hyperlink" Target="Photos\PE010016.JPG" TargetMode="External"/><Relationship Id="rId1132" Type="http://schemas.openxmlformats.org/officeDocument/2006/relationships/hyperlink" Target="Photos\PE010193.JPG" TargetMode="External"/><Relationship Id="rId76" Type="http://schemas.openxmlformats.org/officeDocument/2006/relationships/hyperlink" Target="Photos\PB230035.JPG" TargetMode="External"/><Relationship Id="rId807" Type="http://schemas.openxmlformats.org/officeDocument/2006/relationships/hyperlink" Target="Photos\PD040284.JPG" TargetMode="External"/><Relationship Id="rId292" Type="http://schemas.openxmlformats.org/officeDocument/2006/relationships/hyperlink" Target="Photos\PAA40036.JPG" TargetMode="External"/><Relationship Id="rId597" Type="http://schemas.openxmlformats.org/officeDocument/2006/relationships/hyperlink" Target="Photos\P1200001.JPG" TargetMode="External"/><Relationship Id="rId152" Type="http://schemas.openxmlformats.org/officeDocument/2006/relationships/hyperlink" Target="Photos\P1010039.JPG" TargetMode="External"/><Relationship Id="rId457" Type="http://schemas.openxmlformats.org/officeDocument/2006/relationships/hyperlink" Target="Photos\P2020033.JPG" TargetMode="External"/><Relationship Id="rId1087" Type="http://schemas.openxmlformats.org/officeDocument/2006/relationships/hyperlink" Target="Photos\PE010153.JPG" TargetMode="External"/><Relationship Id="rId1294" Type="http://schemas.openxmlformats.org/officeDocument/2006/relationships/hyperlink" Target="Photos\PG010039.JPG" TargetMode="External"/><Relationship Id="rId664" Type="http://schemas.openxmlformats.org/officeDocument/2006/relationships/hyperlink" Target="Photos\PD260055.JPG" TargetMode="External"/><Relationship Id="rId871" Type="http://schemas.openxmlformats.org/officeDocument/2006/relationships/hyperlink" Target="Photos\PD300556.JPG" TargetMode="External"/><Relationship Id="rId969" Type="http://schemas.openxmlformats.org/officeDocument/2006/relationships/hyperlink" Target="Photos\PE010036.JPG" TargetMode="External"/><Relationship Id="rId317" Type="http://schemas.openxmlformats.org/officeDocument/2006/relationships/hyperlink" Target="Photos\PAA40070.JPG" TargetMode="External"/><Relationship Id="rId524" Type="http://schemas.openxmlformats.org/officeDocument/2006/relationships/hyperlink" Target="Photos\P2040135.JPG" TargetMode="External"/><Relationship Id="rId731" Type="http://schemas.openxmlformats.org/officeDocument/2006/relationships/hyperlink" Target="Photos\PD170495.JPG" TargetMode="External"/><Relationship Id="rId1154" Type="http://schemas.openxmlformats.org/officeDocument/2006/relationships/hyperlink" Target="Photos\PE010207.JPG" TargetMode="External"/><Relationship Id="rId98" Type="http://schemas.openxmlformats.org/officeDocument/2006/relationships/hyperlink" Target="Photos\PB230017.JPG" TargetMode="External"/><Relationship Id="rId829" Type="http://schemas.openxmlformats.org/officeDocument/2006/relationships/hyperlink" Target="Photos\PD050346.JPG" TargetMode="External"/><Relationship Id="rId1014" Type="http://schemas.openxmlformats.org/officeDocument/2006/relationships/hyperlink" Target="Photos\PE010081.JPG" TargetMode="External"/><Relationship Id="rId1221" Type="http://schemas.openxmlformats.org/officeDocument/2006/relationships/hyperlink" Target="Photos\PF010043.JPG" TargetMode="External"/><Relationship Id="rId1319" Type="http://schemas.openxmlformats.org/officeDocument/2006/relationships/hyperlink" Target="Photos\PG010064.JPG" TargetMode="External"/><Relationship Id="rId25" Type="http://schemas.openxmlformats.org/officeDocument/2006/relationships/hyperlink" Target="Photos\PB190373.JPG" TargetMode="External"/><Relationship Id="rId174" Type="http://schemas.openxmlformats.org/officeDocument/2006/relationships/hyperlink" Target="Photos\PC150031.JPG" TargetMode="External"/><Relationship Id="rId381" Type="http://schemas.openxmlformats.org/officeDocument/2006/relationships/hyperlink" Target="Photos\PAA90214.JPG" TargetMode="External"/><Relationship Id="rId241" Type="http://schemas.openxmlformats.org/officeDocument/2006/relationships/hyperlink" Target="Photos\P1010020.JPG" TargetMode="External"/><Relationship Id="rId479" Type="http://schemas.openxmlformats.org/officeDocument/2006/relationships/hyperlink" Target="Photos\P2030062.JPG" TargetMode="External"/><Relationship Id="rId686" Type="http://schemas.openxmlformats.org/officeDocument/2006/relationships/hyperlink" Target="Photos\PD020140.JPG" TargetMode="External"/><Relationship Id="rId893" Type="http://schemas.openxmlformats.org/officeDocument/2006/relationships/hyperlink" Target="Photos\PD090454.JPG" TargetMode="External"/><Relationship Id="rId339" Type="http://schemas.openxmlformats.org/officeDocument/2006/relationships/hyperlink" Target="Photos\PAA50115.JPG" TargetMode="External"/><Relationship Id="rId546" Type="http://schemas.openxmlformats.org/officeDocument/2006/relationships/hyperlink" Target="Photos\P2050178.JPG" TargetMode="External"/><Relationship Id="rId753" Type="http://schemas.openxmlformats.org/officeDocument/2006/relationships/hyperlink" Target="Photos\PD030192.JPG" TargetMode="External"/><Relationship Id="rId1176" Type="http://schemas.openxmlformats.org/officeDocument/2006/relationships/hyperlink" Target="Photos\P2060242.JPG" TargetMode="External"/><Relationship Id="rId101" Type="http://schemas.openxmlformats.org/officeDocument/2006/relationships/hyperlink" Target="Photos\PB230020.JPG" TargetMode="External"/><Relationship Id="rId406" Type="http://schemas.openxmlformats.org/officeDocument/2006/relationships/hyperlink" Target="Photos\PAA90196.JPG" TargetMode="External"/><Relationship Id="rId960" Type="http://schemas.openxmlformats.org/officeDocument/2006/relationships/hyperlink" Target="Photos\PE010029.JPG" TargetMode="External"/><Relationship Id="rId1036" Type="http://schemas.openxmlformats.org/officeDocument/2006/relationships/hyperlink" Target="Photos\PE010102.JPG" TargetMode="External"/><Relationship Id="rId1243" Type="http://schemas.openxmlformats.org/officeDocument/2006/relationships/hyperlink" Target="Photos\PF010065.JPG" TargetMode="External"/><Relationship Id="rId613" Type="http://schemas.openxmlformats.org/officeDocument/2006/relationships/hyperlink" Target="Photos\P2060246.JPG" TargetMode="External"/><Relationship Id="rId820" Type="http://schemas.openxmlformats.org/officeDocument/2006/relationships/hyperlink" Target="Photos\PD050340.JPG" TargetMode="External"/><Relationship Id="rId918" Type="http://schemas.openxmlformats.org/officeDocument/2006/relationships/hyperlink" Target="Photos\P2070009.JPG" TargetMode="External"/><Relationship Id="rId1103" Type="http://schemas.openxmlformats.org/officeDocument/2006/relationships/hyperlink" Target="Photos\PE010166.JPG" TargetMode="External"/><Relationship Id="rId1310" Type="http://schemas.openxmlformats.org/officeDocument/2006/relationships/hyperlink" Target="Photos\PG010055.JPG" TargetMode="External"/><Relationship Id="rId47" Type="http://schemas.openxmlformats.org/officeDocument/2006/relationships/hyperlink" Target="Photos\PB200028.JPG" TargetMode="External"/><Relationship Id="rId196" Type="http://schemas.openxmlformats.org/officeDocument/2006/relationships/hyperlink" Target="Photos\PC120051.JPG" TargetMode="External"/><Relationship Id="rId263" Type="http://schemas.openxmlformats.org/officeDocument/2006/relationships/hyperlink" Target="Photos\P1010059.JPG" TargetMode="External"/><Relationship Id="rId470" Type="http://schemas.openxmlformats.org/officeDocument/2006/relationships/hyperlink" Target="Photos\P2030069.JPG" TargetMode="External"/><Relationship Id="rId123" Type="http://schemas.openxmlformats.org/officeDocument/2006/relationships/hyperlink" Target="Photos\PB270028.JPG" TargetMode="External"/><Relationship Id="rId330" Type="http://schemas.openxmlformats.org/officeDocument/2006/relationships/hyperlink" Target="Photos\PAA40080.JPG" TargetMode="External"/><Relationship Id="rId568" Type="http://schemas.openxmlformats.org/officeDocument/2006/relationships/hyperlink" Target="Photos\P2060218.JPG" TargetMode="External"/><Relationship Id="rId775" Type="http://schemas.openxmlformats.org/officeDocument/2006/relationships/hyperlink" Target="Photos\PD040244.JPG" TargetMode="External"/><Relationship Id="rId982" Type="http://schemas.openxmlformats.org/officeDocument/2006/relationships/hyperlink" Target="Photos\PE010049.JPG" TargetMode="External"/><Relationship Id="rId1198" Type="http://schemas.openxmlformats.org/officeDocument/2006/relationships/hyperlink" Target="Photos\PF010020.JPG" TargetMode="External"/><Relationship Id="rId428" Type="http://schemas.openxmlformats.org/officeDocument/2006/relationships/hyperlink" Target="Photos\PAA90244.JPG" TargetMode="External"/><Relationship Id="rId635" Type="http://schemas.openxmlformats.org/officeDocument/2006/relationships/hyperlink" Target="Photos\PD020091.JPG" TargetMode="External"/><Relationship Id="rId842" Type="http://schemas.openxmlformats.org/officeDocument/2006/relationships/hyperlink" Target="Photos\PD060406.JPG" TargetMode="External"/><Relationship Id="rId1058" Type="http://schemas.openxmlformats.org/officeDocument/2006/relationships/hyperlink" Target="Photos\PE010124.JPG" TargetMode="External"/><Relationship Id="rId1265" Type="http://schemas.openxmlformats.org/officeDocument/2006/relationships/hyperlink" Target="Photos\PG010011.JPG" TargetMode="External"/><Relationship Id="rId702" Type="http://schemas.openxmlformats.org/officeDocument/2006/relationships/hyperlink" Target="Photos\PD020147.JPG" TargetMode="External"/><Relationship Id="rId1125" Type="http://schemas.openxmlformats.org/officeDocument/2006/relationships/hyperlink" Target="Photos\PE010185.JPG" TargetMode="External"/><Relationship Id="rId1332" Type="http://schemas.openxmlformats.org/officeDocument/2006/relationships/hyperlink" Target="Photos\PG010077.JPG" TargetMode="External"/><Relationship Id="rId69" Type="http://schemas.openxmlformats.org/officeDocument/2006/relationships/hyperlink" Target="Photos\PB230026.JPG" TargetMode="External"/><Relationship Id="rId285" Type="http://schemas.openxmlformats.org/officeDocument/2006/relationships/hyperlink" Target="Photos\PAA40028.JPG" TargetMode="External"/><Relationship Id="rId492" Type="http://schemas.openxmlformats.org/officeDocument/2006/relationships/hyperlink" Target="Photos\P2030096.JPG" TargetMode="External"/><Relationship Id="rId797" Type="http://schemas.openxmlformats.org/officeDocument/2006/relationships/hyperlink" Target="Photos\PD040300.JPG" TargetMode="External"/><Relationship Id="rId145" Type="http://schemas.openxmlformats.org/officeDocument/2006/relationships/hyperlink" Target="Photos\P1010023.JPG" TargetMode="External"/><Relationship Id="rId352" Type="http://schemas.openxmlformats.org/officeDocument/2006/relationships/hyperlink" Target="Photos\PAA50126.JPG" TargetMode="External"/><Relationship Id="rId1287" Type="http://schemas.openxmlformats.org/officeDocument/2006/relationships/hyperlink" Target="Photos\PG010032.JPG" TargetMode="External"/><Relationship Id="rId212" Type="http://schemas.openxmlformats.org/officeDocument/2006/relationships/hyperlink" Target="Photos\PC120013.JPG" TargetMode="External"/><Relationship Id="rId657" Type="http://schemas.openxmlformats.org/officeDocument/2006/relationships/hyperlink" Target="Photos\PD260049.JPG" TargetMode="External"/><Relationship Id="rId864" Type="http://schemas.openxmlformats.org/officeDocument/2006/relationships/hyperlink" Target="Photos\PD300543.JPG" TargetMode="External"/><Relationship Id="rId517" Type="http://schemas.openxmlformats.org/officeDocument/2006/relationships/hyperlink" Target="Photos\P2060233.JPG" TargetMode="External"/><Relationship Id="rId724" Type="http://schemas.openxmlformats.org/officeDocument/2006/relationships/hyperlink" Target="Photos\PD170503.JPG" TargetMode="External"/><Relationship Id="rId931" Type="http://schemas.openxmlformats.org/officeDocument/2006/relationships/hyperlink" Target="Photos\PE010002.JPG" TargetMode="External"/><Relationship Id="rId1147" Type="http://schemas.openxmlformats.org/officeDocument/2006/relationships/hyperlink" Target="Photos\PE010202.JPG" TargetMode="External"/><Relationship Id="rId1354" Type="http://schemas.openxmlformats.org/officeDocument/2006/relationships/printerSettings" Target="../printerSettings/printerSettings1.bin"/><Relationship Id="rId60" Type="http://schemas.openxmlformats.org/officeDocument/2006/relationships/hyperlink" Target="Photos\PB210060.JPG" TargetMode="External"/><Relationship Id="rId1007" Type="http://schemas.openxmlformats.org/officeDocument/2006/relationships/hyperlink" Target="Photos\PE010074.JPG" TargetMode="External"/><Relationship Id="rId1214" Type="http://schemas.openxmlformats.org/officeDocument/2006/relationships/hyperlink" Target="Photos\PF010036.JPG" TargetMode="External"/><Relationship Id="rId18" Type="http://schemas.openxmlformats.org/officeDocument/2006/relationships/hyperlink" Target="Photos\PB190366.JPG" TargetMode="External"/><Relationship Id="rId167" Type="http://schemas.openxmlformats.org/officeDocument/2006/relationships/hyperlink" Target="Photos\PC150021.JPG" TargetMode="External"/><Relationship Id="rId374" Type="http://schemas.openxmlformats.org/officeDocument/2006/relationships/hyperlink" Target="Photos\PAA50152.JPG" TargetMode="External"/><Relationship Id="rId581" Type="http://schemas.openxmlformats.org/officeDocument/2006/relationships/hyperlink" Target="Photos\P2060245.JPG" TargetMode="External"/><Relationship Id="rId234" Type="http://schemas.openxmlformats.org/officeDocument/2006/relationships/hyperlink" Target="Photos\PA010004.JPG" TargetMode="External"/><Relationship Id="rId679" Type="http://schemas.openxmlformats.org/officeDocument/2006/relationships/hyperlink" Target="Photos\PD020125.JPG" TargetMode="External"/><Relationship Id="rId886" Type="http://schemas.openxmlformats.org/officeDocument/2006/relationships/hyperlink" Target="Photos\PD090451.JPG" TargetMode="External"/><Relationship Id="rId2" Type="http://schemas.openxmlformats.org/officeDocument/2006/relationships/hyperlink" Target="Photos\PB190384.JPG" TargetMode="External"/><Relationship Id="rId441" Type="http://schemas.openxmlformats.org/officeDocument/2006/relationships/hyperlink" Target="Photos\P2020023.JPG" TargetMode="External"/><Relationship Id="rId539" Type="http://schemas.openxmlformats.org/officeDocument/2006/relationships/hyperlink" Target="Photos\P2040170.JPG" TargetMode="External"/><Relationship Id="rId746" Type="http://schemas.openxmlformats.org/officeDocument/2006/relationships/hyperlink" Target="Photos\P1010042.JPG" TargetMode="External"/><Relationship Id="rId1071" Type="http://schemas.openxmlformats.org/officeDocument/2006/relationships/hyperlink" Target="Photos\PE010137.JPG" TargetMode="External"/><Relationship Id="rId1169" Type="http://schemas.openxmlformats.org/officeDocument/2006/relationships/hyperlink" Target="Photos\PE010222.JPG" TargetMode="External"/><Relationship Id="rId301" Type="http://schemas.openxmlformats.org/officeDocument/2006/relationships/hyperlink" Target="Photos\PAA40050.JPG" TargetMode="External"/><Relationship Id="rId953" Type="http://schemas.openxmlformats.org/officeDocument/2006/relationships/hyperlink" Target="Photos\PE010022.JPG" TargetMode="External"/><Relationship Id="rId1029" Type="http://schemas.openxmlformats.org/officeDocument/2006/relationships/hyperlink" Target="Photos\PE010096.JPG" TargetMode="External"/><Relationship Id="rId1236" Type="http://schemas.openxmlformats.org/officeDocument/2006/relationships/hyperlink" Target="Photos\PF010058.JPG" TargetMode="External"/><Relationship Id="rId82" Type="http://schemas.openxmlformats.org/officeDocument/2006/relationships/hyperlink" Target="Photos\PB230043.JPG" TargetMode="External"/><Relationship Id="rId606" Type="http://schemas.openxmlformats.org/officeDocument/2006/relationships/hyperlink" Target="Photos\P1220016.JPG" TargetMode="External"/><Relationship Id="rId813" Type="http://schemas.openxmlformats.org/officeDocument/2006/relationships/hyperlink" Target="Photos\PD050320.JPG" TargetMode="External"/><Relationship Id="rId1303" Type="http://schemas.openxmlformats.org/officeDocument/2006/relationships/hyperlink" Target="Photos\PG010048.JPG" TargetMode="External"/><Relationship Id="rId189" Type="http://schemas.openxmlformats.org/officeDocument/2006/relationships/hyperlink" Target="Photos\PC150002.JPG" TargetMode="External"/><Relationship Id="rId396" Type="http://schemas.openxmlformats.org/officeDocument/2006/relationships/hyperlink" Target="Photos\PAA60171.JPG" TargetMode="External"/><Relationship Id="rId256" Type="http://schemas.openxmlformats.org/officeDocument/2006/relationships/hyperlink" Target="Photos\P1010067.JPG" TargetMode="External"/><Relationship Id="rId463" Type="http://schemas.openxmlformats.org/officeDocument/2006/relationships/hyperlink" Target="Photos\P2020031.JPG" TargetMode="External"/><Relationship Id="rId670" Type="http://schemas.openxmlformats.org/officeDocument/2006/relationships/hyperlink" Target="Photos\PD260061.JPG" TargetMode="External"/><Relationship Id="rId1093" Type="http://schemas.openxmlformats.org/officeDocument/2006/relationships/hyperlink" Target="Photos\PE010190.JPG" TargetMode="External"/><Relationship Id="rId116" Type="http://schemas.openxmlformats.org/officeDocument/2006/relationships/hyperlink" Target="Photos\PB270049.JPG" TargetMode="External"/><Relationship Id="rId323" Type="http://schemas.openxmlformats.org/officeDocument/2006/relationships/hyperlink" Target="Photos\PAA40077.JPG" TargetMode="External"/><Relationship Id="rId530" Type="http://schemas.openxmlformats.org/officeDocument/2006/relationships/hyperlink" Target="Photos\P2040156.JPG" TargetMode="External"/><Relationship Id="rId768" Type="http://schemas.openxmlformats.org/officeDocument/2006/relationships/hyperlink" Target="Photos\PD030243.JPG" TargetMode="External"/><Relationship Id="rId975" Type="http://schemas.openxmlformats.org/officeDocument/2006/relationships/hyperlink" Target="Photos\PE010040.JPG" TargetMode="External"/><Relationship Id="rId1160" Type="http://schemas.openxmlformats.org/officeDocument/2006/relationships/hyperlink" Target="Photos\PE010213.JPG" TargetMode="External"/><Relationship Id="rId628" Type="http://schemas.openxmlformats.org/officeDocument/2006/relationships/hyperlink" Target="Photos\PD020086.JPG" TargetMode="External"/><Relationship Id="rId835" Type="http://schemas.openxmlformats.org/officeDocument/2006/relationships/hyperlink" Target="Photos\PD060403.JPG" TargetMode="External"/><Relationship Id="rId1258" Type="http://schemas.openxmlformats.org/officeDocument/2006/relationships/hyperlink" Target="Photos\PG010004.JPG" TargetMode="External"/><Relationship Id="rId1020" Type="http://schemas.openxmlformats.org/officeDocument/2006/relationships/hyperlink" Target="Photos\PE010087.JPG" TargetMode="External"/><Relationship Id="rId1118" Type="http://schemas.openxmlformats.org/officeDocument/2006/relationships/hyperlink" Target="Photos\PE010179.JPG" TargetMode="External"/><Relationship Id="rId1325" Type="http://schemas.openxmlformats.org/officeDocument/2006/relationships/hyperlink" Target="Photos\PG010070.JPG" TargetMode="External"/><Relationship Id="rId902" Type="http://schemas.openxmlformats.org/officeDocument/2006/relationships/hyperlink" Target="Photos\PD300597.JPG" TargetMode="External"/><Relationship Id="rId31" Type="http://schemas.openxmlformats.org/officeDocument/2006/relationships/hyperlink" Target="Photos\PB190379.JPG" TargetMode="External"/><Relationship Id="rId180" Type="http://schemas.openxmlformats.org/officeDocument/2006/relationships/hyperlink" Target="Photos\PC150014.JPG" TargetMode="External"/><Relationship Id="rId278" Type="http://schemas.openxmlformats.org/officeDocument/2006/relationships/hyperlink" Target="Photos\P1010045.JPG" TargetMode="External"/><Relationship Id="rId485" Type="http://schemas.openxmlformats.org/officeDocument/2006/relationships/hyperlink" Target="Photos\P2030083.JPG" TargetMode="External"/><Relationship Id="rId692" Type="http://schemas.openxmlformats.org/officeDocument/2006/relationships/hyperlink" Target="Photos\PD020145.JPG" TargetMode="External"/><Relationship Id="rId138" Type="http://schemas.openxmlformats.org/officeDocument/2006/relationships/hyperlink" Target="Photos\P1010031.JPG" TargetMode="External"/><Relationship Id="rId345" Type="http://schemas.openxmlformats.org/officeDocument/2006/relationships/hyperlink" Target="Photos\PAA50106.JPG" TargetMode="External"/><Relationship Id="rId552" Type="http://schemas.openxmlformats.org/officeDocument/2006/relationships/hyperlink" Target="Photos\P2050202.JPG" TargetMode="External"/><Relationship Id="rId997" Type="http://schemas.openxmlformats.org/officeDocument/2006/relationships/hyperlink" Target="Photos\PE010064.JPG" TargetMode="External"/><Relationship Id="rId1182" Type="http://schemas.openxmlformats.org/officeDocument/2006/relationships/hyperlink" Target="Photos\PF010004.JPG" TargetMode="External"/><Relationship Id="rId205" Type="http://schemas.openxmlformats.org/officeDocument/2006/relationships/hyperlink" Target="Photos\PC120036.JPG" TargetMode="External"/><Relationship Id="rId412" Type="http://schemas.openxmlformats.org/officeDocument/2006/relationships/hyperlink" Target="Photos\PAA90203.JPG" TargetMode="External"/><Relationship Id="rId857" Type="http://schemas.openxmlformats.org/officeDocument/2006/relationships/hyperlink" Target="Photos\PD060380.JPG" TargetMode="External"/><Relationship Id="rId1042" Type="http://schemas.openxmlformats.org/officeDocument/2006/relationships/hyperlink" Target="Photos\PE010108.JPG" TargetMode="External"/><Relationship Id="rId717" Type="http://schemas.openxmlformats.org/officeDocument/2006/relationships/hyperlink" Target="Photos\PD030186.JPG" TargetMode="External"/><Relationship Id="rId924" Type="http://schemas.openxmlformats.org/officeDocument/2006/relationships/hyperlink" Target="Photos\PAA90263.JPG" TargetMode="External"/><Relationship Id="rId1347" Type="http://schemas.openxmlformats.org/officeDocument/2006/relationships/hyperlink" Target="Photos\PG010092.JPG" TargetMode="External"/><Relationship Id="rId53" Type="http://schemas.openxmlformats.org/officeDocument/2006/relationships/hyperlink" Target="Photos\PB210040.JPG" TargetMode="External"/><Relationship Id="rId1207" Type="http://schemas.openxmlformats.org/officeDocument/2006/relationships/hyperlink" Target="Photos\PF010029.JPG" TargetMode="External"/><Relationship Id="rId367" Type="http://schemas.openxmlformats.org/officeDocument/2006/relationships/hyperlink" Target="Photos\PAA50148.JPG" TargetMode="External"/><Relationship Id="rId574" Type="http://schemas.openxmlformats.org/officeDocument/2006/relationships/hyperlink" Target="Photos\P2060216.JPG" TargetMode="External"/><Relationship Id="rId227" Type="http://schemas.openxmlformats.org/officeDocument/2006/relationships/hyperlink" Target="Photos\PC120027.JPG" TargetMode="External"/><Relationship Id="rId781" Type="http://schemas.openxmlformats.org/officeDocument/2006/relationships/hyperlink" Target="Photos\PD040259.JPG" TargetMode="External"/><Relationship Id="rId879" Type="http://schemas.openxmlformats.org/officeDocument/2006/relationships/hyperlink" Target="Photos\PD300570.JPG" TargetMode="External"/><Relationship Id="rId434" Type="http://schemas.openxmlformats.org/officeDocument/2006/relationships/hyperlink" Target="Photos\PAA90240.JPG" TargetMode="External"/><Relationship Id="rId641" Type="http://schemas.openxmlformats.org/officeDocument/2006/relationships/hyperlink" Target="Photos\PD020104.JPG" TargetMode="External"/><Relationship Id="rId739" Type="http://schemas.openxmlformats.org/officeDocument/2006/relationships/hyperlink" Target="Photos\PC150040A.JPG" TargetMode="External"/><Relationship Id="rId1064" Type="http://schemas.openxmlformats.org/officeDocument/2006/relationships/hyperlink" Target="Photos\PE010130.JPG" TargetMode="External"/><Relationship Id="rId1271" Type="http://schemas.openxmlformats.org/officeDocument/2006/relationships/hyperlink" Target="Photos\PG010017.JPG" TargetMode="External"/><Relationship Id="rId501" Type="http://schemas.openxmlformats.org/officeDocument/2006/relationships/hyperlink" Target="Photos\P2040111.JPG" TargetMode="External"/><Relationship Id="rId946" Type="http://schemas.openxmlformats.org/officeDocument/2006/relationships/hyperlink" Target="Photos\PE010015.JPG" TargetMode="External"/><Relationship Id="rId1131" Type="http://schemas.openxmlformats.org/officeDocument/2006/relationships/hyperlink" Target="Photos\PE010193.JPG" TargetMode="External"/><Relationship Id="rId1229" Type="http://schemas.openxmlformats.org/officeDocument/2006/relationships/hyperlink" Target="Photos\PF010051.JPG" TargetMode="External"/><Relationship Id="rId75" Type="http://schemas.openxmlformats.org/officeDocument/2006/relationships/hyperlink" Target="Photos\PB230034.JPG" TargetMode="External"/><Relationship Id="rId806" Type="http://schemas.openxmlformats.org/officeDocument/2006/relationships/hyperlink" Target="Photos\PD040290.JPG" TargetMode="External"/><Relationship Id="rId291" Type="http://schemas.openxmlformats.org/officeDocument/2006/relationships/hyperlink" Target="Photos\PAA40036.JPG" TargetMode="External"/><Relationship Id="rId151" Type="http://schemas.openxmlformats.org/officeDocument/2006/relationships/hyperlink" Target="Photos\P1010037.JPG" TargetMode="External"/><Relationship Id="rId389" Type="http://schemas.openxmlformats.org/officeDocument/2006/relationships/hyperlink" Target="Photos\PAA90190.JPG" TargetMode="External"/><Relationship Id="rId596" Type="http://schemas.openxmlformats.org/officeDocument/2006/relationships/hyperlink" Target="Photos\P1200003.JPG" TargetMode="External"/><Relationship Id="rId249" Type="http://schemas.openxmlformats.org/officeDocument/2006/relationships/hyperlink" Target="Photos\PAA90232.JPG" TargetMode="External"/><Relationship Id="rId456" Type="http://schemas.openxmlformats.org/officeDocument/2006/relationships/hyperlink" Target="Photos\P2020032.JPG" TargetMode="External"/><Relationship Id="rId663" Type="http://schemas.openxmlformats.org/officeDocument/2006/relationships/hyperlink" Target="Photos\PD260054.JPG" TargetMode="External"/><Relationship Id="rId870" Type="http://schemas.openxmlformats.org/officeDocument/2006/relationships/hyperlink" Target="Photos\PD300554.JPG" TargetMode="External"/><Relationship Id="rId1086" Type="http://schemas.openxmlformats.org/officeDocument/2006/relationships/hyperlink" Target="Photos\PE010152.JPG" TargetMode="External"/><Relationship Id="rId1293" Type="http://schemas.openxmlformats.org/officeDocument/2006/relationships/hyperlink" Target="Photos\PG010038.JPG" TargetMode="External"/><Relationship Id="rId109" Type="http://schemas.openxmlformats.org/officeDocument/2006/relationships/hyperlink" Target="Photos\PB260001.JPG" TargetMode="External"/><Relationship Id="rId316" Type="http://schemas.openxmlformats.org/officeDocument/2006/relationships/hyperlink" Target="Photos\PAA40067.JPG" TargetMode="External"/><Relationship Id="rId523" Type="http://schemas.openxmlformats.org/officeDocument/2006/relationships/hyperlink" Target="Photos\P2040132.JPG" TargetMode="External"/><Relationship Id="rId968" Type="http://schemas.openxmlformats.org/officeDocument/2006/relationships/hyperlink" Target="Photos\PE010038.JPG" TargetMode="External"/><Relationship Id="rId1153" Type="http://schemas.openxmlformats.org/officeDocument/2006/relationships/hyperlink" Target="Photos\PE010206.JPG" TargetMode="External"/><Relationship Id="rId97" Type="http://schemas.openxmlformats.org/officeDocument/2006/relationships/hyperlink" Target="Photos\PB230016.JPG" TargetMode="External"/><Relationship Id="rId730" Type="http://schemas.openxmlformats.org/officeDocument/2006/relationships/hyperlink" Target="Photos\PD170489.JPG" TargetMode="External"/><Relationship Id="rId828" Type="http://schemas.openxmlformats.org/officeDocument/2006/relationships/hyperlink" Target="Photos\PD050345.JPG" TargetMode="External"/><Relationship Id="rId1013" Type="http://schemas.openxmlformats.org/officeDocument/2006/relationships/hyperlink" Target="Photos\PE010080.JPG" TargetMode="External"/><Relationship Id="rId1220" Type="http://schemas.openxmlformats.org/officeDocument/2006/relationships/hyperlink" Target="Photos\PF010042.JPG" TargetMode="External"/><Relationship Id="rId1318" Type="http://schemas.openxmlformats.org/officeDocument/2006/relationships/hyperlink" Target="Photos\PG010063.JP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toyrarities.com/blogs/wikitoys/toy-makers-a-z"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711"/>
  <sheetViews>
    <sheetView tabSelected="1" topLeftCell="J1" zoomScale="80" zoomScaleNormal="80" workbookViewId="0">
      <pane ySplit="1" topLeftCell="A663" activePane="bottomLeft" state="frozen"/>
      <selection pane="bottomLeft" activeCell="H667" sqref="H667"/>
    </sheetView>
  </sheetViews>
  <sheetFormatPr defaultRowHeight="14.25"/>
  <cols>
    <col min="1" max="1" width="5.86328125" style="22" customWidth="1"/>
    <col min="2" max="2" width="20" customWidth="1"/>
    <col min="3" max="3" width="8.33203125" customWidth="1"/>
    <col min="4" max="4" width="12.73046875" customWidth="1"/>
    <col min="5" max="5" width="17.9296875" customWidth="1"/>
    <col min="6" max="6" width="21" customWidth="1"/>
    <col min="7" max="7" width="10.86328125" customWidth="1"/>
    <col min="8" max="8" width="28.59765625" customWidth="1"/>
    <col min="9" max="9" width="13.6640625" customWidth="1"/>
    <col min="10" max="10" width="10.1328125" customWidth="1"/>
    <col min="11" max="11" width="14.19921875" customWidth="1"/>
    <col min="12" max="12" width="10.59765625" customWidth="1"/>
    <col min="13" max="13" width="10.9296875" customWidth="1"/>
    <col min="14" max="14" width="10.86328125" customWidth="1"/>
    <col min="15" max="15" width="15.6640625" customWidth="1"/>
    <col min="16" max="16" width="9.1328125" customWidth="1"/>
    <col min="18" max="18" width="11.86328125" customWidth="1"/>
    <col min="19" max="19" width="13.265625" customWidth="1"/>
    <col min="20" max="20" width="16" customWidth="1"/>
    <col min="21" max="21" width="62.9296875" style="6" customWidth="1"/>
    <col min="22" max="22" width="24.796875" customWidth="1"/>
    <col min="23" max="23" width="11.73046875" customWidth="1"/>
    <col min="24" max="24" width="10.33203125" customWidth="1"/>
    <col min="25" max="25" width="10" customWidth="1"/>
    <col min="26" max="26" width="9.53125" customWidth="1"/>
  </cols>
  <sheetData>
    <row r="1" spans="1:28" s="1" customFormat="1" ht="42.75">
      <c r="A1" s="21" t="s">
        <v>0</v>
      </c>
      <c r="B1" s="5" t="s">
        <v>1696</v>
      </c>
      <c r="C1" s="63" t="s">
        <v>445</v>
      </c>
      <c r="D1" s="4" t="s">
        <v>452</v>
      </c>
      <c r="E1" s="19" t="s">
        <v>458</v>
      </c>
      <c r="F1" s="4" t="s">
        <v>446</v>
      </c>
      <c r="G1" s="17" t="s">
        <v>453</v>
      </c>
      <c r="H1" s="7" t="s">
        <v>1697</v>
      </c>
      <c r="I1" s="4" t="s">
        <v>447</v>
      </c>
      <c r="J1" s="5" t="s">
        <v>840</v>
      </c>
      <c r="K1" s="15" t="s">
        <v>448</v>
      </c>
      <c r="L1" s="15" t="s">
        <v>454</v>
      </c>
      <c r="M1" s="20" t="s">
        <v>1402</v>
      </c>
      <c r="N1" s="20" t="s">
        <v>1403</v>
      </c>
      <c r="O1" s="5" t="s">
        <v>455</v>
      </c>
      <c r="P1" s="4" t="s">
        <v>451</v>
      </c>
      <c r="Q1" s="5" t="s">
        <v>449</v>
      </c>
      <c r="R1" s="5" t="s">
        <v>450</v>
      </c>
      <c r="S1" s="5" t="s">
        <v>456</v>
      </c>
      <c r="T1" s="18" t="s">
        <v>457</v>
      </c>
      <c r="U1" s="5" t="s">
        <v>4574</v>
      </c>
      <c r="V1" s="5" t="s">
        <v>1</v>
      </c>
      <c r="W1" s="4" t="s">
        <v>1477</v>
      </c>
      <c r="X1" s="4" t="s">
        <v>1477</v>
      </c>
      <c r="Y1" s="4" t="s">
        <v>1477</v>
      </c>
      <c r="Z1" s="4" t="s">
        <v>1477</v>
      </c>
    </row>
    <row r="2" spans="1:28" ht="42.75">
      <c r="A2" s="22">
        <v>1</v>
      </c>
      <c r="B2" s="31" t="s">
        <v>778</v>
      </c>
      <c r="C2" s="22"/>
      <c r="D2" s="22" t="s">
        <v>492</v>
      </c>
      <c r="E2" s="31" t="s">
        <v>510</v>
      </c>
      <c r="F2" s="31" t="s">
        <v>779</v>
      </c>
      <c r="G2" s="31" t="s">
        <v>757</v>
      </c>
      <c r="H2" s="32" t="s">
        <v>787</v>
      </c>
      <c r="I2" s="31" t="s">
        <v>780</v>
      </c>
      <c r="J2" s="31" t="s">
        <v>781</v>
      </c>
      <c r="K2" s="33" t="s">
        <v>127</v>
      </c>
      <c r="L2" s="33" t="s">
        <v>782</v>
      </c>
      <c r="M2" s="33" t="s">
        <v>883</v>
      </c>
      <c r="N2" s="33" t="s">
        <v>795</v>
      </c>
      <c r="O2" s="22"/>
      <c r="P2" s="22"/>
      <c r="Q2" s="22"/>
      <c r="R2" s="22"/>
      <c r="S2" s="31" t="s">
        <v>879</v>
      </c>
      <c r="T2" s="22" t="s">
        <v>906</v>
      </c>
      <c r="U2" s="31" t="s">
        <v>1706</v>
      </c>
      <c r="V2" s="31"/>
      <c r="W2" s="42" t="s">
        <v>1415</v>
      </c>
      <c r="X2" s="43" t="s">
        <v>1416</v>
      </c>
      <c r="Y2" s="42" t="s">
        <v>1417</v>
      </c>
    </row>
    <row r="3" spans="1:28" ht="42.75">
      <c r="A3" s="22">
        <v>2</v>
      </c>
      <c r="B3" s="31" t="s">
        <v>789</v>
      </c>
      <c r="C3" s="22"/>
      <c r="D3" s="22" t="s">
        <v>492</v>
      </c>
      <c r="E3" s="22" t="s">
        <v>511</v>
      </c>
      <c r="F3" s="31" t="s">
        <v>783</v>
      </c>
      <c r="G3" s="22" t="s">
        <v>757</v>
      </c>
      <c r="H3" s="31" t="s">
        <v>786</v>
      </c>
      <c r="I3" s="31" t="s">
        <v>780</v>
      </c>
      <c r="J3" s="31" t="s">
        <v>784</v>
      </c>
      <c r="K3" s="33" t="s">
        <v>91</v>
      </c>
      <c r="L3" s="33" t="s">
        <v>785</v>
      </c>
      <c r="M3" s="33" t="s">
        <v>795</v>
      </c>
      <c r="N3" s="33" t="s">
        <v>795</v>
      </c>
      <c r="O3" s="33" t="s">
        <v>782</v>
      </c>
      <c r="P3" s="22"/>
      <c r="Q3" s="22"/>
      <c r="R3" s="22"/>
      <c r="S3" s="31" t="s">
        <v>880</v>
      </c>
      <c r="T3" s="31" t="s">
        <v>799</v>
      </c>
      <c r="U3" s="31" t="s">
        <v>788</v>
      </c>
      <c r="V3" s="22"/>
      <c r="W3" s="42" t="s">
        <v>1421</v>
      </c>
      <c r="X3" s="44" t="s">
        <v>1420</v>
      </c>
    </row>
    <row r="4" spans="1:28" ht="42.75">
      <c r="A4" s="22">
        <v>3</v>
      </c>
      <c r="B4" s="31" t="s">
        <v>791</v>
      </c>
      <c r="C4" s="22" t="s">
        <v>796</v>
      </c>
      <c r="D4" s="22" t="s">
        <v>492</v>
      </c>
      <c r="E4" s="22" t="s">
        <v>511</v>
      </c>
      <c r="F4" s="31" t="s">
        <v>793</v>
      </c>
      <c r="G4" s="22" t="s">
        <v>757</v>
      </c>
      <c r="H4" s="32" t="s">
        <v>792</v>
      </c>
      <c r="I4" s="31" t="s">
        <v>780</v>
      </c>
      <c r="J4" s="22" t="s">
        <v>794</v>
      </c>
      <c r="K4" s="33" t="s">
        <v>91</v>
      </c>
      <c r="L4" s="33" t="s">
        <v>785</v>
      </c>
      <c r="M4" s="33" t="s">
        <v>795</v>
      </c>
      <c r="N4" s="33" t="s">
        <v>795</v>
      </c>
      <c r="O4" s="22"/>
      <c r="P4" s="22"/>
      <c r="Q4" s="22"/>
      <c r="R4" s="22"/>
      <c r="S4" s="22" t="s">
        <v>837</v>
      </c>
      <c r="T4" s="31" t="s">
        <v>797</v>
      </c>
      <c r="U4" s="31" t="s">
        <v>790</v>
      </c>
      <c r="V4" s="31" t="s">
        <v>798</v>
      </c>
      <c r="W4" s="42" t="s">
        <v>1422</v>
      </c>
      <c r="X4" s="45" t="s">
        <v>1423</v>
      </c>
      <c r="Y4" s="45" t="s">
        <v>1418</v>
      </c>
      <c r="Z4" s="22"/>
      <c r="AA4" s="22"/>
      <c r="AB4" s="22"/>
    </row>
    <row r="5" spans="1:28" ht="28.5">
      <c r="A5" s="22">
        <v>4</v>
      </c>
      <c r="B5" s="34" t="s">
        <v>800</v>
      </c>
      <c r="C5" s="22"/>
      <c r="D5" s="22" t="s">
        <v>492</v>
      </c>
      <c r="E5" s="22" t="s">
        <v>511</v>
      </c>
      <c r="F5" s="34" t="s">
        <v>801</v>
      </c>
      <c r="G5" s="22" t="s">
        <v>757</v>
      </c>
      <c r="H5" s="32" t="s">
        <v>802</v>
      </c>
      <c r="I5" s="34" t="s">
        <v>803</v>
      </c>
      <c r="J5" s="22" t="s">
        <v>804</v>
      </c>
      <c r="K5" s="33" t="s">
        <v>91</v>
      </c>
      <c r="L5" s="33" t="s">
        <v>785</v>
      </c>
      <c r="M5" s="33" t="s">
        <v>883</v>
      </c>
      <c r="N5" s="33" t="s">
        <v>795</v>
      </c>
      <c r="O5" s="22"/>
      <c r="P5" s="22"/>
      <c r="Q5" s="22"/>
      <c r="R5" s="22"/>
      <c r="S5" s="22" t="s">
        <v>837</v>
      </c>
      <c r="T5" s="22" t="s">
        <v>805</v>
      </c>
      <c r="U5" s="31" t="s">
        <v>808</v>
      </c>
      <c r="V5" s="22"/>
      <c r="W5" s="46" t="s">
        <v>1424</v>
      </c>
      <c r="X5" s="45" t="s">
        <v>1425</v>
      </c>
      <c r="Y5" s="45" t="s">
        <v>1427</v>
      </c>
    </row>
    <row r="6" spans="1:28" ht="28.5">
      <c r="A6" s="22">
        <v>5</v>
      </c>
      <c r="B6" s="34" t="s">
        <v>807</v>
      </c>
      <c r="C6" s="22"/>
      <c r="D6" s="22" t="s">
        <v>492</v>
      </c>
      <c r="E6" s="22" t="s">
        <v>511</v>
      </c>
      <c r="F6" s="34" t="s">
        <v>809</v>
      </c>
      <c r="G6" s="22" t="s">
        <v>757</v>
      </c>
      <c r="H6" s="32" t="s">
        <v>802</v>
      </c>
      <c r="I6" s="34" t="s">
        <v>803</v>
      </c>
      <c r="J6" s="22" t="s">
        <v>810</v>
      </c>
      <c r="K6" s="33" t="s">
        <v>91</v>
      </c>
      <c r="L6" s="33" t="s">
        <v>785</v>
      </c>
      <c r="M6" s="33" t="s">
        <v>883</v>
      </c>
      <c r="N6" s="33" t="s">
        <v>795</v>
      </c>
      <c r="O6" s="22"/>
      <c r="P6" s="22"/>
      <c r="Q6" s="22"/>
      <c r="R6" s="22"/>
      <c r="S6" s="22" t="s">
        <v>837</v>
      </c>
      <c r="T6" s="22" t="s">
        <v>805</v>
      </c>
      <c r="U6" s="31" t="s">
        <v>806</v>
      </c>
      <c r="V6" s="22"/>
      <c r="W6" s="46" t="s">
        <v>1430</v>
      </c>
      <c r="X6" s="45" t="s">
        <v>1431</v>
      </c>
      <c r="Y6" s="45" t="s">
        <v>1429</v>
      </c>
    </row>
    <row r="7" spans="1:28" ht="42.75">
      <c r="A7" s="22">
        <v>6</v>
      </c>
      <c r="B7" s="34" t="s">
        <v>811</v>
      </c>
      <c r="C7" s="22"/>
      <c r="D7" s="22" t="s">
        <v>492</v>
      </c>
      <c r="E7" s="31" t="s">
        <v>510</v>
      </c>
      <c r="F7" s="34" t="s">
        <v>4195</v>
      </c>
      <c r="G7" s="22" t="s">
        <v>757</v>
      </c>
      <c r="H7" s="32" t="s">
        <v>812</v>
      </c>
      <c r="I7" s="34" t="s">
        <v>780</v>
      </c>
      <c r="J7" s="22" t="s">
        <v>813</v>
      </c>
      <c r="K7" s="33" t="s">
        <v>174</v>
      </c>
      <c r="L7" s="33" t="s">
        <v>782</v>
      </c>
      <c r="M7" s="33" t="s">
        <v>883</v>
      </c>
      <c r="N7" s="33" t="s">
        <v>795</v>
      </c>
      <c r="O7" s="22"/>
      <c r="P7" s="22">
        <v>10</v>
      </c>
      <c r="Q7" s="22"/>
      <c r="R7" s="31" t="s">
        <v>3092</v>
      </c>
      <c r="S7" s="22"/>
      <c r="T7" s="22" t="s">
        <v>814</v>
      </c>
      <c r="U7" s="31" t="s">
        <v>831</v>
      </c>
      <c r="V7" s="31" t="s">
        <v>834</v>
      </c>
      <c r="W7" s="46" t="s">
        <v>1426</v>
      </c>
      <c r="X7" s="45" t="s">
        <v>1428</v>
      </c>
      <c r="Y7" s="45" t="s">
        <v>1432</v>
      </c>
    </row>
    <row r="8" spans="1:28" ht="28.5">
      <c r="A8" s="22">
        <v>7</v>
      </c>
      <c r="B8" s="34" t="s">
        <v>821</v>
      </c>
      <c r="C8" s="22">
        <v>549</v>
      </c>
      <c r="D8" s="22" t="s">
        <v>493</v>
      </c>
      <c r="E8" s="31" t="s">
        <v>510</v>
      </c>
      <c r="F8" s="34" t="s">
        <v>4196</v>
      </c>
      <c r="G8" s="22" t="s">
        <v>755</v>
      </c>
      <c r="H8" s="35" t="s">
        <v>823</v>
      </c>
      <c r="I8" s="34" t="s">
        <v>817</v>
      </c>
      <c r="J8" s="22" t="s">
        <v>818</v>
      </c>
      <c r="K8" s="33" t="s">
        <v>819</v>
      </c>
      <c r="L8" s="33" t="s">
        <v>758</v>
      </c>
      <c r="M8" s="33" t="s">
        <v>815</v>
      </c>
      <c r="N8" s="33" t="s">
        <v>925</v>
      </c>
      <c r="O8" s="22"/>
      <c r="P8" s="22"/>
      <c r="Q8" s="22"/>
      <c r="R8" s="22"/>
      <c r="S8" s="22"/>
      <c r="T8" s="22" t="s">
        <v>816</v>
      </c>
      <c r="U8" s="31" t="s">
        <v>833</v>
      </c>
      <c r="V8" s="31" t="s">
        <v>832</v>
      </c>
      <c r="W8" s="46" t="s">
        <v>1436</v>
      </c>
      <c r="X8" s="45" t="s">
        <v>1435</v>
      </c>
      <c r="Y8" s="22"/>
    </row>
    <row r="9" spans="1:28" ht="28.5">
      <c r="A9" s="22">
        <v>8</v>
      </c>
      <c r="B9" s="34" t="s">
        <v>835</v>
      </c>
      <c r="C9" s="22"/>
      <c r="D9" s="22" t="s">
        <v>493</v>
      </c>
      <c r="E9" s="31" t="s">
        <v>510</v>
      </c>
      <c r="F9" s="34" t="s">
        <v>827</v>
      </c>
      <c r="G9" s="22" t="s">
        <v>755</v>
      </c>
      <c r="H9" s="35" t="s">
        <v>822</v>
      </c>
      <c r="I9" s="34" t="s">
        <v>824</v>
      </c>
      <c r="J9" s="22" t="s">
        <v>825</v>
      </c>
      <c r="K9" s="33" t="s">
        <v>127</v>
      </c>
      <c r="L9" s="33" t="s">
        <v>758</v>
      </c>
      <c r="M9" s="33" t="s">
        <v>883</v>
      </c>
      <c r="N9" s="33" t="s">
        <v>795</v>
      </c>
      <c r="S9" s="22" t="s">
        <v>837</v>
      </c>
      <c r="T9" s="22" t="s">
        <v>1995</v>
      </c>
      <c r="U9" s="31" t="s">
        <v>836</v>
      </c>
      <c r="V9" s="31"/>
      <c r="W9" s="46" t="s">
        <v>1433</v>
      </c>
      <c r="X9" s="46" t="s">
        <v>1438</v>
      </c>
      <c r="Y9" s="45" t="s">
        <v>1437</v>
      </c>
    </row>
    <row r="10" spans="1:28" ht="28.5">
      <c r="A10" s="22">
        <v>9</v>
      </c>
      <c r="B10" s="34" t="s">
        <v>826</v>
      </c>
      <c r="C10" s="22"/>
      <c r="D10" s="22" t="s">
        <v>492</v>
      </c>
      <c r="E10" s="31" t="s">
        <v>510</v>
      </c>
      <c r="F10" s="31" t="s">
        <v>828</v>
      </c>
      <c r="G10" s="22" t="s">
        <v>755</v>
      </c>
      <c r="H10" s="35" t="s">
        <v>829</v>
      </c>
      <c r="I10" s="34" t="s">
        <v>780</v>
      </c>
      <c r="J10" s="22" t="s">
        <v>830</v>
      </c>
      <c r="K10" s="33" t="s">
        <v>174</v>
      </c>
      <c r="L10" s="33" t="s">
        <v>758</v>
      </c>
      <c r="M10" s="33" t="s">
        <v>883</v>
      </c>
      <c r="N10" s="33" t="s">
        <v>883</v>
      </c>
      <c r="O10" s="36" t="s">
        <v>2365</v>
      </c>
      <c r="P10" s="22"/>
      <c r="Q10" s="22"/>
      <c r="R10" s="22"/>
      <c r="S10" s="31" t="s">
        <v>881</v>
      </c>
      <c r="T10" s="22"/>
      <c r="U10" s="31" t="s">
        <v>1705</v>
      </c>
      <c r="V10" s="31"/>
      <c r="W10" s="46" t="s">
        <v>1441</v>
      </c>
      <c r="X10" s="46" t="s">
        <v>1442</v>
      </c>
      <c r="Y10" s="44" t="s">
        <v>1440</v>
      </c>
    </row>
    <row r="11" spans="1:28" ht="28.5">
      <c r="A11" s="22">
        <v>10</v>
      </c>
      <c r="B11" s="34" t="s">
        <v>838</v>
      </c>
      <c r="C11" s="22">
        <v>535</v>
      </c>
      <c r="D11" s="22" t="s">
        <v>492</v>
      </c>
      <c r="E11" s="22" t="s">
        <v>511</v>
      </c>
      <c r="F11" s="31" t="s">
        <v>4197</v>
      </c>
      <c r="G11" s="22" t="s">
        <v>755</v>
      </c>
      <c r="H11" s="35" t="s">
        <v>839</v>
      </c>
      <c r="I11" s="34" t="s">
        <v>817</v>
      </c>
      <c r="J11" s="22" t="s">
        <v>841</v>
      </c>
      <c r="K11" s="33" t="s">
        <v>819</v>
      </c>
      <c r="L11" s="33" t="s">
        <v>758</v>
      </c>
      <c r="M11" s="33" t="s">
        <v>815</v>
      </c>
      <c r="N11" s="33" t="s">
        <v>1404</v>
      </c>
      <c r="O11" s="22"/>
      <c r="P11" s="22"/>
      <c r="Q11" s="22"/>
      <c r="R11" s="22"/>
      <c r="S11" s="22"/>
      <c r="T11" s="22" t="s">
        <v>842</v>
      </c>
      <c r="U11" s="31"/>
      <c r="W11" s="46" t="s">
        <v>1444</v>
      </c>
      <c r="X11" s="45" t="s">
        <v>1419</v>
      </c>
      <c r="Y11" s="22"/>
    </row>
    <row r="12" spans="1:28" ht="28.5">
      <c r="A12" s="22">
        <v>11</v>
      </c>
      <c r="B12" s="34" t="s">
        <v>843</v>
      </c>
      <c r="C12" s="22"/>
      <c r="D12" s="22" t="s">
        <v>492</v>
      </c>
      <c r="E12" s="22" t="s">
        <v>511</v>
      </c>
      <c r="F12" s="31" t="s">
        <v>849</v>
      </c>
      <c r="G12" s="22" t="s">
        <v>755</v>
      </c>
      <c r="H12" s="35" t="s">
        <v>844</v>
      </c>
      <c r="I12" s="34" t="s">
        <v>780</v>
      </c>
      <c r="J12" s="22" t="s">
        <v>845</v>
      </c>
      <c r="K12" s="33" t="s">
        <v>127</v>
      </c>
      <c r="L12" s="33" t="s">
        <v>758</v>
      </c>
      <c r="M12" s="33" t="s">
        <v>883</v>
      </c>
      <c r="N12" s="33" t="s">
        <v>1177</v>
      </c>
      <c r="O12" s="36" t="s">
        <v>846</v>
      </c>
      <c r="P12" s="22"/>
      <c r="Q12" s="22"/>
      <c r="R12" s="22"/>
      <c r="S12" s="31" t="s">
        <v>882</v>
      </c>
      <c r="T12" s="22" t="s">
        <v>2573</v>
      </c>
      <c r="U12" s="31" t="s">
        <v>852</v>
      </c>
      <c r="W12" s="46" t="s">
        <v>1446</v>
      </c>
      <c r="X12" s="45" t="s">
        <v>1445</v>
      </c>
      <c r="Y12" s="22"/>
    </row>
    <row r="13" spans="1:28" ht="28.5">
      <c r="A13" s="22">
        <v>12</v>
      </c>
      <c r="B13" s="34" t="s">
        <v>847</v>
      </c>
      <c r="C13" s="22"/>
      <c r="D13" s="22" t="s">
        <v>493</v>
      </c>
      <c r="E13" s="22" t="s">
        <v>517</v>
      </c>
      <c r="F13" s="31" t="s">
        <v>848</v>
      </c>
      <c r="G13" s="22" t="s">
        <v>755</v>
      </c>
      <c r="H13" s="31" t="s">
        <v>844</v>
      </c>
      <c r="I13" s="31" t="s">
        <v>780</v>
      </c>
      <c r="J13" s="22" t="s">
        <v>850</v>
      </c>
      <c r="K13" s="33" t="s">
        <v>127</v>
      </c>
      <c r="L13" s="33" t="s">
        <v>758</v>
      </c>
      <c r="M13" s="33" t="s">
        <v>883</v>
      </c>
      <c r="N13" s="33" t="s">
        <v>1177</v>
      </c>
      <c r="O13" s="22"/>
      <c r="P13" s="22"/>
      <c r="Q13" s="22"/>
      <c r="R13" s="22"/>
      <c r="S13" s="31" t="s">
        <v>878</v>
      </c>
      <c r="T13" s="22" t="s">
        <v>2574</v>
      </c>
      <c r="U13" s="31" t="s">
        <v>851</v>
      </c>
      <c r="W13" s="46" t="s">
        <v>1434</v>
      </c>
      <c r="X13" s="45" t="s">
        <v>1439</v>
      </c>
      <c r="Y13" s="22"/>
    </row>
    <row r="14" spans="1:28" ht="42.75">
      <c r="A14" s="22">
        <v>13</v>
      </c>
      <c r="B14" s="34" t="s">
        <v>800</v>
      </c>
      <c r="D14" s="22" t="s">
        <v>492</v>
      </c>
      <c r="E14" s="22" t="s">
        <v>511</v>
      </c>
      <c r="F14" s="31" t="s">
        <v>853</v>
      </c>
      <c r="G14" s="22" t="s">
        <v>755</v>
      </c>
      <c r="H14" s="31" t="s">
        <v>854</v>
      </c>
      <c r="I14" s="31" t="s">
        <v>803</v>
      </c>
      <c r="J14" s="22" t="s">
        <v>856</v>
      </c>
      <c r="K14" s="33" t="s">
        <v>127</v>
      </c>
      <c r="L14" s="33" t="s">
        <v>758</v>
      </c>
      <c r="M14" s="33" t="s">
        <v>855</v>
      </c>
      <c r="N14" s="33" t="s">
        <v>1177</v>
      </c>
      <c r="O14" s="22"/>
      <c r="P14" s="22"/>
      <c r="Q14" s="22"/>
      <c r="R14" s="22"/>
      <c r="S14" s="31" t="s">
        <v>877</v>
      </c>
      <c r="T14" s="22" t="s">
        <v>2575</v>
      </c>
      <c r="U14" s="31"/>
      <c r="W14" s="46" t="s">
        <v>1450</v>
      </c>
      <c r="X14" s="45" t="s">
        <v>1449</v>
      </c>
      <c r="Y14" s="45" t="s">
        <v>1443</v>
      </c>
    </row>
    <row r="15" spans="1:28" ht="28.5">
      <c r="A15" s="22">
        <v>14</v>
      </c>
      <c r="B15" s="31" t="s">
        <v>857</v>
      </c>
      <c r="C15" s="22"/>
      <c r="D15" s="22" t="s">
        <v>493</v>
      </c>
      <c r="E15" s="31" t="s">
        <v>510</v>
      </c>
      <c r="F15" s="31" t="s">
        <v>859</v>
      </c>
      <c r="G15" s="22" t="s">
        <v>757</v>
      </c>
      <c r="H15" s="32" t="s">
        <v>858</v>
      </c>
      <c r="I15" s="31" t="s">
        <v>824</v>
      </c>
      <c r="J15" s="22" t="s">
        <v>866</v>
      </c>
      <c r="K15" s="33" t="s">
        <v>159</v>
      </c>
      <c r="L15" s="33" t="s">
        <v>758</v>
      </c>
      <c r="M15" s="33" t="s">
        <v>883</v>
      </c>
      <c r="N15" s="33" t="s">
        <v>795</v>
      </c>
      <c r="O15" s="22"/>
      <c r="P15" s="22"/>
      <c r="Q15" s="22"/>
      <c r="R15" s="22"/>
      <c r="S15" s="31" t="s">
        <v>864</v>
      </c>
      <c r="T15" s="22" t="s">
        <v>860</v>
      </c>
      <c r="U15" s="31" t="s">
        <v>861</v>
      </c>
      <c r="V15" s="22" t="s">
        <v>862</v>
      </c>
      <c r="W15" s="46" t="s">
        <v>1451</v>
      </c>
      <c r="X15" s="45" t="s">
        <v>1452</v>
      </c>
      <c r="Y15" s="45" t="s">
        <v>1453</v>
      </c>
      <c r="Z15" s="45" t="s">
        <v>1447</v>
      </c>
    </row>
    <row r="16" spans="1:28" ht="71.25">
      <c r="A16" s="22">
        <v>15</v>
      </c>
      <c r="B16" s="31" t="s">
        <v>863</v>
      </c>
      <c r="C16" s="22"/>
      <c r="D16" s="22" t="s">
        <v>493</v>
      </c>
      <c r="E16" s="31" t="s">
        <v>510</v>
      </c>
      <c r="F16" s="31" t="s">
        <v>868</v>
      </c>
      <c r="G16" s="22" t="s">
        <v>757</v>
      </c>
      <c r="H16" s="32" t="s">
        <v>865</v>
      </c>
      <c r="I16" s="31" t="s">
        <v>824</v>
      </c>
      <c r="J16" s="22" t="s">
        <v>867</v>
      </c>
      <c r="K16" s="33" t="s">
        <v>174</v>
      </c>
      <c r="L16" s="33" t="s">
        <v>758</v>
      </c>
      <c r="M16" s="33" t="s">
        <v>883</v>
      </c>
      <c r="N16" s="33" t="s">
        <v>795</v>
      </c>
      <c r="O16" s="33" t="s">
        <v>782</v>
      </c>
      <c r="P16" s="22"/>
      <c r="Q16" s="22"/>
      <c r="R16" s="22"/>
      <c r="S16" s="31" t="s">
        <v>876</v>
      </c>
      <c r="T16" s="22" t="s">
        <v>869</v>
      </c>
      <c r="U16" s="31" t="s">
        <v>870</v>
      </c>
      <c r="V16" s="22"/>
      <c r="W16" s="46" t="s">
        <v>1454</v>
      </c>
      <c r="X16" s="45" t="s">
        <v>1455</v>
      </c>
      <c r="Y16" s="45" t="s">
        <v>1456</v>
      </c>
      <c r="Z16" s="45" t="s">
        <v>1448</v>
      </c>
    </row>
    <row r="17" spans="1:27" ht="28.5">
      <c r="A17" s="22">
        <v>16</v>
      </c>
      <c r="B17" s="31" t="s">
        <v>871</v>
      </c>
      <c r="C17" s="22"/>
      <c r="D17" s="22" t="s">
        <v>493</v>
      </c>
      <c r="E17" s="31" t="s">
        <v>510</v>
      </c>
      <c r="F17" s="31" t="s">
        <v>872</v>
      </c>
      <c r="G17" s="22" t="s">
        <v>755</v>
      </c>
      <c r="H17" s="31" t="s">
        <v>873</v>
      </c>
      <c r="I17" s="31" t="s">
        <v>824</v>
      </c>
      <c r="J17" s="22" t="s">
        <v>874</v>
      </c>
      <c r="K17" s="33" t="s">
        <v>156</v>
      </c>
      <c r="L17" s="33" t="s">
        <v>758</v>
      </c>
      <c r="M17" s="33" t="s">
        <v>883</v>
      </c>
      <c r="N17" s="33" t="s">
        <v>795</v>
      </c>
      <c r="O17" s="33" t="s">
        <v>758</v>
      </c>
      <c r="P17" s="22"/>
      <c r="Q17" s="22"/>
      <c r="R17" s="22"/>
      <c r="S17" s="31" t="s">
        <v>875</v>
      </c>
      <c r="T17" s="22" t="s">
        <v>990</v>
      </c>
      <c r="U17" s="31" t="s">
        <v>996</v>
      </c>
      <c r="W17" s="46" t="s">
        <v>1458</v>
      </c>
      <c r="X17" s="45" t="s">
        <v>1459</v>
      </c>
      <c r="Y17" s="45" t="s">
        <v>1457</v>
      </c>
      <c r="Z17" s="22"/>
    </row>
    <row r="18" spans="1:27" ht="42.75">
      <c r="A18" s="22">
        <v>17</v>
      </c>
      <c r="B18" s="31" t="s">
        <v>884</v>
      </c>
      <c r="C18" s="22"/>
      <c r="D18" s="22" t="s">
        <v>493</v>
      </c>
      <c r="E18" s="31" t="s">
        <v>510</v>
      </c>
      <c r="F18" s="31" t="s">
        <v>4198</v>
      </c>
      <c r="G18" s="22" t="s">
        <v>757</v>
      </c>
      <c r="H18" s="32" t="s">
        <v>885</v>
      </c>
      <c r="I18" s="31" t="s">
        <v>780</v>
      </c>
      <c r="J18" s="22" t="s">
        <v>886</v>
      </c>
      <c r="K18" s="33" t="s">
        <v>174</v>
      </c>
      <c r="L18" s="33" t="s">
        <v>758</v>
      </c>
      <c r="M18" s="33" t="s">
        <v>883</v>
      </c>
      <c r="N18" s="33" t="s">
        <v>795</v>
      </c>
      <c r="O18" s="33" t="s">
        <v>782</v>
      </c>
      <c r="P18" s="22"/>
      <c r="Q18" s="22"/>
      <c r="R18" s="22"/>
      <c r="S18" s="22" t="s">
        <v>892</v>
      </c>
      <c r="T18" s="22" t="s">
        <v>887</v>
      </c>
      <c r="U18" s="31" t="s">
        <v>788</v>
      </c>
      <c r="V18" s="22"/>
      <c r="W18" s="46" t="s">
        <v>1461</v>
      </c>
      <c r="X18" s="45" t="s">
        <v>1462</v>
      </c>
      <c r="Y18" s="45" t="s">
        <v>1463</v>
      </c>
      <c r="Z18" s="45" t="s">
        <v>1460</v>
      </c>
    </row>
    <row r="19" spans="1:27" ht="28.5">
      <c r="A19" s="22">
        <v>18</v>
      </c>
      <c r="B19" s="31" t="s">
        <v>893</v>
      </c>
      <c r="C19" s="22"/>
      <c r="D19" s="22" t="s">
        <v>493</v>
      </c>
      <c r="E19" s="31" t="s">
        <v>510</v>
      </c>
      <c r="F19" s="31" t="s">
        <v>4199</v>
      </c>
      <c r="G19" s="22" t="s">
        <v>755</v>
      </c>
      <c r="H19" s="35" t="s">
        <v>896</v>
      </c>
      <c r="I19" s="31" t="s">
        <v>888</v>
      </c>
      <c r="J19" s="22" t="s">
        <v>889</v>
      </c>
      <c r="K19" s="33" t="s">
        <v>196</v>
      </c>
      <c r="L19" s="33" t="s">
        <v>782</v>
      </c>
      <c r="M19" s="33" t="s">
        <v>883</v>
      </c>
      <c r="N19" s="33" t="s">
        <v>795</v>
      </c>
      <c r="O19" s="22"/>
      <c r="P19" s="22"/>
      <c r="Q19" s="22"/>
      <c r="R19" s="22"/>
      <c r="S19" s="22"/>
      <c r="T19" s="22" t="s">
        <v>890</v>
      </c>
      <c r="U19" s="31"/>
      <c r="V19" s="31" t="s">
        <v>891</v>
      </c>
      <c r="W19" s="46" t="s">
        <v>1465</v>
      </c>
      <c r="X19" s="44" t="s">
        <v>1466</v>
      </c>
      <c r="Y19" s="44" t="s">
        <v>1468</v>
      </c>
      <c r="Z19" s="44" t="s">
        <v>1469</v>
      </c>
    </row>
    <row r="20" spans="1:27" ht="71.25">
      <c r="A20" s="22">
        <v>19</v>
      </c>
      <c r="B20" s="31" t="s">
        <v>894</v>
      </c>
      <c r="C20" s="22"/>
      <c r="D20" s="22" t="s">
        <v>492</v>
      </c>
      <c r="E20" s="31" t="s">
        <v>510</v>
      </c>
      <c r="F20" s="31" t="s">
        <v>895</v>
      </c>
      <c r="G20" s="22" t="s">
        <v>757</v>
      </c>
      <c r="H20" s="32" t="s">
        <v>903</v>
      </c>
      <c r="I20" s="31" t="s">
        <v>780</v>
      </c>
      <c r="J20" s="22" t="s">
        <v>897</v>
      </c>
      <c r="K20" s="36" t="s">
        <v>193</v>
      </c>
      <c r="L20" s="33" t="s">
        <v>782</v>
      </c>
      <c r="M20" s="33" t="s">
        <v>883</v>
      </c>
      <c r="N20" s="33" t="s">
        <v>795</v>
      </c>
      <c r="O20" s="22"/>
      <c r="P20" s="22"/>
      <c r="Q20" s="22"/>
      <c r="R20" s="22"/>
      <c r="S20" s="31" t="s">
        <v>901</v>
      </c>
      <c r="T20" s="22" t="s">
        <v>898</v>
      </c>
      <c r="U20" s="31" t="s">
        <v>900</v>
      </c>
      <c r="V20" s="31" t="s">
        <v>899</v>
      </c>
      <c r="W20" s="46" t="s">
        <v>1464</v>
      </c>
      <c r="X20" s="45" t="s">
        <v>1470</v>
      </c>
    </row>
    <row r="21" spans="1:27" ht="57">
      <c r="A21" s="22">
        <v>20</v>
      </c>
      <c r="B21" s="31" t="s">
        <v>902</v>
      </c>
      <c r="C21" s="22"/>
      <c r="D21" s="22" t="s">
        <v>492</v>
      </c>
      <c r="E21" s="22" t="s">
        <v>510</v>
      </c>
      <c r="F21" s="31" t="s">
        <v>4200</v>
      </c>
      <c r="G21" s="22" t="s">
        <v>757</v>
      </c>
      <c r="H21" s="32" t="s">
        <v>907</v>
      </c>
      <c r="I21" s="31" t="s">
        <v>803</v>
      </c>
      <c r="J21" s="22" t="s">
        <v>904</v>
      </c>
      <c r="K21" s="33" t="s">
        <v>174</v>
      </c>
      <c r="L21" s="33" t="s">
        <v>758</v>
      </c>
      <c r="M21" s="33" t="s">
        <v>883</v>
      </c>
      <c r="N21" s="33" t="s">
        <v>795</v>
      </c>
      <c r="O21" s="33" t="s">
        <v>782</v>
      </c>
      <c r="P21" s="22"/>
      <c r="Q21" s="22"/>
      <c r="R21" s="22"/>
      <c r="S21" s="31" t="s">
        <v>901</v>
      </c>
      <c r="T21" s="22" t="s">
        <v>905</v>
      </c>
      <c r="U21" s="31" t="s">
        <v>1707</v>
      </c>
      <c r="V21" s="22"/>
      <c r="W21" s="46" t="s">
        <v>1472</v>
      </c>
      <c r="X21" s="45" t="s">
        <v>1473</v>
      </c>
      <c r="Y21" s="45" t="s">
        <v>1471</v>
      </c>
      <c r="Z21" s="45" t="s">
        <v>1467</v>
      </c>
    </row>
    <row r="22" spans="1:27" ht="71.25">
      <c r="A22" s="22">
        <v>21</v>
      </c>
      <c r="B22" s="31" t="s">
        <v>908</v>
      </c>
      <c r="C22" s="22"/>
      <c r="D22" s="22" t="s">
        <v>493</v>
      </c>
      <c r="E22" s="22" t="s">
        <v>510</v>
      </c>
      <c r="F22" s="31" t="s">
        <v>909</v>
      </c>
      <c r="G22" s="22" t="s">
        <v>757</v>
      </c>
      <c r="H22" s="32" t="s">
        <v>911</v>
      </c>
      <c r="I22" s="31" t="s">
        <v>780</v>
      </c>
      <c r="J22" s="22" t="s">
        <v>910</v>
      </c>
      <c r="K22" s="33" t="s">
        <v>174</v>
      </c>
      <c r="L22" s="33" t="s">
        <v>758</v>
      </c>
      <c r="M22" s="33" t="s">
        <v>883</v>
      </c>
      <c r="N22" s="33" t="s">
        <v>795</v>
      </c>
      <c r="O22" s="22"/>
      <c r="P22" s="22"/>
      <c r="Q22" s="22"/>
      <c r="R22" s="22"/>
      <c r="S22" s="31" t="s">
        <v>913</v>
      </c>
      <c r="T22" s="22" t="s">
        <v>912</v>
      </c>
      <c r="U22" s="31" t="s">
        <v>2366</v>
      </c>
      <c r="W22" s="42" t="s">
        <v>1475</v>
      </c>
      <c r="X22" s="45" t="s">
        <v>1476</v>
      </c>
      <c r="Y22" s="45" t="s">
        <v>1474</v>
      </c>
    </row>
    <row r="23" spans="1:27" ht="57">
      <c r="A23" s="22">
        <v>22</v>
      </c>
      <c r="B23" s="31" t="s">
        <v>914</v>
      </c>
      <c r="C23" s="22"/>
      <c r="D23" s="22" t="s">
        <v>492</v>
      </c>
      <c r="E23" s="22" t="s">
        <v>510</v>
      </c>
      <c r="F23" s="31" t="s">
        <v>4201</v>
      </c>
      <c r="G23" s="22" t="s">
        <v>757</v>
      </c>
      <c r="H23" s="32" t="s">
        <v>915</v>
      </c>
      <c r="I23" s="31" t="s">
        <v>780</v>
      </c>
      <c r="J23" s="22" t="s">
        <v>916</v>
      </c>
      <c r="K23" s="33" t="s">
        <v>177</v>
      </c>
      <c r="L23" s="33" t="s">
        <v>758</v>
      </c>
      <c r="M23" s="33" t="s">
        <v>883</v>
      </c>
      <c r="N23" s="33" t="s">
        <v>795</v>
      </c>
      <c r="O23" s="22"/>
      <c r="P23" s="22"/>
      <c r="Q23" s="22"/>
      <c r="R23" s="22"/>
      <c r="S23" s="31" t="s">
        <v>837</v>
      </c>
      <c r="T23" s="22" t="s">
        <v>918</v>
      </c>
      <c r="U23" s="31" t="s">
        <v>917</v>
      </c>
      <c r="V23" s="22" t="s">
        <v>2367</v>
      </c>
      <c r="W23" s="42" t="s">
        <v>1479</v>
      </c>
      <c r="X23" s="42" t="s">
        <v>1480</v>
      </c>
      <c r="Y23" s="45" t="s">
        <v>1482</v>
      </c>
      <c r="Z23" s="45" t="s">
        <v>1478</v>
      </c>
    </row>
    <row r="24" spans="1:27" ht="42.75">
      <c r="A24" s="22">
        <v>23</v>
      </c>
      <c r="B24" s="31" t="s">
        <v>919</v>
      </c>
      <c r="C24" s="22" t="s">
        <v>957</v>
      </c>
      <c r="D24" s="22" t="s">
        <v>493</v>
      </c>
      <c r="E24" s="22" t="s">
        <v>510</v>
      </c>
      <c r="F24" s="31" t="s">
        <v>920</v>
      </c>
      <c r="G24" s="22" t="s">
        <v>757</v>
      </c>
      <c r="H24" s="32" t="s">
        <v>928</v>
      </c>
      <c r="I24" s="31" t="s">
        <v>824</v>
      </c>
      <c r="J24" s="22" t="s">
        <v>929</v>
      </c>
      <c r="K24" s="36" t="s">
        <v>922</v>
      </c>
      <c r="L24" s="33" t="s">
        <v>758</v>
      </c>
      <c r="M24" s="33" t="s">
        <v>925</v>
      </c>
      <c r="N24" s="33" t="s">
        <v>1404</v>
      </c>
      <c r="O24" s="36" t="s">
        <v>926</v>
      </c>
      <c r="P24" s="22"/>
      <c r="Q24" s="22"/>
      <c r="R24" s="22"/>
      <c r="S24" s="22"/>
      <c r="T24" s="22" t="s">
        <v>927</v>
      </c>
      <c r="U24" s="31" t="s">
        <v>961</v>
      </c>
      <c r="W24" s="42" t="s">
        <v>1485</v>
      </c>
      <c r="X24" s="45" t="s">
        <v>1486</v>
      </c>
      <c r="Y24" s="45" t="s">
        <v>1481</v>
      </c>
      <c r="Z24" s="45" t="s">
        <v>1484</v>
      </c>
    </row>
    <row r="25" spans="1:27" ht="28.5">
      <c r="A25" s="22">
        <v>24</v>
      </c>
      <c r="B25" s="31" t="s">
        <v>937</v>
      </c>
      <c r="C25" s="22">
        <v>40247</v>
      </c>
      <c r="D25" s="22" t="s">
        <v>492</v>
      </c>
      <c r="E25" s="22" t="s">
        <v>511</v>
      </c>
      <c r="F25" s="31" t="s">
        <v>4202</v>
      </c>
      <c r="G25" s="22" t="s">
        <v>757</v>
      </c>
      <c r="H25" s="32" t="s">
        <v>930</v>
      </c>
      <c r="I25" s="31" t="s">
        <v>803</v>
      </c>
      <c r="J25" s="22" t="s">
        <v>931</v>
      </c>
      <c r="K25" s="33" t="s">
        <v>127</v>
      </c>
      <c r="L25" s="33" t="s">
        <v>758</v>
      </c>
      <c r="M25" s="33" t="s">
        <v>883</v>
      </c>
      <c r="N25" s="33" t="s">
        <v>795</v>
      </c>
      <c r="O25" s="22"/>
      <c r="P25" s="22"/>
      <c r="Q25" s="22"/>
      <c r="R25" s="22"/>
      <c r="S25" s="22" t="s">
        <v>939</v>
      </c>
      <c r="T25" s="22" t="s">
        <v>932</v>
      </c>
      <c r="U25" s="31" t="s">
        <v>938</v>
      </c>
      <c r="V25" s="22"/>
      <c r="W25" s="42" t="s">
        <v>1491</v>
      </c>
      <c r="X25" s="44" t="s">
        <v>1492</v>
      </c>
      <c r="Y25" s="44" t="s">
        <v>1490</v>
      </c>
      <c r="Z25" s="1"/>
    </row>
    <row r="26" spans="1:27" ht="42.75">
      <c r="A26" s="22">
        <v>25</v>
      </c>
      <c r="B26" s="31" t="s">
        <v>933</v>
      </c>
      <c r="C26" s="22">
        <v>840</v>
      </c>
      <c r="D26" s="22" t="s">
        <v>492</v>
      </c>
      <c r="E26" s="22" t="s">
        <v>511</v>
      </c>
      <c r="F26" s="31" t="s">
        <v>936</v>
      </c>
      <c r="G26" s="22" t="s">
        <v>757</v>
      </c>
      <c r="H26" s="32" t="s">
        <v>934</v>
      </c>
      <c r="I26" s="31" t="s">
        <v>780</v>
      </c>
      <c r="J26" s="22" t="s">
        <v>935</v>
      </c>
      <c r="K26" s="33" t="s">
        <v>174</v>
      </c>
      <c r="L26" s="33" t="s">
        <v>758</v>
      </c>
      <c r="M26" s="33" t="s">
        <v>1323</v>
      </c>
      <c r="N26" s="33" t="s">
        <v>1404</v>
      </c>
      <c r="O26" s="22"/>
      <c r="P26" s="22"/>
      <c r="Q26" s="22"/>
      <c r="R26" s="22"/>
      <c r="S26" s="31" t="s">
        <v>939</v>
      </c>
      <c r="T26" s="22" t="s">
        <v>2572</v>
      </c>
      <c r="U26" s="31" t="s">
        <v>940</v>
      </c>
      <c r="V26" s="22"/>
      <c r="W26" s="42" t="s">
        <v>1497</v>
      </c>
      <c r="X26" s="45" t="s">
        <v>1493</v>
      </c>
      <c r="Y26" s="45" t="s">
        <v>1487</v>
      </c>
      <c r="Z26" s="22"/>
    </row>
    <row r="27" spans="1:27" ht="85.5">
      <c r="A27" s="22">
        <v>26</v>
      </c>
      <c r="B27" s="31" t="s">
        <v>941</v>
      </c>
      <c r="C27" s="22"/>
      <c r="D27" s="22" t="s">
        <v>492</v>
      </c>
      <c r="E27" s="22" t="s">
        <v>510</v>
      </c>
      <c r="F27" s="31" t="s">
        <v>4203</v>
      </c>
      <c r="G27" s="22" t="s">
        <v>757</v>
      </c>
      <c r="H27" s="32" t="s">
        <v>945</v>
      </c>
      <c r="I27" s="31" t="s">
        <v>803</v>
      </c>
      <c r="J27" s="22" t="s">
        <v>942</v>
      </c>
      <c r="K27" s="33" t="s">
        <v>159</v>
      </c>
      <c r="L27" s="33" t="s">
        <v>782</v>
      </c>
      <c r="M27" s="33" t="s">
        <v>883</v>
      </c>
      <c r="N27" s="33" t="s">
        <v>795</v>
      </c>
      <c r="O27" s="22"/>
      <c r="P27" s="22"/>
      <c r="Q27" s="22"/>
      <c r="R27" s="31" t="s">
        <v>3503</v>
      </c>
      <c r="S27" s="31" t="s">
        <v>901</v>
      </c>
      <c r="T27" s="22" t="s">
        <v>951</v>
      </c>
      <c r="U27" s="31" t="s">
        <v>946</v>
      </c>
      <c r="V27" s="31" t="s">
        <v>944</v>
      </c>
      <c r="W27" s="42" t="s">
        <v>1483</v>
      </c>
      <c r="X27" s="45" t="s">
        <v>1498</v>
      </c>
      <c r="Y27" s="45" t="s">
        <v>1501</v>
      </c>
      <c r="Z27" s="42" t="s">
        <v>1494</v>
      </c>
    </row>
    <row r="28" spans="1:27" ht="57">
      <c r="A28" s="22">
        <v>27</v>
      </c>
      <c r="B28" s="31" t="s">
        <v>947</v>
      </c>
      <c r="C28" s="22">
        <v>10621</v>
      </c>
      <c r="D28" s="22" t="s">
        <v>492</v>
      </c>
      <c r="E28" s="22" t="s">
        <v>510</v>
      </c>
      <c r="F28" s="35" t="s">
        <v>949</v>
      </c>
      <c r="G28" s="22" t="s">
        <v>757</v>
      </c>
      <c r="H28" s="32" t="s">
        <v>948</v>
      </c>
      <c r="I28" s="31" t="s">
        <v>780</v>
      </c>
      <c r="J28" s="22" t="s">
        <v>950</v>
      </c>
      <c r="K28" s="33" t="s">
        <v>177</v>
      </c>
      <c r="L28" s="33" t="s">
        <v>782</v>
      </c>
      <c r="M28" s="33" t="s">
        <v>883</v>
      </c>
      <c r="N28" s="33" t="s">
        <v>795</v>
      </c>
      <c r="O28" s="33" t="s">
        <v>758</v>
      </c>
      <c r="P28" s="22"/>
      <c r="Q28" s="22"/>
      <c r="R28" s="22"/>
      <c r="S28" s="31" t="s">
        <v>954</v>
      </c>
      <c r="T28" s="22" t="s">
        <v>952</v>
      </c>
      <c r="U28" s="31" t="s">
        <v>953</v>
      </c>
      <c r="W28" s="42" t="s">
        <v>1502</v>
      </c>
      <c r="X28" s="45" t="s">
        <v>1503</v>
      </c>
      <c r="Y28" s="45" t="s">
        <v>1495</v>
      </c>
      <c r="Z28" s="22"/>
      <c r="AA28" s="22"/>
    </row>
    <row r="29" spans="1:27" ht="42.75">
      <c r="A29" s="22">
        <v>28</v>
      </c>
      <c r="B29" s="31" t="s">
        <v>955</v>
      </c>
      <c r="C29" s="22" t="s">
        <v>958</v>
      </c>
      <c r="D29" s="22" t="s">
        <v>493</v>
      </c>
      <c r="E29" s="22" t="s">
        <v>510</v>
      </c>
      <c r="F29" s="31" t="s">
        <v>4204</v>
      </c>
      <c r="G29" s="22" t="s">
        <v>757</v>
      </c>
      <c r="H29" s="32" t="s">
        <v>959</v>
      </c>
      <c r="I29" s="31" t="s">
        <v>824</v>
      </c>
      <c r="J29" s="22" t="s">
        <v>929</v>
      </c>
      <c r="K29" s="36" t="s">
        <v>922</v>
      </c>
      <c r="L29" s="33" t="s">
        <v>758</v>
      </c>
      <c r="M29" s="33" t="s">
        <v>925</v>
      </c>
      <c r="N29" s="33" t="s">
        <v>1404</v>
      </c>
      <c r="O29" s="36" t="s">
        <v>926</v>
      </c>
      <c r="P29" s="22"/>
      <c r="Q29" s="22"/>
      <c r="R29" s="22"/>
      <c r="S29" s="22"/>
      <c r="T29" s="22" t="s">
        <v>956</v>
      </c>
      <c r="U29" s="31" t="s">
        <v>960</v>
      </c>
      <c r="V29" s="22"/>
      <c r="W29" s="42" t="s">
        <v>1505</v>
      </c>
      <c r="X29" s="45" t="s">
        <v>1488</v>
      </c>
      <c r="Y29" s="45" t="s">
        <v>1499</v>
      </c>
      <c r="Z29" s="45" t="s">
        <v>1496</v>
      </c>
      <c r="AA29" s="22"/>
    </row>
    <row r="30" spans="1:27" ht="28.5">
      <c r="A30" s="22">
        <v>29</v>
      </c>
      <c r="B30" s="31" t="s">
        <v>962</v>
      </c>
      <c r="C30" s="22">
        <v>829</v>
      </c>
      <c r="D30" s="22" t="s">
        <v>492</v>
      </c>
      <c r="E30" s="22" t="s">
        <v>517</v>
      </c>
      <c r="F30" s="31" t="s">
        <v>963</v>
      </c>
      <c r="G30" s="22" t="s">
        <v>755</v>
      </c>
      <c r="H30" s="35" t="s">
        <v>964</v>
      </c>
      <c r="I30" s="31" t="s">
        <v>817</v>
      </c>
      <c r="J30" s="22" t="s">
        <v>965</v>
      </c>
      <c r="K30" s="33"/>
      <c r="L30" s="33" t="s">
        <v>758</v>
      </c>
      <c r="M30" s="33" t="s">
        <v>967</v>
      </c>
      <c r="N30" s="33" t="s">
        <v>1405</v>
      </c>
      <c r="O30" s="33" t="s">
        <v>782</v>
      </c>
      <c r="P30" s="22"/>
      <c r="Q30" s="22"/>
      <c r="R30" s="22"/>
      <c r="S30" s="31" t="s">
        <v>968</v>
      </c>
      <c r="T30" s="22"/>
      <c r="U30" s="31" t="s">
        <v>2368</v>
      </c>
      <c r="V30" s="22" t="s">
        <v>1085</v>
      </c>
      <c r="W30" s="45" t="s">
        <v>966</v>
      </c>
    </row>
    <row r="31" spans="1:27" ht="57">
      <c r="A31" s="22">
        <v>30</v>
      </c>
      <c r="B31" s="31" t="s">
        <v>969</v>
      </c>
      <c r="C31" s="22" t="s">
        <v>970</v>
      </c>
      <c r="D31" s="22" t="s">
        <v>492</v>
      </c>
      <c r="E31" s="22" t="s">
        <v>510</v>
      </c>
      <c r="F31" s="31" t="s">
        <v>971</v>
      </c>
      <c r="G31" s="22" t="s">
        <v>757</v>
      </c>
      <c r="H31" s="32" t="s">
        <v>974</v>
      </c>
      <c r="I31" s="31" t="s">
        <v>803</v>
      </c>
      <c r="J31" s="22" t="s">
        <v>972</v>
      </c>
      <c r="K31" s="33" t="s">
        <v>159</v>
      </c>
      <c r="L31" s="33" t="s">
        <v>758</v>
      </c>
      <c r="M31" s="33" t="s">
        <v>883</v>
      </c>
      <c r="N31" s="33" t="s">
        <v>795</v>
      </c>
      <c r="O31" s="33" t="s">
        <v>973</v>
      </c>
      <c r="P31" s="22"/>
      <c r="Q31" s="22"/>
      <c r="R31" s="22"/>
      <c r="S31" s="31" t="s">
        <v>976</v>
      </c>
      <c r="T31" s="22" t="s">
        <v>943</v>
      </c>
      <c r="U31" s="31" t="s">
        <v>975</v>
      </c>
      <c r="W31" s="42" t="s">
        <v>1507</v>
      </c>
      <c r="X31" s="45" t="s">
        <v>1508</v>
      </c>
      <c r="Y31" s="45" t="s">
        <v>1509</v>
      </c>
      <c r="Z31" s="45" t="s">
        <v>1506</v>
      </c>
    </row>
    <row r="32" spans="1:27" ht="28.5">
      <c r="A32" s="22">
        <v>31</v>
      </c>
      <c r="B32" s="31" t="s">
        <v>977</v>
      </c>
      <c r="C32" s="22"/>
      <c r="D32" s="22" t="s">
        <v>493</v>
      </c>
      <c r="E32" s="22" t="s">
        <v>510</v>
      </c>
      <c r="F32" s="31" t="s">
        <v>4205</v>
      </c>
      <c r="G32" s="22" t="s">
        <v>755</v>
      </c>
      <c r="H32" s="35" t="s">
        <v>978</v>
      </c>
      <c r="I32" s="31" t="s">
        <v>803</v>
      </c>
      <c r="J32" s="22" t="s">
        <v>979</v>
      </c>
      <c r="K32" s="33" t="s">
        <v>175</v>
      </c>
      <c r="L32" s="33" t="s">
        <v>785</v>
      </c>
      <c r="M32" s="33" t="s">
        <v>980</v>
      </c>
      <c r="N32" s="33" t="s">
        <v>795</v>
      </c>
      <c r="O32" s="22"/>
      <c r="P32" s="22"/>
      <c r="Q32" s="22"/>
      <c r="R32" s="22"/>
      <c r="S32" s="22"/>
      <c r="T32" s="22" t="s">
        <v>2018</v>
      </c>
      <c r="U32" s="31" t="s">
        <v>981</v>
      </c>
      <c r="V32" s="22"/>
      <c r="W32" s="42" t="s">
        <v>1512</v>
      </c>
      <c r="X32" s="45" t="s">
        <v>1504</v>
      </c>
      <c r="Y32" s="45" t="s">
        <v>1511</v>
      </c>
    </row>
    <row r="33" spans="1:26" ht="42.75">
      <c r="A33" s="22">
        <v>32</v>
      </c>
      <c r="B33" s="31" t="s">
        <v>989</v>
      </c>
      <c r="C33" s="22"/>
      <c r="D33" s="22" t="s">
        <v>493</v>
      </c>
      <c r="E33" s="22" t="s">
        <v>511</v>
      </c>
      <c r="F33" s="31" t="s">
        <v>984</v>
      </c>
      <c r="G33" s="22" t="s">
        <v>755</v>
      </c>
      <c r="H33" s="31" t="s">
        <v>985</v>
      </c>
      <c r="I33" s="31" t="s">
        <v>780</v>
      </c>
      <c r="J33" s="22" t="s">
        <v>982</v>
      </c>
      <c r="K33" s="33" t="s">
        <v>174</v>
      </c>
      <c r="L33" s="33" t="s">
        <v>758</v>
      </c>
      <c r="M33" s="33" t="s">
        <v>883</v>
      </c>
      <c r="N33" s="33" t="s">
        <v>795</v>
      </c>
      <c r="O33" s="33" t="s">
        <v>973</v>
      </c>
      <c r="P33" s="22">
        <v>50</v>
      </c>
      <c r="Q33" s="22">
        <v>1988</v>
      </c>
      <c r="R33" s="22"/>
      <c r="S33" s="31" t="s">
        <v>986</v>
      </c>
      <c r="T33" s="22" t="s">
        <v>987</v>
      </c>
      <c r="U33" s="31" t="s">
        <v>988</v>
      </c>
      <c r="V33" s="31" t="s">
        <v>983</v>
      </c>
      <c r="W33" s="42" t="s">
        <v>1510</v>
      </c>
      <c r="X33" s="45" t="s">
        <v>1489</v>
      </c>
    </row>
    <row r="34" spans="1:26" ht="28.5">
      <c r="A34" s="22">
        <v>33</v>
      </c>
      <c r="B34" s="31" t="s">
        <v>947</v>
      </c>
      <c r="C34" s="22">
        <v>10751</v>
      </c>
      <c r="D34" s="22" t="s">
        <v>492</v>
      </c>
      <c r="E34" s="22" t="s">
        <v>510</v>
      </c>
      <c r="F34" s="31" t="s">
        <v>4206</v>
      </c>
      <c r="G34" s="22" t="s">
        <v>755</v>
      </c>
      <c r="H34" s="31" t="s">
        <v>991</v>
      </c>
      <c r="I34" s="31" t="s">
        <v>780</v>
      </c>
      <c r="J34" s="22" t="s">
        <v>992</v>
      </c>
      <c r="K34" s="33" t="s">
        <v>177</v>
      </c>
      <c r="L34" s="33" t="s">
        <v>758</v>
      </c>
      <c r="M34" s="33" t="s">
        <v>855</v>
      </c>
      <c r="N34" s="33" t="s">
        <v>1404</v>
      </c>
      <c r="O34" s="33" t="s">
        <v>994</v>
      </c>
      <c r="P34" s="22"/>
      <c r="Q34" s="22"/>
      <c r="R34" s="22"/>
      <c r="S34" s="31" t="s">
        <v>986</v>
      </c>
      <c r="T34" s="22" t="s">
        <v>993</v>
      </c>
      <c r="U34" s="31" t="s">
        <v>995</v>
      </c>
      <c r="W34" s="42" t="s">
        <v>1515</v>
      </c>
      <c r="X34" s="45" t="s">
        <v>1500</v>
      </c>
      <c r="Y34" s="45" t="s">
        <v>1514</v>
      </c>
      <c r="Z34" s="22"/>
    </row>
    <row r="35" spans="1:26" ht="42.75">
      <c r="A35" s="22">
        <v>34</v>
      </c>
      <c r="B35" s="31" t="s">
        <v>997</v>
      </c>
      <c r="C35" s="22">
        <v>905</v>
      </c>
      <c r="D35" s="22" t="s">
        <v>493</v>
      </c>
      <c r="E35" s="22" t="s">
        <v>510</v>
      </c>
      <c r="F35" s="31" t="s">
        <v>4207</v>
      </c>
      <c r="G35" s="22" t="s">
        <v>755</v>
      </c>
      <c r="H35" s="31" t="s">
        <v>998</v>
      </c>
      <c r="I35" s="31" t="s">
        <v>780</v>
      </c>
      <c r="J35" s="22" t="s">
        <v>999</v>
      </c>
      <c r="K35" s="33"/>
      <c r="L35" s="33" t="s">
        <v>758</v>
      </c>
      <c r="M35" s="33" t="s">
        <v>1000</v>
      </c>
      <c r="N35" s="33" t="s">
        <v>1406</v>
      </c>
      <c r="O35" s="33" t="s">
        <v>973</v>
      </c>
      <c r="P35" s="22"/>
      <c r="Q35" s="22"/>
      <c r="R35" s="22"/>
      <c r="S35" s="31" t="s">
        <v>1001</v>
      </c>
      <c r="T35" s="22"/>
      <c r="U35" s="31" t="s">
        <v>2369</v>
      </c>
      <c r="V35" s="22" t="s">
        <v>1085</v>
      </c>
      <c r="W35" s="42" t="s">
        <v>1519</v>
      </c>
      <c r="X35" s="44" t="s">
        <v>1518</v>
      </c>
    </row>
    <row r="36" spans="1:26" ht="57">
      <c r="A36" s="22">
        <v>35</v>
      </c>
      <c r="B36" s="31" t="s">
        <v>1002</v>
      </c>
      <c r="C36" s="22"/>
      <c r="D36" s="22" t="s">
        <v>492</v>
      </c>
      <c r="E36" s="22" t="s">
        <v>510</v>
      </c>
      <c r="F36" s="31" t="s">
        <v>4208</v>
      </c>
      <c r="G36" s="22" t="s">
        <v>757</v>
      </c>
      <c r="H36" s="32" t="s">
        <v>1006</v>
      </c>
      <c r="I36" s="31" t="s">
        <v>1003</v>
      </c>
      <c r="J36" s="22" t="s">
        <v>1004</v>
      </c>
      <c r="K36" s="33" t="s">
        <v>177</v>
      </c>
      <c r="L36" s="33" t="s">
        <v>785</v>
      </c>
      <c r="M36" s="33" t="s">
        <v>883</v>
      </c>
      <c r="N36" s="33" t="s">
        <v>795</v>
      </c>
      <c r="O36" s="22"/>
      <c r="P36" s="22"/>
      <c r="Q36" s="22"/>
      <c r="R36" s="22"/>
      <c r="S36" s="31" t="s">
        <v>1009</v>
      </c>
      <c r="T36" s="22" t="s">
        <v>1008</v>
      </c>
      <c r="U36" s="31" t="s">
        <v>1007</v>
      </c>
      <c r="V36" s="31" t="s">
        <v>1005</v>
      </c>
      <c r="W36" s="42" t="s">
        <v>1516</v>
      </c>
      <c r="X36" s="44" t="s">
        <v>1521</v>
      </c>
      <c r="Y36" s="44" t="s">
        <v>1520</v>
      </c>
    </row>
    <row r="37" spans="1:26" ht="42.75">
      <c r="A37" s="22">
        <v>36</v>
      </c>
      <c r="B37" s="31" t="s">
        <v>1010</v>
      </c>
      <c r="C37" s="22"/>
      <c r="D37" s="22" t="s">
        <v>492</v>
      </c>
      <c r="E37" s="22" t="s">
        <v>510</v>
      </c>
      <c r="F37" s="31" t="s">
        <v>1015</v>
      </c>
      <c r="G37" s="22" t="s">
        <v>757</v>
      </c>
      <c r="H37" s="32" t="s">
        <v>1016</v>
      </c>
      <c r="I37" s="31" t="s">
        <v>780</v>
      </c>
      <c r="J37" s="22" t="s">
        <v>1018</v>
      </c>
      <c r="K37" s="33" t="s">
        <v>1140</v>
      </c>
      <c r="L37" s="33" t="s">
        <v>758</v>
      </c>
      <c r="M37" s="33" t="s">
        <v>883</v>
      </c>
      <c r="N37" s="33" t="s">
        <v>795</v>
      </c>
      <c r="O37" s="22"/>
      <c r="P37" s="22"/>
      <c r="Q37" s="22"/>
      <c r="R37" s="22"/>
      <c r="S37" s="31" t="s">
        <v>1011</v>
      </c>
      <c r="T37" s="22" t="s">
        <v>1019</v>
      </c>
      <c r="U37" s="31" t="s">
        <v>1017</v>
      </c>
      <c r="V37" s="22"/>
      <c r="W37" s="42" t="s">
        <v>1524</v>
      </c>
      <c r="X37" s="45" t="s">
        <v>1525</v>
      </c>
      <c r="Y37" s="45" t="s">
        <v>1517</v>
      </c>
    </row>
    <row r="38" spans="1:26" ht="42.75">
      <c r="A38" s="22">
        <v>37</v>
      </c>
      <c r="B38" s="31" t="s">
        <v>1020</v>
      </c>
      <c r="C38" s="22"/>
      <c r="D38" s="22" t="s">
        <v>493</v>
      </c>
      <c r="E38" s="22" t="s">
        <v>511</v>
      </c>
      <c r="F38" s="31" t="s">
        <v>1021</v>
      </c>
      <c r="G38" s="22" t="s">
        <v>757</v>
      </c>
      <c r="H38" s="32" t="s">
        <v>1022</v>
      </c>
      <c r="I38" s="31" t="s">
        <v>803</v>
      </c>
      <c r="J38" s="22" t="s">
        <v>1023</v>
      </c>
      <c r="K38" s="33" t="s">
        <v>196</v>
      </c>
      <c r="L38" s="33" t="s">
        <v>1024</v>
      </c>
      <c r="M38" s="33" t="s">
        <v>883</v>
      </c>
      <c r="N38" s="33" t="s">
        <v>795</v>
      </c>
      <c r="O38" s="22"/>
      <c r="P38" s="22"/>
      <c r="Q38" s="22"/>
      <c r="R38" s="22"/>
      <c r="S38" s="31" t="s">
        <v>1026</v>
      </c>
      <c r="T38" s="22" t="s">
        <v>1025</v>
      </c>
      <c r="U38" s="31" t="s">
        <v>1027</v>
      </c>
      <c r="W38" s="42" t="s">
        <v>1527</v>
      </c>
      <c r="X38" s="45" t="s">
        <v>1523</v>
      </c>
    </row>
    <row r="39" spans="1:26" ht="71.25">
      <c r="A39" s="22">
        <v>38</v>
      </c>
      <c r="B39" s="31" t="s">
        <v>1028</v>
      </c>
      <c r="C39" s="22"/>
      <c r="D39" s="22" t="s">
        <v>492</v>
      </c>
      <c r="E39" s="22" t="s">
        <v>511</v>
      </c>
      <c r="F39" s="31" t="s">
        <v>4209</v>
      </c>
      <c r="G39" s="22" t="s">
        <v>757</v>
      </c>
      <c r="H39" s="32" t="s">
        <v>1097</v>
      </c>
      <c r="I39" s="31" t="s">
        <v>1030</v>
      </c>
      <c r="J39" s="22" t="s">
        <v>1031</v>
      </c>
      <c r="K39" s="33" t="s">
        <v>159</v>
      </c>
      <c r="L39" s="33" t="s">
        <v>758</v>
      </c>
      <c r="M39" s="33" t="s">
        <v>883</v>
      </c>
      <c r="N39" s="33" t="s">
        <v>795</v>
      </c>
      <c r="O39" s="22" t="s">
        <v>782</v>
      </c>
      <c r="P39" s="22"/>
      <c r="Q39" s="22"/>
      <c r="R39" s="22"/>
      <c r="S39" s="31" t="s">
        <v>1033</v>
      </c>
      <c r="T39" s="22" t="s">
        <v>1032</v>
      </c>
      <c r="U39" s="31" t="s">
        <v>1029</v>
      </c>
      <c r="W39" s="42" t="s">
        <v>1513</v>
      </c>
      <c r="X39" s="45" t="s">
        <v>1528</v>
      </c>
      <c r="Y39" s="45" t="s">
        <v>1529</v>
      </c>
    </row>
    <row r="40" spans="1:26" ht="28.5">
      <c r="A40" s="22">
        <v>39</v>
      </c>
      <c r="B40" s="31" t="s">
        <v>1039</v>
      </c>
      <c r="C40" s="22">
        <v>3608</v>
      </c>
      <c r="D40" s="22" t="s">
        <v>492</v>
      </c>
      <c r="E40" s="22" t="s">
        <v>511</v>
      </c>
      <c r="F40" s="31" t="s">
        <v>1034</v>
      </c>
      <c r="G40" s="22" t="s">
        <v>757</v>
      </c>
      <c r="H40" s="32" t="s">
        <v>1041</v>
      </c>
      <c r="I40" s="31" t="s">
        <v>1036</v>
      </c>
      <c r="J40" s="22" t="s">
        <v>1037</v>
      </c>
      <c r="K40" s="33" t="s">
        <v>196</v>
      </c>
      <c r="L40" s="33" t="s">
        <v>782</v>
      </c>
      <c r="M40" s="33" t="s">
        <v>925</v>
      </c>
      <c r="N40" s="33" t="s">
        <v>1404</v>
      </c>
      <c r="O40" s="33" t="s">
        <v>758</v>
      </c>
      <c r="P40" s="22"/>
      <c r="Q40" s="22"/>
      <c r="R40" s="22"/>
      <c r="S40" s="31" t="s">
        <v>1040</v>
      </c>
      <c r="T40" s="22" t="s">
        <v>1035</v>
      </c>
      <c r="U40" s="31" t="s">
        <v>1038</v>
      </c>
      <c r="V40" s="31" t="s">
        <v>2370</v>
      </c>
      <c r="W40" s="42" t="s">
        <v>1526</v>
      </c>
      <c r="X40" s="45" t="s">
        <v>1530</v>
      </c>
      <c r="Y40" s="45" t="s">
        <v>1522</v>
      </c>
    </row>
    <row r="41" spans="1:26" ht="28.5">
      <c r="A41" s="22">
        <v>40</v>
      </c>
      <c r="B41" s="55" t="s">
        <v>1044</v>
      </c>
      <c r="D41" s="22" t="s">
        <v>493</v>
      </c>
      <c r="E41" s="22" t="s">
        <v>510</v>
      </c>
      <c r="F41" s="31" t="s">
        <v>4210</v>
      </c>
      <c r="G41" s="22" t="s">
        <v>755</v>
      </c>
      <c r="H41" s="35" t="s">
        <v>1045</v>
      </c>
      <c r="I41" s="31" t="s">
        <v>1003</v>
      </c>
      <c r="J41" s="22" t="s">
        <v>1046</v>
      </c>
      <c r="K41" s="33" t="s">
        <v>1042</v>
      </c>
      <c r="L41" s="33" t="s">
        <v>782</v>
      </c>
      <c r="M41" s="33" t="s">
        <v>883</v>
      </c>
      <c r="N41" s="33" t="s">
        <v>795</v>
      </c>
      <c r="O41" s="22"/>
      <c r="P41" s="22"/>
      <c r="Q41" s="22"/>
      <c r="R41" s="22"/>
      <c r="S41" s="31" t="s">
        <v>939</v>
      </c>
      <c r="T41" s="22"/>
      <c r="U41" s="31"/>
      <c r="V41" s="22"/>
      <c r="W41" s="42" t="s">
        <v>1532</v>
      </c>
      <c r="X41" s="45" t="s">
        <v>1531</v>
      </c>
    </row>
    <row r="42" spans="1:26" ht="28.5">
      <c r="A42" s="22">
        <v>41</v>
      </c>
      <c r="B42" s="31" t="s">
        <v>1047</v>
      </c>
      <c r="C42" s="22">
        <v>714</v>
      </c>
      <c r="D42" s="22" t="s">
        <v>492</v>
      </c>
      <c r="E42" s="22" t="s">
        <v>510</v>
      </c>
      <c r="F42" s="31" t="s">
        <v>4211</v>
      </c>
      <c r="G42" s="22" t="s">
        <v>757</v>
      </c>
      <c r="H42" s="32" t="s">
        <v>1049</v>
      </c>
      <c r="I42" s="31" t="s">
        <v>780</v>
      </c>
      <c r="J42" s="22" t="s">
        <v>1050</v>
      </c>
      <c r="K42" s="33" t="s">
        <v>127</v>
      </c>
      <c r="L42" s="33" t="s">
        <v>758</v>
      </c>
      <c r="M42" s="33" t="s">
        <v>883</v>
      </c>
      <c r="N42" s="33" t="s">
        <v>795</v>
      </c>
      <c r="O42" s="33" t="s">
        <v>782</v>
      </c>
      <c r="P42" s="22"/>
      <c r="Q42" s="22"/>
      <c r="R42" s="22"/>
      <c r="S42" s="31" t="s">
        <v>1053</v>
      </c>
      <c r="T42" s="22" t="s">
        <v>1051</v>
      </c>
      <c r="U42" s="31" t="s">
        <v>1052</v>
      </c>
      <c r="V42" s="22" t="s">
        <v>1048</v>
      </c>
      <c r="W42" s="42" t="s">
        <v>1534</v>
      </c>
      <c r="X42" s="45" t="s">
        <v>1533</v>
      </c>
    </row>
    <row r="43" spans="1:26" ht="28.5">
      <c r="A43" s="22">
        <v>42</v>
      </c>
      <c r="B43" s="31" t="s">
        <v>1054</v>
      </c>
      <c r="C43" s="22"/>
      <c r="D43" s="22" t="s">
        <v>492</v>
      </c>
      <c r="E43" s="22" t="s">
        <v>511</v>
      </c>
      <c r="F43" s="31" t="s">
        <v>4212</v>
      </c>
      <c r="G43" s="22" t="s">
        <v>757</v>
      </c>
      <c r="H43" s="32" t="s">
        <v>1056</v>
      </c>
      <c r="I43" s="31" t="s">
        <v>817</v>
      </c>
      <c r="J43" s="22" t="s">
        <v>1059</v>
      </c>
      <c r="K43" s="33" t="s">
        <v>1057</v>
      </c>
      <c r="L43" s="33" t="s">
        <v>758</v>
      </c>
      <c r="M43" s="33" t="s">
        <v>925</v>
      </c>
      <c r="N43" s="33" t="s">
        <v>1404</v>
      </c>
      <c r="O43" s="33" t="s">
        <v>782</v>
      </c>
      <c r="P43" s="22"/>
      <c r="Q43" s="22"/>
      <c r="R43" s="22"/>
      <c r="S43" s="31" t="s">
        <v>1063</v>
      </c>
      <c r="T43" s="22" t="s">
        <v>1060</v>
      </c>
      <c r="U43" s="31" t="s">
        <v>1061</v>
      </c>
      <c r="V43" s="22" t="s">
        <v>1062</v>
      </c>
      <c r="W43" s="45" t="s">
        <v>3268</v>
      </c>
    </row>
    <row r="44" spans="1:26" ht="57">
      <c r="A44" s="22">
        <v>43</v>
      </c>
      <c r="B44" s="31" t="s">
        <v>1064</v>
      </c>
      <c r="C44" s="22"/>
      <c r="D44" s="22" t="s">
        <v>492</v>
      </c>
      <c r="E44" s="22" t="s">
        <v>510</v>
      </c>
      <c r="F44" s="31" t="s">
        <v>1066</v>
      </c>
      <c r="G44" s="22" t="s">
        <v>757</v>
      </c>
      <c r="H44" s="32" t="s">
        <v>1069</v>
      </c>
      <c r="I44" s="31" t="s">
        <v>780</v>
      </c>
      <c r="J44" s="22" t="s">
        <v>784</v>
      </c>
      <c r="K44" s="33" t="s">
        <v>159</v>
      </c>
      <c r="L44" s="33" t="s">
        <v>782</v>
      </c>
      <c r="M44" s="33" t="s">
        <v>883</v>
      </c>
      <c r="N44" s="33" t="s">
        <v>795</v>
      </c>
      <c r="O44" s="22"/>
      <c r="P44" s="22"/>
      <c r="Q44" s="22"/>
      <c r="R44" s="22"/>
      <c r="S44" s="31" t="s">
        <v>913</v>
      </c>
      <c r="T44" s="22" t="s">
        <v>1072</v>
      </c>
      <c r="U44" s="31" t="s">
        <v>1073</v>
      </c>
      <c r="V44" s="22"/>
      <c r="W44" s="42" t="s">
        <v>1536</v>
      </c>
      <c r="X44" s="45" t="s">
        <v>1535</v>
      </c>
      <c r="Y44" s="41"/>
    </row>
    <row r="45" spans="1:26" ht="57">
      <c r="A45" s="22">
        <v>44</v>
      </c>
      <c r="B45" s="31" t="s">
        <v>1065</v>
      </c>
      <c r="C45" s="22"/>
      <c r="D45" s="22" t="s">
        <v>492</v>
      </c>
      <c r="E45" s="22" t="s">
        <v>510</v>
      </c>
      <c r="F45" s="31" t="s">
        <v>1067</v>
      </c>
      <c r="G45" s="22" t="s">
        <v>757</v>
      </c>
      <c r="H45" s="32" t="s">
        <v>1070</v>
      </c>
      <c r="I45" s="31" t="s">
        <v>780</v>
      </c>
      <c r="J45" s="22" t="s">
        <v>784</v>
      </c>
      <c r="K45" s="36" t="s">
        <v>193</v>
      </c>
      <c r="L45" s="33" t="s">
        <v>782</v>
      </c>
      <c r="M45" s="33" t="s">
        <v>883</v>
      </c>
      <c r="N45" s="33" t="s">
        <v>795</v>
      </c>
      <c r="O45" s="22"/>
      <c r="P45" s="22"/>
      <c r="Q45" s="22"/>
      <c r="R45" s="22"/>
      <c r="S45" s="31" t="s">
        <v>1078</v>
      </c>
      <c r="T45" s="22" t="s">
        <v>1074</v>
      </c>
      <c r="U45" s="31" t="s">
        <v>1075</v>
      </c>
      <c r="V45" s="22"/>
      <c r="W45" s="42" t="s">
        <v>1538</v>
      </c>
      <c r="X45" s="45" t="s">
        <v>1539</v>
      </c>
      <c r="Y45" s="45" t="s">
        <v>1537</v>
      </c>
    </row>
    <row r="46" spans="1:26" ht="42.75">
      <c r="A46" s="22">
        <v>45</v>
      </c>
      <c r="B46" s="31" t="s">
        <v>1079</v>
      </c>
      <c r="C46" s="22"/>
      <c r="D46" s="22" t="s">
        <v>492</v>
      </c>
      <c r="E46" s="22" t="s">
        <v>510</v>
      </c>
      <c r="F46" s="31" t="s">
        <v>1068</v>
      </c>
      <c r="G46" s="22" t="s">
        <v>757</v>
      </c>
      <c r="H46" s="31" t="s">
        <v>1071</v>
      </c>
      <c r="I46" s="31" t="s">
        <v>780</v>
      </c>
      <c r="J46" s="22" t="s">
        <v>794</v>
      </c>
      <c r="K46" s="33" t="s">
        <v>159</v>
      </c>
      <c r="L46" s="33" t="s">
        <v>782</v>
      </c>
      <c r="M46" s="33" t="s">
        <v>883</v>
      </c>
      <c r="N46" s="33" t="s">
        <v>795</v>
      </c>
      <c r="O46" s="22"/>
      <c r="P46" s="22"/>
      <c r="Q46" s="22"/>
      <c r="R46" s="22"/>
      <c r="S46" s="31" t="s">
        <v>1080</v>
      </c>
      <c r="T46" s="22" t="s">
        <v>1076</v>
      </c>
      <c r="U46" s="31" t="s">
        <v>1077</v>
      </c>
      <c r="V46" s="22"/>
      <c r="W46" s="42" t="s">
        <v>1541</v>
      </c>
      <c r="X46" s="45" t="s">
        <v>1542</v>
      </c>
      <c r="Y46" s="45" t="s">
        <v>1540</v>
      </c>
    </row>
    <row r="47" spans="1:26" ht="28.5">
      <c r="A47" s="22">
        <v>46</v>
      </c>
      <c r="B47" s="31" t="s">
        <v>1082</v>
      </c>
      <c r="C47" s="22">
        <v>410</v>
      </c>
      <c r="D47" s="22" t="s">
        <v>492</v>
      </c>
      <c r="E47" s="22" t="s">
        <v>510</v>
      </c>
      <c r="F47" s="31" t="s">
        <v>1083</v>
      </c>
      <c r="G47" s="22" t="s">
        <v>755</v>
      </c>
      <c r="H47" s="32" t="s">
        <v>1713</v>
      </c>
      <c r="I47" s="31" t="s">
        <v>1003</v>
      </c>
      <c r="J47" s="22" t="s">
        <v>1084</v>
      </c>
      <c r="K47" s="33" t="s">
        <v>175</v>
      </c>
      <c r="L47" s="33" t="s">
        <v>782</v>
      </c>
      <c r="M47" s="33" t="s">
        <v>883</v>
      </c>
      <c r="N47" s="33" t="s">
        <v>795</v>
      </c>
      <c r="S47" s="31" t="s">
        <v>1086</v>
      </c>
      <c r="T47" s="22" t="s">
        <v>2019</v>
      </c>
      <c r="U47" s="31" t="s">
        <v>1708</v>
      </c>
      <c r="W47" s="42" t="s">
        <v>1544</v>
      </c>
      <c r="X47" s="45" t="s">
        <v>1545</v>
      </c>
      <c r="Y47" s="45" t="s">
        <v>1543</v>
      </c>
    </row>
    <row r="48" spans="1:26">
      <c r="A48" s="22">
        <v>47</v>
      </c>
      <c r="B48" s="32" t="s">
        <v>1087</v>
      </c>
      <c r="C48" s="22"/>
      <c r="D48" s="22" t="s">
        <v>493</v>
      </c>
      <c r="E48" s="22" t="s">
        <v>511</v>
      </c>
      <c r="F48" s="31" t="s">
        <v>1088</v>
      </c>
      <c r="G48" s="22" t="s">
        <v>1089</v>
      </c>
      <c r="H48" s="32" t="s">
        <v>1090</v>
      </c>
      <c r="I48" s="31" t="s">
        <v>817</v>
      </c>
      <c r="J48" s="22" t="s">
        <v>1091</v>
      </c>
      <c r="K48" s="33"/>
      <c r="L48" s="33" t="s">
        <v>785</v>
      </c>
      <c r="M48" s="33" t="s">
        <v>925</v>
      </c>
      <c r="N48" s="33" t="s">
        <v>1404</v>
      </c>
      <c r="V48" s="22"/>
      <c r="W48" s="45" t="s">
        <v>3269</v>
      </c>
      <c r="X48" s="45" t="s">
        <v>3270</v>
      </c>
    </row>
    <row r="49" spans="1:25" ht="71.25">
      <c r="A49" s="22">
        <v>48</v>
      </c>
      <c r="B49" s="31" t="s">
        <v>1092</v>
      </c>
      <c r="C49" s="22">
        <v>230</v>
      </c>
      <c r="D49" s="22" t="s">
        <v>493</v>
      </c>
      <c r="E49" s="22" t="s">
        <v>510</v>
      </c>
      <c r="F49" s="31" t="s">
        <v>4213</v>
      </c>
      <c r="G49" s="22" t="s">
        <v>1089</v>
      </c>
      <c r="H49" s="35" t="s">
        <v>1093</v>
      </c>
      <c r="I49" s="31" t="s">
        <v>1003</v>
      </c>
      <c r="J49" s="22" t="s">
        <v>1101</v>
      </c>
      <c r="K49" s="33" t="s">
        <v>86</v>
      </c>
      <c r="L49" s="33" t="s">
        <v>758</v>
      </c>
      <c r="M49" s="33" t="s">
        <v>1094</v>
      </c>
      <c r="N49" s="33" t="s">
        <v>1205</v>
      </c>
      <c r="O49" s="22" t="s">
        <v>785</v>
      </c>
      <c r="P49" s="22"/>
      <c r="Q49" s="22"/>
      <c r="R49" s="22"/>
      <c r="S49" s="22"/>
      <c r="T49" s="22" t="s">
        <v>1095</v>
      </c>
      <c r="U49" s="31" t="s">
        <v>1096</v>
      </c>
      <c r="W49" s="45" t="s">
        <v>3271</v>
      </c>
      <c r="X49" s="45" t="s">
        <v>3726</v>
      </c>
    </row>
    <row r="50" spans="1:25" ht="28.5">
      <c r="A50" s="22">
        <v>49</v>
      </c>
      <c r="B50" s="31" t="s">
        <v>1098</v>
      </c>
      <c r="C50" s="22"/>
      <c r="D50" s="22" t="s">
        <v>492</v>
      </c>
      <c r="E50" s="22" t="s">
        <v>511</v>
      </c>
      <c r="F50" s="31" t="s">
        <v>1100</v>
      </c>
      <c r="G50" s="22" t="s">
        <v>757</v>
      </c>
      <c r="H50" s="32" t="s">
        <v>1099</v>
      </c>
      <c r="I50" s="31" t="s">
        <v>803</v>
      </c>
      <c r="J50" s="22" t="s">
        <v>1102</v>
      </c>
      <c r="K50" s="33" t="s">
        <v>127</v>
      </c>
      <c r="L50" s="33" t="s">
        <v>782</v>
      </c>
      <c r="M50" s="33" t="s">
        <v>883</v>
      </c>
      <c r="N50" s="33" t="s">
        <v>795</v>
      </c>
      <c r="O50" s="22"/>
      <c r="P50" s="22"/>
      <c r="Q50" s="22"/>
      <c r="R50" s="22"/>
      <c r="S50" s="31" t="s">
        <v>1104</v>
      </c>
      <c r="T50" s="22" t="s">
        <v>1103</v>
      </c>
      <c r="U50" s="31" t="s">
        <v>1709</v>
      </c>
      <c r="W50" s="42" t="s">
        <v>1547</v>
      </c>
      <c r="X50" s="45" t="s">
        <v>1548</v>
      </c>
      <c r="Y50" s="45" t="s">
        <v>1546</v>
      </c>
    </row>
    <row r="51" spans="1:25" ht="28.5">
      <c r="A51" s="22">
        <v>50</v>
      </c>
      <c r="B51" s="31" t="s">
        <v>1105</v>
      </c>
      <c r="C51" s="22">
        <v>110</v>
      </c>
      <c r="D51" s="22" t="s">
        <v>493</v>
      </c>
      <c r="E51" s="22" t="s">
        <v>510</v>
      </c>
      <c r="F51" s="31" t="s">
        <v>4214</v>
      </c>
      <c r="G51" s="22" t="s">
        <v>757</v>
      </c>
      <c r="H51" s="32" t="s">
        <v>1106</v>
      </c>
      <c r="I51" s="31" t="s">
        <v>780</v>
      </c>
      <c r="J51" s="22" t="s">
        <v>1107</v>
      </c>
      <c r="K51" s="33" t="s">
        <v>268</v>
      </c>
      <c r="L51" s="33" t="s">
        <v>758</v>
      </c>
      <c r="M51" s="33" t="s">
        <v>925</v>
      </c>
      <c r="N51" s="33" t="s">
        <v>1404</v>
      </c>
      <c r="O51" s="36" t="s">
        <v>1108</v>
      </c>
      <c r="P51" s="22"/>
      <c r="Q51" s="22"/>
      <c r="R51" s="22"/>
      <c r="S51" s="31" t="s">
        <v>1111</v>
      </c>
      <c r="T51" s="22" t="s">
        <v>1109</v>
      </c>
      <c r="U51" s="31" t="s">
        <v>1110</v>
      </c>
      <c r="W51" s="42" t="s">
        <v>1550</v>
      </c>
      <c r="X51" s="45" t="s">
        <v>1551</v>
      </c>
      <c r="Y51" s="45" t="s">
        <v>1549</v>
      </c>
    </row>
    <row r="52" spans="1:25" ht="42.75">
      <c r="A52" s="22">
        <v>51</v>
      </c>
      <c r="B52" s="31" t="s">
        <v>1112</v>
      </c>
      <c r="C52" s="22"/>
      <c r="D52" s="22" t="s">
        <v>492</v>
      </c>
      <c r="E52" s="22" t="s">
        <v>511</v>
      </c>
      <c r="F52" s="31" t="s">
        <v>1113</v>
      </c>
      <c r="G52" s="22" t="s">
        <v>757</v>
      </c>
      <c r="H52" s="32" t="s">
        <v>1114</v>
      </c>
      <c r="I52" s="31" t="s">
        <v>780</v>
      </c>
      <c r="J52" s="22" t="s">
        <v>1115</v>
      </c>
      <c r="K52" s="33" t="s">
        <v>127</v>
      </c>
      <c r="L52" s="33" t="s">
        <v>782</v>
      </c>
      <c r="M52" s="33" t="s">
        <v>883</v>
      </c>
      <c r="N52" s="33" t="s">
        <v>795</v>
      </c>
      <c r="O52" s="36" t="s">
        <v>1116</v>
      </c>
      <c r="P52" s="22"/>
      <c r="Q52" s="22"/>
      <c r="R52" s="22"/>
      <c r="S52" s="31" t="s">
        <v>939</v>
      </c>
      <c r="T52" s="22" t="s">
        <v>2014</v>
      </c>
      <c r="U52" s="31" t="s">
        <v>1710</v>
      </c>
      <c r="W52" s="42" t="s">
        <v>1553</v>
      </c>
      <c r="X52" s="45" t="s">
        <v>1552</v>
      </c>
    </row>
    <row r="53" spans="1:25" ht="28.5">
      <c r="A53" s="22">
        <v>52</v>
      </c>
      <c r="B53" s="35" t="s">
        <v>5599</v>
      </c>
      <c r="C53" s="22" t="s">
        <v>5600</v>
      </c>
      <c r="D53" s="22" t="s">
        <v>492</v>
      </c>
      <c r="E53" s="22" t="s">
        <v>511</v>
      </c>
      <c r="F53" s="31" t="s">
        <v>1117</v>
      </c>
      <c r="G53" s="22" t="s">
        <v>757</v>
      </c>
      <c r="H53" s="32" t="s">
        <v>1114</v>
      </c>
      <c r="I53" s="31" t="s">
        <v>780</v>
      </c>
      <c r="J53" s="22" t="s">
        <v>1118</v>
      </c>
      <c r="K53" s="33"/>
      <c r="L53" s="33" t="s">
        <v>782</v>
      </c>
      <c r="M53" s="33" t="s">
        <v>855</v>
      </c>
      <c r="N53" s="33" t="s">
        <v>1404</v>
      </c>
      <c r="O53" s="22"/>
      <c r="P53" s="22"/>
      <c r="Q53" s="22"/>
      <c r="R53" s="22"/>
      <c r="S53" s="31" t="s">
        <v>1119</v>
      </c>
      <c r="T53" s="22"/>
      <c r="U53" s="31" t="s">
        <v>5601</v>
      </c>
      <c r="V53" s="31" t="s">
        <v>2371</v>
      </c>
      <c r="W53" s="42" t="s">
        <v>1555</v>
      </c>
      <c r="X53" s="45" t="s">
        <v>1554</v>
      </c>
    </row>
    <row r="54" spans="1:25" ht="42.75">
      <c r="A54" s="22">
        <v>53</v>
      </c>
      <c r="B54" s="31" t="s">
        <v>1120</v>
      </c>
      <c r="C54" s="22"/>
      <c r="D54" s="22" t="s">
        <v>493</v>
      </c>
      <c r="E54" s="22" t="s">
        <v>511</v>
      </c>
      <c r="F54" s="31" t="s">
        <v>1121</v>
      </c>
      <c r="G54" s="22" t="s">
        <v>757</v>
      </c>
      <c r="H54" s="32" t="s">
        <v>1122</v>
      </c>
      <c r="I54" s="31" t="s">
        <v>824</v>
      </c>
      <c r="J54" s="22" t="s">
        <v>1123</v>
      </c>
      <c r="K54" s="33" t="s">
        <v>177</v>
      </c>
      <c r="L54" s="33" t="s">
        <v>782</v>
      </c>
      <c r="M54" s="33" t="s">
        <v>883</v>
      </c>
      <c r="N54" s="33" t="s">
        <v>795</v>
      </c>
      <c r="O54" s="22"/>
      <c r="P54" s="22"/>
      <c r="Q54" s="22"/>
      <c r="R54" s="22"/>
      <c r="S54" s="31" t="s">
        <v>1126</v>
      </c>
      <c r="T54" s="22" t="s">
        <v>1124</v>
      </c>
      <c r="U54" s="31" t="s">
        <v>1714</v>
      </c>
      <c r="V54" s="22" t="s">
        <v>1125</v>
      </c>
      <c r="W54" s="42" t="s">
        <v>1557</v>
      </c>
      <c r="X54" s="45" t="s">
        <v>1558</v>
      </c>
      <c r="Y54" s="45" t="s">
        <v>1556</v>
      </c>
    </row>
    <row r="55" spans="1:25" ht="42.75">
      <c r="A55" s="22">
        <v>54</v>
      </c>
      <c r="B55" s="31" t="s">
        <v>1127</v>
      </c>
      <c r="C55" s="22"/>
      <c r="D55" s="22" t="s">
        <v>492</v>
      </c>
      <c r="E55" s="22" t="s">
        <v>511</v>
      </c>
      <c r="F55" s="31" t="s">
        <v>1128</v>
      </c>
      <c r="G55" s="22" t="s">
        <v>755</v>
      </c>
      <c r="H55" s="35" t="s">
        <v>1129</v>
      </c>
      <c r="I55" s="31" t="s">
        <v>1003</v>
      </c>
      <c r="J55" s="22" t="s">
        <v>1130</v>
      </c>
      <c r="K55" s="33" t="s">
        <v>175</v>
      </c>
      <c r="L55" s="33" t="s">
        <v>758</v>
      </c>
      <c r="M55" s="33" t="s">
        <v>855</v>
      </c>
      <c r="N55" s="33" t="s">
        <v>1404</v>
      </c>
      <c r="O55" s="33" t="s">
        <v>758</v>
      </c>
      <c r="P55" s="22"/>
      <c r="Q55" s="22"/>
      <c r="R55" s="22"/>
      <c r="S55" s="31" t="s">
        <v>1132</v>
      </c>
      <c r="T55" s="22" t="s">
        <v>2020</v>
      </c>
      <c r="U55" s="31" t="s">
        <v>1131</v>
      </c>
      <c r="V55" s="22"/>
      <c r="W55" s="42" t="s">
        <v>1560</v>
      </c>
      <c r="X55" s="45" t="s">
        <v>1561</v>
      </c>
      <c r="Y55" s="45" t="s">
        <v>1562</v>
      </c>
    </row>
    <row r="56" spans="1:25" ht="28.5">
      <c r="A56" s="22">
        <v>55</v>
      </c>
      <c r="B56" s="31" t="s">
        <v>1133</v>
      </c>
      <c r="C56" s="22"/>
      <c r="D56" s="22" t="s">
        <v>493</v>
      </c>
      <c r="E56" s="22" t="s">
        <v>511</v>
      </c>
      <c r="F56" s="31" t="s">
        <v>1134</v>
      </c>
      <c r="G56" s="22" t="s">
        <v>755</v>
      </c>
      <c r="H56" s="32" t="s">
        <v>1135</v>
      </c>
      <c r="I56" s="31" t="s">
        <v>1003</v>
      </c>
      <c r="J56" s="22" t="s">
        <v>1136</v>
      </c>
      <c r="K56" s="33"/>
      <c r="L56" s="33" t="s">
        <v>782</v>
      </c>
      <c r="M56" s="33" t="s">
        <v>1137</v>
      </c>
      <c r="N56" s="33" t="s">
        <v>1407</v>
      </c>
      <c r="O56" s="22"/>
      <c r="P56" s="22"/>
      <c r="Q56" s="22"/>
      <c r="R56" s="22"/>
      <c r="S56" s="22"/>
      <c r="T56" s="22"/>
      <c r="U56" s="31" t="s">
        <v>1138</v>
      </c>
      <c r="V56" s="22" t="s">
        <v>1139</v>
      </c>
      <c r="W56" s="42" t="s">
        <v>1564</v>
      </c>
      <c r="X56" s="45" t="s">
        <v>1565</v>
      </c>
      <c r="Y56" s="45" t="s">
        <v>1563</v>
      </c>
    </row>
    <row r="57" spans="1:25" ht="28.5">
      <c r="A57" s="22">
        <v>56</v>
      </c>
      <c r="B57" s="31" t="s">
        <v>1321</v>
      </c>
      <c r="C57" s="22">
        <v>220</v>
      </c>
      <c r="D57" s="22" t="s">
        <v>493</v>
      </c>
      <c r="E57" s="22" t="s">
        <v>511</v>
      </c>
      <c r="F57" s="31" t="s">
        <v>4215</v>
      </c>
      <c r="G57" s="22" t="s">
        <v>755</v>
      </c>
      <c r="H57" s="35" t="s">
        <v>1143</v>
      </c>
      <c r="I57" s="31" t="s">
        <v>1003</v>
      </c>
      <c r="J57" s="22" t="s">
        <v>1144</v>
      </c>
      <c r="K57" s="36" t="s">
        <v>39</v>
      </c>
      <c r="L57" s="33" t="s">
        <v>782</v>
      </c>
      <c r="M57" s="33" t="s">
        <v>1322</v>
      </c>
      <c r="N57" s="33" t="s">
        <v>1323</v>
      </c>
      <c r="O57" s="22"/>
      <c r="S57" s="31" t="s">
        <v>1147</v>
      </c>
      <c r="T57" s="22" t="s">
        <v>1146</v>
      </c>
      <c r="U57" s="31" t="s">
        <v>1145</v>
      </c>
      <c r="V57" s="22" t="s">
        <v>2126</v>
      </c>
      <c r="W57" s="42" t="s">
        <v>1567</v>
      </c>
      <c r="X57" s="45" t="s">
        <v>1559</v>
      </c>
      <c r="Y57" s="45" t="s">
        <v>1566</v>
      </c>
    </row>
    <row r="58" spans="1:25" ht="28.5">
      <c r="A58" s="22">
        <v>57</v>
      </c>
      <c r="B58" s="31" t="s">
        <v>1148</v>
      </c>
      <c r="C58" s="22"/>
      <c r="D58" s="22" t="s">
        <v>493</v>
      </c>
      <c r="E58" s="22" t="s">
        <v>511</v>
      </c>
      <c r="F58" s="31" t="s">
        <v>1149</v>
      </c>
      <c r="G58" s="22" t="s">
        <v>755</v>
      </c>
      <c r="H58" s="35" t="s">
        <v>1143</v>
      </c>
      <c r="I58" s="31" t="s">
        <v>1003</v>
      </c>
      <c r="J58" s="22" t="s">
        <v>1150</v>
      </c>
      <c r="K58" s="33" t="s">
        <v>1225</v>
      </c>
      <c r="L58" s="33" t="s">
        <v>785</v>
      </c>
      <c r="M58" s="33" t="s">
        <v>1152</v>
      </c>
      <c r="N58" s="33" t="s">
        <v>1405</v>
      </c>
      <c r="O58" s="22"/>
      <c r="P58" s="22"/>
      <c r="Q58" s="22"/>
      <c r="R58" s="22"/>
      <c r="S58" s="31" t="s">
        <v>1153</v>
      </c>
      <c r="T58" s="22"/>
      <c r="U58" s="31"/>
      <c r="W58" s="42" t="s">
        <v>1570</v>
      </c>
      <c r="X58" s="45" t="s">
        <v>1571</v>
      </c>
      <c r="Y58" s="45" t="s">
        <v>1569</v>
      </c>
    </row>
    <row r="59" spans="1:25" ht="28.5">
      <c r="A59" s="22">
        <v>58</v>
      </c>
      <c r="B59" s="31" t="s">
        <v>1154</v>
      </c>
      <c r="C59" s="22" t="s">
        <v>1155</v>
      </c>
      <c r="D59" s="22" t="s">
        <v>493</v>
      </c>
      <c r="E59" s="22" t="s">
        <v>511</v>
      </c>
      <c r="F59" s="31" t="s">
        <v>1156</v>
      </c>
      <c r="G59" s="22" t="s">
        <v>755</v>
      </c>
      <c r="H59" s="35" t="s">
        <v>1157</v>
      </c>
      <c r="I59" s="31" t="s">
        <v>1158</v>
      </c>
      <c r="J59" s="22" t="s">
        <v>1159</v>
      </c>
      <c r="K59" s="33" t="s">
        <v>56</v>
      </c>
      <c r="L59" s="33" t="s">
        <v>782</v>
      </c>
      <c r="M59" s="33" t="s">
        <v>1160</v>
      </c>
      <c r="N59" s="33" t="s">
        <v>795</v>
      </c>
      <c r="O59" s="22"/>
      <c r="P59" s="22"/>
      <c r="Q59" s="22"/>
      <c r="R59" s="22"/>
      <c r="S59" s="31" t="s">
        <v>1162</v>
      </c>
      <c r="T59" s="22" t="s">
        <v>1161</v>
      </c>
      <c r="U59" s="31"/>
      <c r="V59" s="22"/>
      <c r="W59" s="42" t="s">
        <v>1573</v>
      </c>
      <c r="X59" s="45" t="s">
        <v>1572</v>
      </c>
    </row>
    <row r="60" spans="1:25" ht="28.5">
      <c r="A60" s="22">
        <v>59</v>
      </c>
      <c r="B60" s="31" t="s">
        <v>1163</v>
      </c>
      <c r="D60" s="22" t="s">
        <v>493</v>
      </c>
      <c r="E60" s="22" t="s">
        <v>511</v>
      </c>
      <c r="F60" s="31" t="s">
        <v>4216</v>
      </c>
      <c r="G60" s="22" t="s">
        <v>756</v>
      </c>
      <c r="H60" s="35" t="s">
        <v>1164</v>
      </c>
      <c r="I60" s="31" t="s">
        <v>1003</v>
      </c>
      <c r="J60" s="22" t="s">
        <v>1165</v>
      </c>
      <c r="K60" s="33" t="s">
        <v>1166</v>
      </c>
      <c r="L60" s="33" t="s">
        <v>782</v>
      </c>
      <c r="M60" s="33" t="s">
        <v>1168</v>
      </c>
      <c r="N60" s="33" t="s">
        <v>1408</v>
      </c>
      <c r="O60" s="22"/>
      <c r="P60" s="22"/>
      <c r="Q60" s="22"/>
      <c r="R60" s="22"/>
      <c r="S60" s="31" t="s">
        <v>1171</v>
      </c>
      <c r="T60" s="22" t="s">
        <v>1169</v>
      </c>
      <c r="U60" s="37" t="s">
        <v>1170</v>
      </c>
      <c r="W60" s="42" t="s">
        <v>1574</v>
      </c>
      <c r="X60" s="45" t="s">
        <v>1568</v>
      </c>
    </row>
    <row r="61" spans="1:25" ht="42.75">
      <c r="A61" s="22">
        <v>60</v>
      </c>
      <c r="B61" s="31" t="s">
        <v>1172</v>
      </c>
      <c r="C61" s="22"/>
      <c r="D61" s="22" t="s">
        <v>493</v>
      </c>
      <c r="E61" s="22" t="s">
        <v>511</v>
      </c>
      <c r="F61" s="31" t="s">
        <v>4218</v>
      </c>
      <c r="G61" s="22" t="s">
        <v>755</v>
      </c>
      <c r="H61" s="35" t="s">
        <v>1174</v>
      </c>
      <c r="I61" s="31" t="s">
        <v>1003</v>
      </c>
      <c r="J61" s="22" t="s">
        <v>1176</v>
      </c>
      <c r="K61" s="33" t="s">
        <v>175</v>
      </c>
      <c r="L61" s="33" t="s">
        <v>758</v>
      </c>
      <c r="M61" s="33" t="s">
        <v>1177</v>
      </c>
      <c r="N61" s="33" t="s">
        <v>1404</v>
      </c>
      <c r="O61" s="33" t="s">
        <v>758</v>
      </c>
      <c r="P61" s="22"/>
      <c r="Q61" s="22"/>
      <c r="R61" s="22"/>
      <c r="S61" s="31" t="s">
        <v>1181</v>
      </c>
      <c r="T61" s="22" t="s">
        <v>2021</v>
      </c>
      <c r="U61" s="31" t="s">
        <v>1178</v>
      </c>
      <c r="V61" s="22"/>
      <c r="W61" s="45" t="s">
        <v>1180</v>
      </c>
    </row>
    <row r="62" spans="1:25" ht="42.75">
      <c r="A62" s="22">
        <v>61</v>
      </c>
      <c r="B62" s="31" t="s">
        <v>1173</v>
      </c>
      <c r="C62" s="22"/>
      <c r="D62" s="22" t="s">
        <v>493</v>
      </c>
      <c r="E62" s="22" t="s">
        <v>511</v>
      </c>
      <c r="F62" s="31" t="s">
        <v>4217</v>
      </c>
      <c r="G62" s="22" t="s">
        <v>755</v>
      </c>
      <c r="H62" s="31" t="s">
        <v>1175</v>
      </c>
      <c r="I62" s="31" t="s">
        <v>1003</v>
      </c>
      <c r="J62" s="22" t="s">
        <v>1176</v>
      </c>
      <c r="K62" s="33" t="s">
        <v>175</v>
      </c>
      <c r="L62" s="33" t="s">
        <v>758</v>
      </c>
      <c r="M62" s="33" t="s">
        <v>1177</v>
      </c>
      <c r="N62" s="33" t="s">
        <v>1404</v>
      </c>
      <c r="O62" s="33" t="s">
        <v>758</v>
      </c>
      <c r="P62" s="22"/>
      <c r="Q62" s="22"/>
      <c r="R62" s="22"/>
      <c r="S62" s="31" t="s">
        <v>1182</v>
      </c>
      <c r="T62" s="22" t="s">
        <v>2022</v>
      </c>
      <c r="U62" s="31" t="s">
        <v>1179</v>
      </c>
      <c r="V62" s="22"/>
      <c r="W62" s="45" t="s">
        <v>1180</v>
      </c>
    </row>
    <row r="63" spans="1:25" ht="28.5">
      <c r="A63" s="22">
        <v>62</v>
      </c>
      <c r="B63" s="31" t="s">
        <v>1191</v>
      </c>
      <c r="C63" s="22"/>
      <c r="D63" s="22" t="s">
        <v>493</v>
      </c>
      <c r="E63" s="22" t="s">
        <v>511</v>
      </c>
      <c r="F63" s="31" t="s">
        <v>4219</v>
      </c>
      <c r="G63" s="22" t="s">
        <v>755</v>
      </c>
      <c r="H63" s="31" t="s">
        <v>1192</v>
      </c>
      <c r="I63" s="31" t="s">
        <v>1003</v>
      </c>
      <c r="J63" s="22" t="s">
        <v>1193</v>
      </c>
      <c r="K63" s="33" t="s">
        <v>1194</v>
      </c>
      <c r="L63" s="33" t="s">
        <v>758</v>
      </c>
      <c r="M63" s="33" t="s">
        <v>1188</v>
      </c>
      <c r="N63" s="33" t="s">
        <v>795</v>
      </c>
      <c r="O63" s="22"/>
      <c r="P63" s="22"/>
      <c r="Q63" s="22"/>
      <c r="R63" s="31" t="s">
        <v>3504</v>
      </c>
      <c r="S63" s="22"/>
      <c r="T63" s="22" t="s">
        <v>2948</v>
      </c>
      <c r="U63" s="31"/>
      <c r="V63" s="22" t="s">
        <v>2372</v>
      </c>
      <c r="W63" s="45" t="s">
        <v>1195</v>
      </c>
    </row>
    <row r="64" spans="1:25" ht="42.75">
      <c r="A64" s="22">
        <v>63</v>
      </c>
      <c r="B64" s="31" t="s">
        <v>1183</v>
      </c>
      <c r="C64" s="22" t="s">
        <v>1184</v>
      </c>
      <c r="D64" s="22" t="s">
        <v>493</v>
      </c>
      <c r="E64" s="22" t="s">
        <v>511</v>
      </c>
      <c r="F64" s="31" t="s">
        <v>1185</v>
      </c>
      <c r="G64" s="22" t="s">
        <v>755</v>
      </c>
      <c r="H64" s="31" t="s">
        <v>1186</v>
      </c>
      <c r="I64" s="31" t="s">
        <v>1003</v>
      </c>
      <c r="J64" s="22" t="s">
        <v>1187</v>
      </c>
      <c r="K64" s="33" t="s">
        <v>62</v>
      </c>
      <c r="L64" s="33" t="s">
        <v>782</v>
      </c>
      <c r="M64" s="33" t="s">
        <v>1188</v>
      </c>
      <c r="N64" s="33" t="s">
        <v>795</v>
      </c>
      <c r="O64" s="33" t="s">
        <v>1190</v>
      </c>
      <c r="P64" s="22">
        <v>0</v>
      </c>
      <c r="Q64" s="22"/>
      <c r="R64" s="31" t="s">
        <v>6308</v>
      </c>
      <c r="S64" s="22"/>
      <c r="T64" s="22" t="s">
        <v>1189</v>
      </c>
      <c r="U64" s="31"/>
      <c r="V64" s="22" t="s">
        <v>2372</v>
      </c>
      <c r="W64" s="42" t="s">
        <v>1576</v>
      </c>
      <c r="X64" s="44" t="s">
        <v>1577</v>
      </c>
      <c r="Y64" s="44" t="s">
        <v>1575</v>
      </c>
    </row>
    <row r="65" spans="1:25" ht="57">
      <c r="A65" s="22">
        <v>64</v>
      </c>
      <c r="B65" s="31" t="s">
        <v>1196</v>
      </c>
      <c r="C65" s="22">
        <v>370</v>
      </c>
      <c r="D65" s="31" t="s">
        <v>499</v>
      </c>
      <c r="E65" s="22" t="s">
        <v>511</v>
      </c>
      <c r="F65" s="31" t="s">
        <v>4220</v>
      </c>
      <c r="G65" s="22" t="s">
        <v>755</v>
      </c>
      <c r="H65" s="31" t="s">
        <v>1197</v>
      </c>
      <c r="I65" s="31" t="s">
        <v>1003</v>
      </c>
      <c r="J65" s="22" t="s">
        <v>1198</v>
      </c>
      <c r="K65" s="33" t="s">
        <v>33</v>
      </c>
      <c r="L65" s="33" t="s">
        <v>758</v>
      </c>
      <c r="M65" s="33" t="s">
        <v>815</v>
      </c>
      <c r="N65" s="33" t="s">
        <v>795</v>
      </c>
      <c r="O65" s="33" t="s">
        <v>758</v>
      </c>
      <c r="P65" s="22"/>
      <c r="Q65" s="22"/>
      <c r="R65" s="22"/>
      <c r="S65" s="22" t="s">
        <v>3117</v>
      </c>
      <c r="T65" s="22" t="s">
        <v>1199</v>
      </c>
      <c r="U65" s="31"/>
      <c r="W65" s="45" t="s">
        <v>3272</v>
      </c>
    </row>
    <row r="66" spans="1:25" ht="28.5">
      <c r="A66" s="22">
        <v>65</v>
      </c>
      <c r="B66" s="38" t="s">
        <v>1200</v>
      </c>
      <c r="C66" s="1"/>
      <c r="D66" s="22" t="s">
        <v>493</v>
      </c>
      <c r="E66" s="22" t="s">
        <v>511</v>
      </c>
      <c r="F66" s="31" t="s">
        <v>4221</v>
      </c>
      <c r="G66" s="22" t="s">
        <v>755</v>
      </c>
      <c r="H66" s="31" t="s">
        <v>1202</v>
      </c>
      <c r="I66" s="31" t="s">
        <v>1203</v>
      </c>
      <c r="J66" s="22" t="s">
        <v>1204</v>
      </c>
      <c r="K66" s="33" t="s">
        <v>127</v>
      </c>
      <c r="L66" s="33" t="s">
        <v>782</v>
      </c>
      <c r="M66" s="33" t="s">
        <v>1205</v>
      </c>
      <c r="N66" s="33" t="s">
        <v>883</v>
      </c>
      <c r="O66" s="22"/>
      <c r="P66" s="22"/>
      <c r="Q66" s="22"/>
      <c r="R66" s="22"/>
      <c r="S66" s="22" t="s">
        <v>1223</v>
      </c>
      <c r="T66" s="22" t="s">
        <v>1206</v>
      </c>
      <c r="U66" s="31" t="s">
        <v>1207</v>
      </c>
      <c r="V66" s="22" t="s">
        <v>1201</v>
      </c>
      <c r="W66" s="42" t="s">
        <v>1579</v>
      </c>
      <c r="X66" s="45" t="s">
        <v>1578</v>
      </c>
      <c r="Y66" s="25"/>
    </row>
    <row r="67" spans="1:25" ht="28.5">
      <c r="A67" s="22">
        <v>66</v>
      </c>
      <c r="B67" s="22" t="s">
        <v>1208</v>
      </c>
      <c r="C67" s="22" t="s">
        <v>1209</v>
      </c>
      <c r="D67" s="22" t="s">
        <v>493</v>
      </c>
      <c r="E67" s="22" t="s">
        <v>511</v>
      </c>
      <c r="F67" s="31" t="s">
        <v>1210</v>
      </c>
      <c r="G67" s="22" t="s">
        <v>755</v>
      </c>
      <c r="H67" s="31" t="s">
        <v>1211</v>
      </c>
      <c r="I67" s="31" t="s">
        <v>803</v>
      </c>
      <c r="J67" s="22" t="s">
        <v>1212</v>
      </c>
      <c r="K67" s="33" t="s">
        <v>99</v>
      </c>
      <c r="L67" s="33" t="s">
        <v>782</v>
      </c>
      <c r="M67" s="33" t="s">
        <v>1213</v>
      </c>
      <c r="N67" s="33" t="s">
        <v>1407</v>
      </c>
      <c r="O67" s="22"/>
      <c r="P67" s="22"/>
      <c r="Q67" s="22"/>
      <c r="R67" s="22"/>
      <c r="S67" s="22" t="s">
        <v>913</v>
      </c>
      <c r="T67" s="22" t="s">
        <v>1215</v>
      </c>
      <c r="U67" s="31"/>
      <c r="V67" s="31" t="s">
        <v>1214</v>
      </c>
      <c r="W67" s="42" t="s">
        <v>1581</v>
      </c>
      <c r="X67" s="45" t="s">
        <v>1580</v>
      </c>
    </row>
    <row r="68" spans="1:25" ht="28.5">
      <c r="A68" s="22">
        <v>67</v>
      </c>
      <c r="B68" s="31" t="s">
        <v>1216</v>
      </c>
      <c r="C68" s="22"/>
      <c r="D68" s="22" t="s">
        <v>493</v>
      </c>
      <c r="E68" s="22" t="s">
        <v>511</v>
      </c>
      <c r="F68" s="31" t="s">
        <v>4222</v>
      </c>
      <c r="G68" s="22" t="s">
        <v>755</v>
      </c>
      <c r="H68" s="31" t="s">
        <v>1217</v>
      </c>
      <c r="I68" s="31" t="s">
        <v>780</v>
      </c>
      <c r="J68" s="22" t="s">
        <v>1218</v>
      </c>
      <c r="K68" s="33" t="s">
        <v>174</v>
      </c>
      <c r="L68" s="33" t="s">
        <v>758</v>
      </c>
      <c r="M68" s="33" t="s">
        <v>883</v>
      </c>
      <c r="N68" s="33" t="s">
        <v>795</v>
      </c>
      <c r="O68" s="33" t="s">
        <v>1219</v>
      </c>
      <c r="P68" s="22">
        <v>60</v>
      </c>
      <c r="Q68" s="22" t="s">
        <v>1221</v>
      </c>
      <c r="R68" s="31" t="s">
        <v>1220</v>
      </c>
      <c r="S68" s="22"/>
      <c r="T68" s="22"/>
      <c r="U68" s="31"/>
      <c r="V68" s="22" t="s">
        <v>1222</v>
      </c>
      <c r="W68" s="42" t="s">
        <v>1583</v>
      </c>
      <c r="X68" s="45" t="s">
        <v>1582</v>
      </c>
    </row>
    <row r="69" spans="1:25" ht="28.5">
      <c r="A69" s="22">
        <v>68</v>
      </c>
      <c r="B69" s="38" t="s">
        <v>1226</v>
      </c>
      <c r="C69" s="22"/>
      <c r="D69" s="22" t="s">
        <v>493</v>
      </c>
      <c r="E69" s="22" t="s">
        <v>511</v>
      </c>
      <c r="F69" s="31" t="s">
        <v>4223</v>
      </c>
      <c r="G69" s="22" t="s">
        <v>755</v>
      </c>
      <c r="H69" s="31" t="s">
        <v>1227</v>
      </c>
      <c r="I69" s="31" t="s">
        <v>1203</v>
      </c>
      <c r="J69" s="22" t="s">
        <v>1228</v>
      </c>
      <c r="K69" s="33" t="s">
        <v>1230</v>
      </c>
      <c r="L69" s="33" t="s">
        <v>785</v>
      </c>
      <c r="M69" s="33" t="s">
        <v>1188</v>
      </c>
      <c r="N69" s="33" t="s">
        <v>795</v>
      </c>
      <c r="O69" s="22"/>
      <c r="P69" s="22"/>
      <c r="Q69" s="22">
        <v>1987</v>
      </c>
      <c r="R69" s="22"/>
      <c r="S69" s="22"/>
      <c r="T69" s="22"/>
      <c r="U69" s="31"/>
      <c r="V69" s="31" t="s">
        <v>1585</v>
      </c>
      <c r="W69" s="42" t="s">
        <v>1586</v>
      </c>
      <c r="X69" s="45" t="s">
        <v>1584</v>
      </c>
    </row>
    <row r="70" spans="1:25" ht="42.75">
      <c r="A70" s="22">
        <v>69</v>
      </c>
      <c r="B70" s="22" t="s">
        <v>1232</v>
      </c>
      <c r="C70" s="22">
        <v>197</v>
      </c>
      <c r="D70" s="22" t="s">
        <v>493</v>
      </c>
      <c r="E70" s="22" t="s">
        <v>511</v>
      </c>
      <c r="F70" s="31" t="s">
        <v>1233</v>
      </c>
      <c r="G70" s="22" t="s">
        <v>1089</v>
      </c>
      <c r="H70" s="31" t="s">
        <v>1234</v>
      </c>
      <c r="I70" s="31" t="s">
        <v>1003</v>
      </c>
      <c r="J70" s="22" t="s">
        <v>1235</v>
      </c>
      <c r="K70" s="33" t="s">
        <v>1236</v>
      </c>
      <c r="L70" s="33" t="s">
        <v>782</v>
      </c>
      <c r="M70" s="33" t="s">
        <v>1240</v>
      </c>
      <c r="N70" s="33" t="s">
        <v>1409</v>
      </c>
      <c r="O70" s="22"/>
      <c r="P70" s="22"/>
      <c r="Q70" s="22"/>
      <c r="R70" s="22"/>
      <c r="S70" s="22" t="s">
        <v>1241</v>
      </c>
      <c r="T70" s="22" t="s">
        <v>1239</v>
      </c>
      <c r="U70" s="31" t="s">
        <v>1237</v>
      </c>
      <c r="V70" s="22"/>
      <c r="W70" s="45" t="s">
        <v>1238</v>
      </c>
    </row>
    <row r="71" spans="1:25" ht="42.75">
      <c r="A71" s="22">
        <v>70</v>
      </c>
      <c r="B71" s="22" t="s">
        <v>1242</v>
      </c>
      <c r="C71" s="22"/>
      <c r="D71" s="22" t="s">
        <v>493</v>
      </c>
      <c r="E71" s="22" t="s">
        <v>511</v>
      </c>
      <c r="F71" s="31" t="s">
        <v>4224</v>
      </c>
      <c r="G71" s="22" t="s">
        <v>755</v>
      </c>
      <c r="H71" s="31" t="s">
        <v>1243</v>
      </c>
      <c r="I71" s="31" t="s">
        <v>1244</v>
      </c>
      <c r="J71" s="22" t="s">
        <v>1245</v>
      </c>
      <c r="K71" s="33" t="s">
        <v>127</v>
      </c>
      <c r="L71" s="33" t="s">
        <v>782</v>
      </c>
      <c r="M71" s="33" t="s">
        <v>1205</v>
      </c>
      <c r="N71" s="33" t="s">
        <v>883</v>
      </c>
      <c r="O71" s="22"/>
      <c r="P71" s="22">
        <v>243</v>
      </c>
      <c r="Q71" s="39">
        <v>45362</v>
      </c>
      <c r="R71" s="22" t="s">
        <v>1249</v>
      </c>
      <c r="S71" s="22"/>
      <c r="T71" s="22" t="s">
        <v>1246</v>
      </c>
      <c r="U71" s="31" t="s">
        <v>1247</v>
      </c>
      <c r="V71" s="31" t="s">
        <v>1248</v>
      </c>
      <c r="W71" s="42" t="s">
        <v>1588</v>
      </c>
      <c r="X71" s="45" t="s">
        <v>1587</v>
      </c>
    </row>
    <row r="72" spans="1:25" ht="42.75">
      <c r="A72" s="22">
        <v>71</v>
      </c>
      <c r="B72" s="22" t="s">
        <v>1250</v>
      </c>
      <c r="C72" s="22"/>
      <c r="D72" s="22" t="s">
        <v>493</v>
      </c>
      <c r="E72" s="22" t="s">
        <v>511</v>
      </c>
      <c r="F72" s="31" t="s">
        <v>4225</v>
      </c>
      <c r="G72" s="22" t="s">
        <v>755</v>
      </c>
      <c r="H72" s="31" t="s">
        <v>1251</v>
      </c>
      <c r="I72" s="31" t="s">
        <v>1003</v>
      </c>
      <c r="J72" s="22" t="s">
        <v>1252</v>
      </c>
      <c r="K72" s="33" t="s">
        <v>137</v>
      </c>
      <c r="L72" s="33" t="s">
        <v>758</v>
      </c>
      <c r="M72" s="33" t="s">
        <v>1213</v>
      </c>
      <c r="N72" s="33" t="s">
        <v>1205</v>
      </c>
      <c r="O72" s="33" t="s">
        <v>782</v>
      </c>
      <c r="P72" s="22"/>
      <c r="Q72" s="22"/>
      <c r="R72" s="22"/>
      <c r="S72" s="31" t="s">
        <v>1256</v>
      </c>
      <c r="T72" s="22" t="s">
        <v>1313</v>
      </c>
      <c r="U72" s="31" t="s">
        <v>1253</v>
      </c>
      <c r="V72" s="22"/>
      <c r="W72" s="45" t="s">
        <v>1255</v>
      </c>
    </row>
    <row r="73" spans="1:25" ht="42.75">
      <c r="A73" s="22">
        <v>72</v>
      </c>
      <c r="B73" s="22" t="s">
        <v>1257</v>
      </c>
      <c r="C73" s="22"/>
      <c r="D73" s="22" t="s">
        <v>492</v>
      </c>
      <c r="E73" s="22" t="s">
        <v>511</v>
      </c>
      <c r="F73" s="31" t="s">
        <v>4227</v>
      </c>
      <c r="G73" s="22" t="s">
        <v>757</v>
      </c>
      <c r="H73" s="32" t="s">
        <v>1258</v>
      </c>
      <c r="I73" s="31" t="s">
        <v>780</v>
      </c>
      <c r="J73" s="22" t="s">
        <v>1259</v>
      </c>
      <c r="K73" s="36" t="s">
        <v>193</v>
      </c>
      <c r="L73" s="33" t="s">
        <v>758</v>
      </c>
      <c r="M73" s="33" t="s">
        <v>883</v>
      </c>
      <c r="N73" s="33" t="s">
        <v>795</v>
      </c>
      <c r="O73" s="22"/>
      <c r="P73" s="22"/>
      <c r="Q73" s="22"/>
      <c r="R73" s="22"/>
      <c r="S73" s="31" t="s">
        <v>1260</v>
      </c>
      <c r="T73" s="22" t="s">
        <v>1261</v>
      </c>
      <c r="U73" s="31" t="s">
        <v>2373</v>
      </c>
      <c r="V73" s="22"/>
      <c r="W73" s="42" t="s">
        <v>1590</v>
      </c>
      <c r="X73" s="45" t="s">
        <v>1591</v>
      </c>
      <c r="Y73" s="45" t="s">
        <v>1589</v>
      </c>
    </row>
    <row r="74" spans="1:25" ht="42.75">
      <c r="A74" s="22">
        <v>73</v>
      </c>
      <c r="B74" s="31" t="s">
        <v>1262</v>
      </c>
      <c r="C74" s="22" t="s">
        <v>1267</v>
      </c>
      <c r="D74" s="22" t="s">
        <v>493</v>
      </c>
      <c r="E74" s="22" t="s">
        <v>511</v>
      </c>
      <c r="F74" s="31" t="s">
        <v>4226</v>
      </c>
      <c r="G74" s="22" t="s">
        <v>757</v>
      </c>
      <c r="H74" s="32" t="s">
        <v>1263</v>
      </c>
      <c r="I74" s="31" t="s">
        <v>780</v>
      </c>
      <c r="J74" s="22" t="s">
        <v>1264</v>
      </c>
      <c r="K74" s="36" t="s">
        <v>193</v>
      </c>
      <c r="L74" s="33" t="s">
        <v>758</v>
      </c>
      <c r="M74" s="33" t="s">
        <v>883</v>
      </c>
      <c r="N74" s="33" t="s">
        <v>795</v>
      </c>
      <c r="O74" s="33" t="s">
        <v>785</v>
      </c>
      <c r="P74" s="22"/>
      <c r="Q74" s="22"/>
      <c r="R74" s="22"/>
      <c r="S74" s="22"/>
      <c r="T74" s="22" t="s">
        <v>1266</v>
      </c>
      <c r="U74" s="31" t="s">
        <v>1265</v>
      </c>
      <c r="W74" s="42" t="s">
        <v>1593</v>
      </c>
      <c r="X74" s="45" t="s">
        <v>1594</v>
      </c>
      <c r="Y74" s="45" t="s">
        <v>1592</v>
      </c>
    </row>
    <row r="75" spans="1:25" ht="57">
      <c r="A75" s="22">
        <v>74</v>
      </c>
      <c r="B75" s="22" t="s">
        <v>1268</v>
      </c>
      <c r="C75" s="22"/>
      <c r="D75" s="22" t="s">
        <v>492</v>
      </c>
      <c r="E75" s="22" t="s">
        <v>511</v>
      </c>
      <c r="F75" s="31" t="s">
        <v>4228</v>
      </c>
      <c r="G75" s="22" t="s">
        <v>757</v>
      </c>
      <c r="H75" s="32" t="s">
        <v>1271</v>
      </c>
      <c r="I75" s="31" t="s">
        <v>803</v>
      </c>
      <c r="J75" s="22" t="s">
        <v>1273</v>
      </c>
      <c r="K75" s="33" t="s">
        <v>177</v>
      </c>
      <c r="L75" s="33" t="s">
        <v>785</v>
      </c>
      <c r="M75" s="33" t="s">
        <v>883</v>
      </c>
      <c r="N75" s="33" t="s">
        <v>795</v>
      </c>
      <c r="O75" s="22"/>
      <c r="P75" s="22"/>
      <c r="Q75" s="22"/>
      <c r="R75" s="22"/>
      <c r="S75" s="22" t="s">
        <v>1279</v>
      </c>
      <c r="T75" s="22" t="s">
        <v>1277</v>
      </c>
      <c r="U75" s="31" t="s">
        <v>1275</v>
      </c>
      <c r="V75" s="22"/>
      <c r="W75" s="42" t="s">
        <v>1596</v>
      </c>
      <c r="X75" s="45" t="s">
        <v>1597</v>
      </c>
      <c r="Y75" s="45" t="s">
        <v>1595</v>
      </c>
    </row>
    <row r="76" spans="1:25" ht="71.25">
      <c r="A76" s="22">
        <v>75</v>
      </c>
      <c r="B76" s="22" t="s">
        <v>1269</v>
      </c>
      <c r="C76" s="22"/>
      <c r="D76" s="22" t="s">
        <v>492</v>
      </c>
      <c r="E76" s="22" t="s">
        <v>511</v>
      </c>
      <c r="F76" s="31" t="s">
        <v>1270</v>
      </c>
      <c r="G76" s="22" t="s">
        <v>757</v>
      </c>
      <c r="H76" s="32" t="s">
        <v>1272</v>
      </c>
      <c r="I76" s="31" t="s">
        <v>803</v>
      </c>
      <c r="J76" s="22" t="s">
        <v>1274</v>
      </c>
      <c r="K76" s="33" t="s">
        <v>177</v>
      </c>
      <c r="L76" s="33" t="s">
        <v>1024</v>
      </c>
      <c r="M76" s="33" t="s">
        <v>883</v>
      </c>
      <c r="N76" s="33" t="s">
        <v>795</v>
      </c>
      <c r="O76" s="22"/>
      <c r="P76" s="22"/>
      <c r="Q76" s="22"/>
      <c r="R76" s="22"/>
      <c r="S76" s="22"/>
      <c r="T76" s="22" t="s">
        <v>1278</v>
      </c>
      <c r="U76" s="31" t="s">
        <v>1276</v>
      </c>
      <c r="V76" s="31" t="s">
        <v>1280</v>
      </c>
      <c r="W76" s="42" t="s">
        <v>1600</v>
      </c>
      <c r="X76" s="45" t="s">
        <v>1599</v>
      </c>
    </row>
    <row r="77" spans="1:25" ht="57">
      <c r="A77" s="22">
        <v>76</v>
      </c>
      <c r="B77" s="31" t="s">
        <v>1284</v>
      </c>
      <c r="C77" s="22">
        <v>40145</v>
      </c>
      <c r="D77" s="22" t="s">
        <v>492</v>
      </c>
      <c r="E77" s="22" t="s">
        <v>511</v>
      </c>
      <c r="F77" s="31" t="s">
        <v>1281</v>
      </c>
      <c r="G77" s="22" t="s">
        <v>757</v>
      </c>
      <c r="H77" s="32" t="s">
        <v>1282</v>
      </c>
      <c r="I77" s="31" t="s">
        <v>780</v>
      </c>
      <c r="J77" s="22" t="s">
        <v>1283</v>
      </c>
      <c r="K77" s="33" t="s">
        <v>268</v>
      </c>
      <c r="L77" s="33" t="s">
        <v>782</v>
      </c>
      <c r="M77" s="33" t="s">
        <v>795</v>
      </c>
      <c r="N77" s="33" t="s">
        <v>1410</v>
      </c>
      <c r="O77" s="36" t="s">
        <v>1289</v>
      </c>
      <c r="P77" s="22"/>
      <c r="Q77" s="22"/>
      <c r="R77" s="22"/>
      <c r="S77" s="31" t="s">
        <v>1053</v>
      </c>
      <c r="T77" s="22" t="s">
        <v>1285</v>
      </c>
      <c r="U77" s="31" t="s">
        <v>1287</v>
      </c>
      <c r="V77" s="22" t="s">
        <v>1286</v>
      </c>
      <c r="W77" s="42" t="s">
        <v>1602</v>
      </c>
      <c r="X77" s="45" t="s">
        <v>1603</v>
      </c>
      <c r="Y77" s="45" t="s">
        <v>1601</v>
      </c>
    </row>
    <row r="78" spans="1:25" ht="57">
      <c r="A78" s="22">
        <v>77</v>
      </c>
      <c r="B78" s="31" t="s">
        <v>1290</v>
      </c>
      <c r="C78" s="22">
        <v>50111</v>
      </c>
      <c r="D78" s="22" t="s">
        <v>492</v>
      </c>
      <c r="E78" s="22" t="s">
        <v>510</v>
      </c>
      <c r="F78" s="31" t="s">
        <v>4229</v>
      </c>
      <c r="G78" s="22" t="s">
        <v>757</v>
      </c>
      <c r="H78" s="32" t="s">
        <v>1291</v>
      </c>
      <c r="I78" s="31" t="s">
        <v>780</v>
      </c>
      <c r="J78" s="22" t="s">
        <v>1292</v>
      </c>
      <c r="K78" s="33" t="s">
        <v>174</v>
      </c>
      <c r="L78" s="33" t="s">
        <v>758</v>
      </c>
      <c r="M78" s="33" t="s">
        <v>883</v>
      </c>
      <c r="N78" s="33" t="s">
        <v>795</v>
      </c>
      <c r="O78" s="33" t="s">
        <v>782</v>
      </c>
      <c r="P78" s="22">
        <v>0</v>
      </c>
      <c r="Q78" s="33" t="s">
        <v>1294</v>
      </c>
      <c r="R78" s="36" t="s">
        <v>1293</v>
      </c>
      <c r="S78" s="31" t="s">
        <v>976</v>
      </c>
      <c r="T78" s="22" t="s">
        <v>1295</v>
      </c>
      <c r="U78" s="31" t="s">
        <v>1296</v>
      </c>
      <c r="V78" s="22"/>
      <c r="W78" s="42" t="s">
        <v>1606</v>
      </c>
      <c r="X78" s="45" t="s">
        <v>1605</v>
      </c>
    </row>
    <row r="79" spans="1:25" ht="42.75">
      <c r="A79" s="22">
        <v>78</v>
      </c>
      <c r="B79" s="22" t="s">
        <v>1297</v>
      </c>
      <c r="C79" s="22"/>
      <c r="D79" s="22" t="s">
        <v>492</v>
      </c>
      <c r="E79" s="22" t="s">
        <v>510</v>
      </c>
      <c r="F79" s="31" t="s">
        <v>4230</v>
      </c>
      <c r="G79" s="22" t="s">
        <v>757</v>
      </c>
      <c r="H79" s="32" t="s">
        <v>1298</v>
      </c>
      <c r="I79" s="31" t="s">
        <v>824</v>
      </c>
      <c r="J79" s="22" t="s">
        <v>1299</v>
      </c>
      <c r="K79" s="33" t="s">
        <v>174</v>
      </c>
      <c r="L79" s="33" t="s">
        <v>758</v>
      </c>
      <c r="M79" s="33" t="s">
        <v>883</v>
      </c>
      <c r="N79" s="33" t="s">
        <v>795</v>
      </c>
      <c r="O79" s="33" t="s">
        <v>782</v>
      </c>
      <c r="P79" s="22">
        <v>270</v>
      </c>
      <c r="Q79" s="33" t="s">
        <v>1300</v>
      </c>
      <c r="R79" s="36" t="s">
        <v>1301</v>
      </c>
      <c r="S79" s="22"/>
      <c r="T79" s="22" t="s">
        <v>1302</v>
      </c>
      <c r="U79" s="31" t="s">
        <v>2374</v>
      </c>
      <c r="V79" s="22"/>
      <c r="W79" s="42" t="s">
        <v>1608</v>
      </c>
      <c r="X79" s="45" t="s">
        <v>1609</v>
      </c>
      <c r="Y79" s="45" t="s">
        <v>1607</v>
      </c>
    </row>
    <row r="80" spans="1:25" ht="57">
      <c r="A80" s="22">
        <v>79</v>
      </c>
      <c r="B80" s="22" t="s">
        <v>1303</v>
      </c>
      <c r="C80" s="22" t="s">
        <v>1304</v>
      </c>
      <c r="D80" s="22" t="s">
        <v>492</v>
      </c>
      <c r="E80" s="22" t="s">
        <v>511</v>
      </c>
      <c r="F80" s="31" t="s">
        <v>1305</v>
      </c>
      <c r="G80" s="22" t="s">
        <v>757</v>
      </c>
      <c r="H80" s="32" t="s">
        <v>1306</v>
      </c>
      <c r="I80" s="31" t="s">
        <v>780</v>
      </c>
      <c r="J80" s="22" t="s">
        <v>1307</v>
      </c>
      <c r="K80" s="33" t="s">
        <v>159</v>
      </c>
      <c r="L80" s="33" t="s">
        <v>758</v>
      </c>
      <c r="M80" s="33" t="s">
        <v>925</v>
      </c>
      <c r="N80" s="33" t="s">
        <v>1404</v>
      </c>
      <c r="O80" s="33" t="s">
        <v>782</v>
      </c>
      <c r="P80" s="22">
        <v>430</v>
      </c>
      <c r="Q80" s="22" t="s">
        <v>5162</v>
      </c>
      <c r="R80" s="22"/>
      <c r="S80" s="31" t="s">
        <v>1309</v>
      </c>
      <c r="T80" s="22" t="s">
        <v>1308</v>
      </c>
      <c r="U80" s="31" t="s">
        <v>946</v>
      </c>
      <c r="V80" s="22"/>
      <c r="W80" s="42" t="s">
        <v>1611</v>
      </c>
      <c r="X80" s="45" t="s">
        <v>1612</v>
      </c>
      <c r="Y80" s="45" t="s">
        <v>1610</v>
      </c>
    </row>
    <row r="81" spans="1:24" ht="28.5">
      <c r="A81" s="22">
        <v>80</v>
      </c>
      <c r="B81" s="22" t="s">
        <v>1310</v>
      </c>
      <c r="C81" s="22"/>
      <c r="D81" s="22" t="s">
        <v>493</v>
      </c>
      <c r="E81" s="22" t="s">
        <v>511</v>
      </c>
      <c r="F81" s="31" t="s">
        <v>1311</v>
      </c>
      <c r="G81" s="22" t="s">
        <v>755</v>
      </c>
      <c r="H81" s="35" t="s">
        <v>1315</v>
      </c>
      <c r="I81" s="31" t="s">
        <v>1003</v>
      </c>
      <c r="J81" s="22" t="s">
        <v>1312</v>
      </c>
      <c r="K81" s="33" t="s">
        <v>372</v>
      </c>
      <c r="L81" s="33" t="s">
        <v>758</v>
      </c>
      <c r="M81" s="33" t="s">
        <v>1205</v>
      </c>
      <c r="N81" s="33" t="s">
        <v>1411</v>
      </c>
      <c r="O81" s="22"/>
      <c r="P81" s="22">
        <v>350</v>
      </c>
      <c r="Q81" s="51">
        <v>44256</v>
      </c>
      <c r="R81" s="22" t="s">
        <v>1797</v>
      </c>
      <c r="S81" s="22" t="s">
        <v>1844</v>
      </c>
      <c r="T81" s="22" t="s">
        <v>1314</v>
      </c>
      <c r="U81" s="31"/>
      <c r="W81" s="42" t="s">
        <v>1614</v>
      </c>
      <c r="X81" s="45" t="s">
        <v>1613</v>
      </c>
    </row>
    <row r="82" spans="1:24" ht="28.5">
      <c r="A82" s="22">
        <v>81</v>
      </c>
      <c r="B82" s="22" t="s">
        <v>1316</v>
      </c>
      <c r="C82" s="22" t="s">
        <v>1317</v>
      </c>
      <c r="D82" s="22" t="s">
        <v>493</v>
      </c>
      <c r="E82" s="22" t="s">
        <v>511</v>
      </c>
      <c r="F82" s="31" t="s">
        <v>1318</v>
      </c>
      <c r="G82" s="22" t="s">
        <v>755</v>
      </c>
      <c r="H82" s="35" t="s">
        <v>1319</v>
      </c>
      <c r="I82" s="31" t="s">
        <v>1003</v>
      </c>
      <c r="J82" s="22" t="s">
        <v>1320</v>
      </c>
      <c r="K82" s="33" t="s">
        <v>88</v>
      </c>
      <c r="L82" s="33" t="s">
        <v>782</v>
      </c>
      <c r="M82" s="33" t="s">
        <v>883</v>
      </c>
      <c r="N82" s="33" t="s">
        <v>795</v>
      </c>
      <c r="O82" s="22"/>
      <c r="P82" s="22"/>
      <c r="Q82" s="22"/>
      <c r="R82" s="22"/>
      <c r="S82" s="22"/>
      <c r="T82" s="22" t="s">
        <v>1324</v>
      </c>
      <c r="U82" s="31"/>
      <c r="W82" s="42" t="s">
        <v>1615</v>
      </c>
      <c r="X82" s="45" t="s">
        <v>1604</v>
      </c>
    </row>
    <row r="83" spans="1:24" ht="28.5">
      <c r="A83" s="22">
        <v>82</v>
      </c>
      <c r="B83" s="22" t="s">
        <v>1325</v>
      </c>
      <c r="C83" s="22"/>
      <c r="D83" s="22" t="s">
        <v>493</v>
      </c>
      <c r="E83" s="22" t="s">
        <v>511</v>
      </c>
      <c r="F83" s="31" t="s">
        <v>1326</v>
      </c>
      <c r="G83" s="22" t="s">
        <v>755</v>
      </c>
      <c r="H83" s="35" t="s">
        <v>1327</v>
      </c>
      <c r="I83" s="31" t="s">
        <v>1003</v>
      </c>
      <c r="J83" s="22" t="s">
        <v>1328</v>
      </c>
      <c r="K83" s="33" t="s">
        <v>175</v>
      </c>
      <c r="L83" s="33" t="s">
        <v>758</v>
      </c>
      <c r="M83" s="33" t="s">
        <v>855</v>
      </c>
      <c r="N83" s="33" t="s">
        <v>1404</v>
      </c>
      <c r="O83" s="22"/>
      <c r="P83" s="22">
        <v>177</v>
      </c>
      <c r="Q83" s="22" t="s">
        <v>1804</v>
      </c>
      <c r="R83" s="22" t="s">
        <v>1797</v>
      </c>
      <c r="S83" s="22" t="s">
        <v>939</v>
      </c>
      <c r="T83" s="22" t="s">
        <v>2023</v>
      </c>
      <c r="U83" s="31" t="s">
        <v>1329</v>
      </c>
      <c r="W83" s="42" t="s">
        <v>1598</v>
      </c>
      <c r="X83" s="45" t="s">
        <v>1616</v>
      </c>
    </row>
    <row r="84" spans="1:24" ht="42.75">
      <c r="A84" s="22">
        <v>83</v>
      </c>
      <c r="B84" s="22" t="s">
        <v>1330</v>
      </c>
      <c r="C84" s="22"/>
      <c r="D84" s="22" t="s">
        <v>493</v>
      </c>
      <c r="E84" s="22" t="s">
        <v>511</v>
      </c>
      <c r="F84" s="31" t="s">
        <v>1331</v>
      </c>
      <c r="G84" s="22" t="s">
        <v>755</v>
      </c>
      <c r="H84" s="35" t="s">
        <v>1332</v>
      </c>
      <c r="I84" s="31" t="s">
        <v>1333</v>
      </c>
      <c r="J84" s="22" t="s">
        <v>1334</v>
      </c>
      <c r="K84" s="33" t="s">
        <v>1335</v>
      </c>
      <c r="L84" s="33" t="s">
        <v>758</v>
      </c>
      <c r="M84" s="33" t="s">
        <v>925</v>
      </c>
      <c r="N84" s="33" t="s">
        <v>1404</v>
      </c>
      <c r="O84" s="33" t="s">
        <v>758</v>
      </c>
      <c r="P84" s="22"/>
      <c r="Q84" s="22"/>
      <c r="R84" s="22"/>
      <c r="S84" s="31" t="s">
        <v>1336</v>
      </c>
      <c r="T84" s="22"/>
      <c r="U84" s="31"/>
      <c r="W84" s="42" t="s">
        <v>1618</v>
      </c>
      <c r="X84" s="45" t="s">
        <v>1617</v>
      </c>
    </row>
    <row r="85" spans="1:24" ht="42.75">
      <c r="A85" s="22">
        <v>84</v>
      </c>
      <c r="B85" s="22" t="s">
        <v>1337</v>
      </c>
      <c r="C85" s="22"/>
      <c r="D85" s="22" t="s">
        <v>492</v>
      </c>
      <c r="E85" s="22" t="s">
        <v>511</v>
      </c>
      <c r="F85" s="31" t="s">
        <v>1338</v>
      </c>
      <c r="G85" s="22" t="s">
        <v>755</v>
      </c>
      <c r="H85" s="35" t="s">
        <v>1339</v>
      </c>
      <c r="I85" s="31" t="s">
        <v>1340</v>
      </c>
      <c r="J85" s="22" t="s">
        <v>1341</v>
      </c>
      <c r="K85" s="33" t="s">
        <v>175</v>
      </c>
      <c r="L85" s="33" t="s">
        <v>758</v>
      </c>
      <c r="M85" s="33" t="s">
        <v>855</v>
      </c>
      <c r="N85" s="33" t="s">
        <v>1404</v>
      </c>
      <c r="O85" s="36" t="s">
        <v>1342</v>
      </c>
      <c r="P85" s="22"/>
      <c r="Q85" s="22"/>
      <c r="R85" s="22"/>
      <c r="S85" s="31" t="s">
        <v>1344</v>
      </c>
      <c r="T85" s="22" t="s">
        <v>1990</v>
      </c>
      <c r="U85" s="31" t="s">
        <v>2375</v>
      </c>
      <c r="W85" s="45" t="s">
        <v>1343</v>
      </c>
    </row>
    <row r="86" spans="1:24" ht="42.75">
      <c r="A86" s="22">
        <v>85</v>
      </c>
      <c r="B86" s="22" t="s">
        <v>1345</v>
      </c>
      <c r="C86" s="22"/>
      <c r="D86" s="22" t="s">
        <v>493</v>
      </c>
      <c r="E86" s="22" t="s">
        <v>511</v>
      </c>
      <c r="F86" s="31" t="s">
        <v>1346</v>
      </c>
      <c r="G86" s="22" t="s">
        <v>755</v>
      </c>
      <c r="H86" s="35" t="s">
        <v>1347</v>
      </c>
      <c r="I86" s="31" t="s">
        <v>1348</v>
      </c>
      <c r="J86" s="22" t="s">
        <v>1349</v>
      </c>
      <c r="K86" s="33" t="s">
        <v>175</v>
      </c>
      <c r="L86" s="33" t="s">
        <v>782</v>
      </c>
      <c r="M86" s="33" t="s">
        <v>855</v>
      </c>
      <c r="N86" s="33" t="s">
        <v>1404</v>
      </c>
      <c r="O86" s="22"/>
      <c r="P86" s="22"/>
      <c r="Q86" s="22"/>
      <c r="R86" s="22"/>
      <c r="S86" s="31" t="s">
        <v>1309</v>
      </c>
      <c r="T86" s="22" t="s">
        <v>2024</v>
      </c>
      <c r="U86" s="31" t="s">
        <v>1350</v>
      </c>
      <c r="W86" s="45" t="s">
        <v>3724</v>
      </c>
      <c r="X86" s="44" t="s">
        <v>3725</v>
      </c>
    </row>
    <row r="87" spans="1:24" ht="42.75">
      <c r="A87" s="22">
        <v>86</v>
      </c>
      <c r="B87" s="22" t="s">
        <v>1351</v>
      </c>
      <c r="C87" s="22"/>
      <c r="D87" s="22" t="s">
        <v>493</v>
      </c>
      <c r="E87" s="22" t="s">
        <v>511</v>
      </c>
      <c r="F87" s="31" t="s">
        <v>4231</v>
      </c>
      <c r="G87" s="22" t="s">
        <v>755</v>
      </c>
      <c r="H87" s="35" t="s">
        <v>1355</v>
      </c>
      <c r="I87" s="31" t="s">
        <v>1348</v>
      </c>
      <c r="J87" s="22" t="s">
        <v>1352</v>
      </c>
      <c r="K87" s="33" t="s">
        <v>175</v>
      </c>
      <c r="L87" s="33" t="s">
        <v>758</v>
      </c>
      <c r="M87" s="33" t="s">
        <v>855</v>
      </c>
      <c r="N87" s="33" t="s">
        <v>1404</v>
      </c>
      <c r="O87" s="22"/>
      <c r="P87" s="22"/>
      <c r="Q87" s="22"/>
      <c r="R87" s="22"/>
      <c r="S87" s="31" t="s">
        <v>1353</v>
      </c>
      <c r="T87" s="22" t="s">
        <v>2025</v>
      </c>
      <c r="U87" s="31" t="s">
        <v>1712</v>
      </c>
      <c r="V87" s="31" t="s">
        <v>1354</v>
      </c>
      <c r="W87" s="42" t="s">
        <v>1620</v>
      </c>
      <c r="X87" s="45" t="s">
        <v>1619</v>
      </c>
    </row>
    <row r="88" spans="1:24" ht="28.5">
      <c r="A88" s="22">
        <v>87</v>
      </c>
      <c r="B88" s="32" t="s">
        <v>1356</v>
      </c>
      <c r="C88" s="22">
        <v>753</v>
      </c>
      <c r="D88" s="22" t="s">
        <v>493</v>
      </c>
      <c r="E88" s="22" t="s">
        <v>511</v>
      </c>
      <c r="F88" s="31" t="s">
        <v>4232</v>
      </c>
      <c r="G88" s="22" t="s">
        <v>755</v>
      </c>
      <c r="H88" s="35" t="s">
        <v>1357</v>
      </c>
      <c r="I88" s="31" t="s">
        <v>1003</v>
      </c>
      <c r="J88" s="22" t="s">
        <v>1358</v>
      </c>
      <c r="K88" s="33"/>
      <c r="L88" s="33" t="s">
        <v>785</v>
      </c>
      <c r="M88" s="33" t="s">
        <v>883</v>
      </c>
      <c r="N88" s="33" t="s">
        <v>795</v>
      </c>
      <c r="O88" s="22"/>
      <c r="P88" s="22"/>
      <c r="Q88" s="33" t="s">
        <v>1360</v>
      </c>
      <c r="R88" s="31" t="s">
        <v>1359</v>
      </c>
      <c r="S88" s="22"/>
      <c r="T88" s="22"/>
      <c r="U88" s="31"/>
      <c r="V88" s="22" t="s">
        <v>1139</v>
      </c>
      <c r="W88" s="42" t="s">
        <v>1622</v>
      </c>
      <c r="X88" s="45" t="s">
        <v>1621</v>
      </c>
    </row>
    <row r="89" spans="1:24" s="22" customFormat="1" ht="42.75">
      <c r="A89" s="22">
        <v>88</v>
      </c>
      <c r="B89" s="22" t="s">
        <v>1361</v>
      </c>
      <c r="D89" s="31" t="s">
        <v>503</v>
      </c>
      <c r="E89" s="22" t="s">
        <v>509</v>
      </c>
      <c r="F89" s="31" t="s">
        <v>4233</v>
      </c>
      <c r="G89" s="22" t="s">
        <v>757</v>
      </c>
      <c r="H89" s="32" t="s">
        <v>1362</v>
      </c>
      <c r="I89" s="31" t="s">
        <v>1363</v>
      </c>
      <c r="J89" s="22" t="s">
        <v>1364</v>
      </c>
      <c r="K89" s="33" t="s">
        <v>156</v>
      </c>
      <c r="L89" s="33" t="s">
        <v>758</v>
      </c>
      <c r="M89" s="33" t="s">
        <v>925</v>
      </c>
      <c r="N89" s="33" t="s">
        <v>1404</v>
      </c>
      <c r="O89" s="33" t="s">
        <v>1024</v>
      </c>
      <c r="S89" s="31" t="s">
        <v>1365</v>
      </c>
      <c r="T89" s="22" t="s">
        <v>1367</v>
      </c>
      <c r="U89" s="31" t="s">
        <v>1366</v>
      </c>
      <c r="W89" s="42" t="s">
        <v>1624</v>
      </c>
      <c r="X89" s="45" t="s">
        <v>1623</v>
      </c>
    </row>
    <row r="90" spans="1:24" ht="42.75">
      <c r="A90" s="22">
        <v>89</v>
      </c>
      <c r="B90" s="22" t="s">
        <v>2361</v>
      </c>
      <c r="C90" s="22"/>
      <c r="D90" s="31" t="s">
        <v>503</v>
      </c>
      <c r="E90" s="22" t="s">
        <v>509</v>
      </c>
      <c r="F90" s="31" t="s">
        <v>4234</v>
      </c>
      <c r="G90" s="22" t="s">
        <v>1089</v>
      </c>
      <c r="H90" s="35" t="s">
        <v>1368</v>
      </c>
      <c r="I90" s="31" t="s">
        <v>824</v>
      </c>
      <c r="J90" s="22" t="s">
        <v>897</v>
      </c>
      <c r="K90" s="33" t="s">
        <v>269</v>
      </c>
      <c r="L90" s="33" t="s">
        <v>785</v>
      </c>
      <c r="M90" s="33" t="s">
        <v>883</v>
      </c>
      <c r="N90" s="33" t="s">
        <v>795</v>
      </c>
      <c r="O90" s="22"/>
      <c r="P90" s="22"/>
      <c r="Q90" s="22"/>
      <c r="R90" s="22"/>
      <c r="S90" s="22"/>
      <c r="T90" s="22"/>
      <c r="U90" s="31"/>
      <c r="V90" s="31" t="s">
        <v>2376</v>
      </c>
      <c r="W90" s="42" t="s">
        <v>1626</v>
      </c>
      <c r="X90" s="45" t="s">
        <v>1625</v>
      </c>
    </row>
    <row r="91" spans="1:24" ht="42.75">
      <c r="A91" s="22">
        <v>90</v>
      </c>
      <c r="B91" s="22" t="s">
        <v>1370</v>
      </c>
      <c r="C91" s="22"/>
      <c r="D91" s="31" t="s">
        <v>503</v>
      </c>
      <c r="E91" s="22" t="s">
        <v>509</v>
      </c>
      <c r="F91" s="31" t="s">
        <v>4235</v>
      </c>
      <c r="G91" s="22" t="s">
        <v>755</v>
      </c>
      <c r="H91" s="35" t="s">
        <v>1371</v>
      </c>
      <c r="I91" s="31" t="s">
        <v>824</v>
      </c>
      <c r="J91" s="22" t="s">
        <v>1372</v>
      </c>
      <c r="K91" s="33" t="s">
        <v>1369</v>
      </c>
      <c r="L91" s="33" t="s">
        <v>758</v>
      </c>
      <c r="M91" s="33" t="s">
        <v>855</v>
      </c>
      <c r="N91" s="33" t="s">
        <v>1404</v>
      </c>
      <c r="O91" s="22"/>
      <c r="P91" s="22"/>
      <c r="Q91" s="22"/>
      <c r="R91" s="22"/>
      <c r="S91" s="22"/>
      <c r="T91" s="22" t="s">
        <v>1373</v>
      </c>
      <c r="U91" s="31"/>
      <c r="V91" s="22"/>
      <c r="W91" s="45" t="s">
        <v>1374</v>
      </c>
    </row>
    <row r="92" spans="1:24" ht="42.75">
      <c r="A92" s="22">
        <v>91</v>
      </c>
      <c r="B92" s="22" t="s">
        <v>1380</v>
      </c>
      <c r="C92" s="22"/>
      <c r="D92" s="31" t="s">
        <v>503</v>
      </c>
      <c r="E92" s="22" t="s">
        <v>509</v>
      </c>
      <c r="F92" s="31" t="s">
        <v>4236</v>
      </c>
      <c r="G92" s="22" t="s">
        <v>755</v>
      </c>
      <c r="H92" s="35" t="s">
        <v>1381</v>
      </c>
      <c r="I92" s="31" t="s">
        <v>1003</v>
      </c>
      <c r="J92" s="22" t="s">
        <v>1382</v>
      </c>
      <c r="K92" s="33" t="s">
        <v>1378</v>
      </c>
      <c r="L92" s="33" t="s">
        <v>785</v>
      </c>
      <c r="M92" s="33" t="s">
        <v>1152</v>
      </c>
      <c r="N92" s="33" t="s">
        <v>1412</v>
      </c>
      <c r="O92" s="22"/>
      <c r="P92" s="22"/>
      <c r="Q92" s="22"/>
      <c r="R92" s="22"/>
      <c r="S92" s="31" t="s">
        <v>986</v>
      </c>
      <c r="T92" s="22"/>
      <c r="U92" s="31"/>
      <c r="V92" s="22"/>
      <c r="W92" s="42" t="s">
        <v>1628</v>
      </c>
      <c r="X92" s="45" t="s">
        <v>1627</v>
      </c>
    </row>
    <row r="93" spans="1:24" ht="42.75">
      <c r="A93" s="22">
        <v>92</v>
      </c>
      <c r="B93" s="38" t="s">
        <v>1695</v>
      </c>
      <c r="C93" s="22"/>
      <c r="D93" s="31" t="s">
        <v>503</v>
      </c>
      <c r="E93" s="22" t="s">
        <v>509</v>
      </c>
      <c r="F93" s="31" t="s">
        <v>4237</v>
      </c>
      <c r="G93" s="22" t="s">
        <v>1089</v>
      </c>
      <c r="H93" s="35" t="s">
        <v>1383</v>
      </c>
      <c r="I93" s="31" t="s">
        <v>1003</v>
      </c>
      <c r="J93" s="22" t="s">
        <v>1384</v>
      </c>
      <c r="K93" s="33" t="s">
        <v>614</v>
      </c>
      <c r="L93" s="33" t="s">
        <v>785</v>
      </c>
      <c r="M93" s="33" t="s">
        <v>1385</v>
      </c>
      <c r="N93" s="33" t="s">
        <v>1413</v>
      </c>
      <c r="O93" s="22"/>
      <c r="P93" s="22"/>
      <c r="Q93" s="22"/>
      <c r="R93" s="22"/>
      <c r="S93" s="22"/>
      <c r="T93" s="22" t="s">
        <v>1386</v>
      </c>
      <c r="U93" s="31"/>
      <c r="W93" s="42" t="s">
        <v>1630</v>
      </c>
      <c r="X93" s="45" t="s">
        <v>1629</v>
      </c>
    </row>
    <row r="94" spans="1:24" ht="42.75">
      <c r="A94" s="22">
        <v>93</v>
      </c>
      <c r="B94" s="32" t="s">
        <v>1694</v>
      </c>
      <c r="C94" s="22"/>
      <c r="D94" s="31" t="s">
        <v>503</v>
      </c>
      <c r="E94" s="22" t="s">
        <v>509</v>
      </c>
      <c r="F94" s="31" t="s">
        <v>4238</v>
      </c>
      <c r="G94" s="22" t="s">
        <v>1089</v>
      </c>
      <c r="H94" s="31" t="s">
        <v>1383</v>
      </c>
      <c r="I94" s="31" t="s">
        <v>1003</v>
      </c>
      <c r="J94" s="22" t="s">
        <v>1387</v>
      </c>
      <c r="K94" s="33" t="s">
        <v>614</v>
      </c>
      <c r="L94" s="33" t="s">
        <v>785</v>
      </c>
      <c r="M94" s="33" t="s">
        <v>1385</v>
      </c>
      <c r="N94" s="33" t="s">
        <v>1413</v>
      </c>
      <c r="O94" s="22"/>
      <c r="P94" s="22"/>
      <c r="Q94" s="22"/>
      <c r="R94" s="22"/>
      <c r="S94" s="22"/>
      <c r="T94" s="22" t="s">
        <v>1388</v>
      </c>
      <c r="U94" s="31"/>
      <c r="V94" s="22"/>
      <c r="W94" s="42" t="s">
        <v>1632</v>
      </c>
      <c r="X94" s="45" t="s">
        <v>1631</v>
      </c>
    </row>
    <row r="95" spans="1:24" ht="42.75">
      <c r="A95" s="22">
        <v>94</v>
      </c>
      <c r="B95" s="31" t="s">
        <v>1389</v>
      </c>
      <c r="C95" s="22">
        <v>2049</v>
      </c>
      <c r="D95" s="31" t="s">
        <v>503</v>
      </c>
      <c r="E95" s="22" t="s">
        <v>509</v>
      </c>
      <c r="F95" s="31" t="s">
        <v>4239</v>
      </c>
      <c r="G95" s="22" t="s">
        <v>755</v>
      </c>
      <c r="H95" s="31" t="s">
        <v>1390</v>
      </c>
      <c r="I95" s="31" t="s">
        <v>1340</v>
      </c>
      <c r="J95" s="22" t="s">
        <v>1391</v>
      </c>
      <c r="K95" s="33" t="s">
        <v>178</v>
      </c>
      <c r="L95" s="33" t="s">
        <v>758</v>
      </c>
      <c r="M95" s="33" t="s">
        <v>855</v>
      </c>
      <c r="N95" s="33" t="s">
        <v>1404</v>
      </c>
      <c r="O95" s="22"/>
      <c r="P95" s="22"/>
      <c r="Q95" s="22"/>
      <c r="R95" s="22"/>
      <c r="S95" s="31" t="s">
        <v>1392</v>
      </c>
      <c r="T95" s="22" t="s">
        <v>3430</v>
      </c>
      <c r="U95" s="31"/>
      <c r="V95" s="22"/>
      <c r="W95" s="42" t="s">
        <v>1634</v>
      </c>
      <c r="X95" s="45" t="s">
        <v>1633</v>
      </c>
    </row>
    <row r="96" spans="1:24" ht="42.75">
      <c r="A96" s="22">
        <v>95</v>
      </c>
      <c r="B96" s="22" t="s">
        <v>1393</v>
      </c>
      <c r="C96" s="22">
        <v>2106</v>
      </c>
      <c r="D96" s="31" t="s">
        <v>503</v>
      </c>
      <c r="E96" s="22" t="s">
        <v>509</v>
      </c>
      <c r="F96" s="31" t="s">
        <v>4240</v>
      </c>
      <c r="G96" s="22" t="s">
        <v>755</v>
      </c>
      <c r="H96" s="31" t="s">
        <v>1395</v>
      </c>
      <c r="I96" s="31" t="s">
        <v>824</v>
      </c>
      <c r="J96" s="22" t="s">
        <v>1394</v>
      </c>
      <c r="K96" s="33" t="s">
        <v>178</v>
      </c>
      <c r="L96" s="33" t="s">
        <v>758</v>
      </c>
      <c r="M96" s="33" t="s">
        <v>925</v>
      </c>
      <c r="N96" s="33" t="s">
        <v>1399</v>
      </c>
      <c r="O96" s="22"/>
      <c r="P96" s="22"/>
      <c r="Q96" s="22"/>
      <c r="R96" s="22"/>
      <c r="S96" s="31" t="s">
        <v>1397</v>
      </c>
      <c r="T96" s="22" t="s">
        <v>3431</v>
      </c>
      <c r="U96" s="31"/>
      <c r="V96" s="22"/>
      <c r="W96" s="42" t="s">
        <v>1636</v>
      </c>
      <c r="X96" s="45" t="s">
        <v>1635</v>
      </c>
    </row>
    <row r="97" spans="1:26" ht="42.75">
      <c r="A97" s="22">
        <v>96</v>
      </c>
      <c r="B97" s="22" t="s">
        <v>1398</v>
      </c>
      <c r="C97" s="22">
        <v>2123</v>
      </c>
      <c r="D97" s="31" t="s">
        <v>503</v>
      </c>
      <c r="E97" s="22" t="s">
        <v>509</v>
      </c>
      <c r="F97" s="31" t="s">
        <v>4241</v>
      </c>
      <c r="G97" s="22" t="s">
        <v>755</v>
      </c>
      <c r="H97" s="31" t="s">
        <v>1638</v>
      </c>
      <c r="I97" s="31" t="s">
        <v>824</v>
      </c>
      <c r="J97" s="22" t="s">
        <v>1400</v>
      </c>
      <c r="K97" s="33" t="s">
        <v>178</v>
      </c>
      <c r="L97" s="33" t="s">
        <v>785</v>
      </c>
      <c r="M97" s="33" t="s">
        <v>1399</v>
      </c>
      <c r="N97" s="33" t="s">
        <v>1414</v>
      </c>
      <c r="O97" s="22"/>
      <c r="P97" s="22"/>
      <c r="Q97" s="22"/>
      <c r="R97" s="22"/>
      <c r="S97" s="22"/>
      <c r="T97" s="22"/>
      <c r="U97" s="31"/>
      <c r="V97" s="22"/>
      <c r="W97" s="45" t="s">
        <v>1401</v>
      </c>
    </row>
    <row r="98" spans="1:26" ht="28.5">
      <c r="A98" s="22">
        <v>97</v>
      </c>
      <c r="B98" s="31" t="s">
        <v>1637</v>
      </c>
      <c r="C98" s="22"/>
      <c r="D98" s="22" t="s">
        <v>492</v>
      </c>
      <c r="E98" s="22" t="s">
        <v>511</v>
      </c>
      <c r="F98" s="31" t="s">
        <v>4242</v>
      </c>
      <c r="G98" s="22" t="s">
        <v>757</v>
      </c>
      <c r="H98" s="32" t="s">
        <v>1639</v>
      </c>
      <c r="I98" s="31" t="s">
        <v>1640</v>
      </c>
      <c r="J98" s="22" t="s">
        <v>1641</v>
      </c>
      <c r="K98" s="33"/>
      <c r="L98" s="33" t="s">
        <v>758</v>
      </c>
      <c r="M98" s="33" t="s">
        <v>967</v>
      </c>
      <c r="N98" s="33" t="s">
        <v>1643</v>
      </c>
      <c r="O98" s="22" t="s">
        <v>782</v>
      </c>
      <c r="P98" s="22"/>
      <c r="Q98" s="22"/>
      <c r="R98" s="22"/>
      <c r="S98" s="31" t="s">
        <v>1642</v>
      </c>
      <c r="T98" s="22"/>
      <c r="U98" s="31" t="s">
        <v>1699</v>
      </c>
      <c r="V98" s="22"/>
      <c r="W98" s="22"/>
    </row>
    <row r="99" spans="1:26" ht="28.5">
      <c r="A99" s="22">
        <v>98</v>
      </c>
      <c r="B99" s="38" t="s">
        <v>1644</v>
      </c>
      <c r="C99" s="22">
        <v>304</v>
      </c>
      <c r="D99" s="22" t="s">
        <v>493</v>
      </c>
      <c r="E99" s="22" t="s">
        <v>511</v>
      </c>
      <c r="F99" s="31" t="s">
        <v>4243</v>
      </c>
      <c r="G99" s="22" t="s">
        <v>755</v>
      </c>
      <c r="H99" s="31" t="s">
        <v>1645</v>
      </c>
      <c r="I99" s="31" t="s">
        <v>1646</v>
      </c>
      <c r="J99" s="22" t="s">
        <v>1647</v>
      </c>
      <c r="K99" s="33"/>
      <c r="L99" s="33" t="s">
        <v>758</v>
      </c>
      <c r="M99" s="33" t="s">
        <v>925</v>
      </c>
      <c r="N99" s="33" t="s">
        <v>1399</v>
      </c>
      <c r="O99" s="22" t="s">
        <v>758</v>
      </c>
      <c r="P99" s="22"/>
      <c r="Q99" s="22"/>
      <c r="R99" s="22"/>
      <c r="S99" s="31" t="s">
        <v>986</v>
      </c>
      <c r="T99" s="22"/>
      <c r="U99" s="31" t="s">
        <v>1681</v>
      </c>
      <c r="V99" s="22" t="s">
        <v>1648</v>
      </c>
      <c r="W99" s="45" t="s">
        <v>1652</v>
      </c>
      <c r="X99" s="22"/>
    </row>
    <row r="100" spans="1:26" ht="42.75">
      <c r="A100" s="22">
        <v>99</v>
      </c>
      <c r="B100" s="22" t="s">
        <v>1649</v>
      </c>
      <c r="C100" s="22"/>
      <c r="D100" s="22" t="s">
        <v>492</v>
      </c>
      <c r="E100" s="22" t="s">
        <v>510</v>
      </c>
      <c r="F100" s="31" t="s">
        <v>4244</v>
      </c>
      <c r="G100" s="22" t="s">
        <v>755</v>
      </c>
      <c r="H100" s="31" t="s">
        <v>1651</v>
      </c>
      <c r="I100" s="31" t="s">
        <v>1003</v>
      </c>
      <c r="J100" s="22" t="s">
        <v>1650</v>
      </c>
      <c r="K100" s="33" t="s">
        <v>178</v>
      </c>
      <c r="L100" s="33" t="s">
        <v>758</v>
      </c>
      <c r="M100" s="33" t="s">
        <v>925</v>
      </c>
      <c r="N100" s="33" t="s">
        <v>1396</v>
      </c>
      <c r="O100" s="33" t="s">
        <v>758</v>
      </c>
      <c r="P100" s="22"/>
      <c r="Q100" s="22"/>
      <c r="R100" s="22"/>
      <c r="S100" s="22"/>
      <c r="T100" s="22"/>
      <c r="U100" s="31"/>
      <c r="V100" s="22"/>
      <c r="W100" s="45" t="s">
        <v>1653</v>
      </c>
      <c r="X100" s="45" t="s">
        <v>1654</v>
      </c>
    </row>
    <row r="101" spans="1:26" ht="42.75">
      <c r="A101" s="22">
        <v>100</v>
      </c>
      <c r="B101" s="31" t="s">
        <v>1655</v>
      </c>
      <c r="C101" s="22"/>
      <c r="D101" s="22" t="s">
        <v>492</v>
      </c>
      <c r="E101" s="22" t="s">
        <v>511</v>
      </c>
      <c r="F101" s="31" t="s">
        <v>4245</v>
      </c>
      <c r="G101" s="22" t="s">
        <v>757</v>
      </c>
      <c r="H101" s="31" t="s">
        <v>1657</v>
      </c>
      <c r="I101" s="31" t="s">
        <v>1656</v>
      </c>
      <c r="J101" s="22" t="s">
        <v>1658</v>
      </c>
      <c r="K101" s="33" t="s">
        <v>91</v>
      </c>
      <c r="L101" s="33" t="s">
        <v>782</v>
      </c>
      <c r="M101" s="33" t="s">
        <v>795</v>
      </c>
      <c r="N101" s="33" t="s">
        <v>1323</v>
      </c>
      <c r="O101" s="22"/>
      <c r="P101" s="22"/>
      <c r="Q101" s="22"/>
      <c r="R101" s="22"/>
      <c r="S101" s="31" t="s">
        <v>1663</v>
      </c>
      <c r="T101" s="31" t="s">
        <v>1660</v>
      </c>
      <c r="U101" s="31" t="s">
        <v>1659</v>
      </c>
      <c r="V101" s="22"/>
      <c r="W101" s="45" t="s">
        <v>1661</v>
      </c>
      <c r="X101" s="45" t="s">
        <v>1662</v>
      </c>
    </row>
    <row r="102" spans="1:26" ht="42.75">
      <c r="A102" s="22">
        <v>101</v>
      </c>
      <c r="B102" s="31" t="s">
        <v>1664</v>
      </c>
      <c r="C102" s="22"/>
      <c r="D102" s="22" t="s">
        <v>492</v>
      </c>
      <c r="E102" s="22" t="s">
        <v>511</v>
      </c>
      <c r="F102" s="31" t="s">
        <v>4246</v>
      </c>
      <c r="G102" s="22" t="s">
        <v>757</v>
      </c>
      <c r="H102" s="31" t="s">
        <v>1665</v>
      </c>
      <c r="I102" s="31" t="s">
        <v>1666</v>
      </c>
      <c r="J102" s="22" t="s">
        <v>1667</v>
      </c>
      <c r="K102" s="33"/>
      <c r="L102" s="33" t="s">
        <v>758</v>
      </c>
      <c r="M102" s="33" t="s">
        <v>1668</v>
      </c>
      <c r="N102" s="33" t="s">
        <v>1669</v>
      </c>
      <c r="O102" s="31" t="s">
        <v>1670</v>
      </c>
      <c r="P102" s="22"/>
      <c r="Q102" s="22"/>
      <c r="R102" s="22"/>
      <c r="S102" s="31" t="s">
        <v>1153</v>
      </c>
      <c r="T102" s="22"/>
      <c r="U102" s="31"/>
      <c r="V102" s="22" t="s">
        <v>1671</v>
      </c>
      <c r="W102" s="45" t="s">
        <v>1672</v>
      </c>
      <c r="X102" s="44" t="s">
        <v>1711</v>
      </c>
    </row>
    <row r="103" spans="1:26" ht="42.75">
      <c r="A103" s="22">
        <v>102</v>
      </c>
      <c r="B103" s="31" t="s">
        <v>1673</v>
      </c>
      <c r="C103" s="22" t="s">
        <v>1674</v>
      </c>
      <c r="D103" s="31" t="s">
        <v>503</v>
      </c>
      <c r="E103" s="22" t="s">
        <v>511</v>
      </c>
      <c r="F103" s="31" t="s">
        <v>4247</v>
      </c>
      <c r="G103" s="22" t="s">
        <v>755</v>
      </c>
      <c r="H103" s="31" t="s">
        <v>1675</v>
      </c>
      <c r="I103" s="31" t="s">
        <v>1676</v>
      </c>
      <c r="J103" s="22" t="s">
        <v>1677</v>
      </c>
      <c r="K103" s="33" t="s">
        <v>97</v>
      </c>
      <c r="L103" s="33" t="s">
        <v>758</v>
      </c>
      <c r="M103" s="33" t="s">
        <v>855</v>
      </c>
      <c r="N103" s="33" t="s">
        <v>1404</v>
      </c>
      <c r="O103" s="22" t="s">
        <v>758</v>
      </c>
      <c r="P103" s="22"/>
      <c r="Q103" s="22"/>
      <c r="R103" s="22"/>
      <c r="S103" s="31" t="s">
        <v>1344</v>
      </c>
      <c r="T103" s="22"/>
      <c r="U103" s="31" t="s">
        <v>1680</v>
      </c>
      <c r="V103" s="31" t="s">
        <v>1678</v>
      </c>
      <c r="W103" s="45" t="s">
        <v>1679</v>
      </c>
    </row>
    <row r="104" spans="1:26" ht="42.75">
      <c r="A104" s="22">
        <v>103</v>
      </c>
      <c r="B104" s="31" t="s">
        <v>1682</v>
      </c>
      <c r="C104" s="22">
        <v>5100</v>
      </c>
      <c r="D104" s="31" t="s">
        <v>503</v>
      </c>
      <c r="E104" s="22" t="s">
        <v>506</v>
      </c>
      <c r="F104" s="31" t="s">
        <v>1683</v>
      </c>
      <c r="G104" s="22" t="s">
        <v>755</v>
      </c>
      <c r="H104" s="31" t="s">
        <v>1684</v>
      </c>
      <c r="I104" s="31" t="s">
        <v>1676</v>
      </c>
      <c r="J104" s="22" t="s">
        <v>1685</v>
      </c>
      <c r="K104" s="33" t="s">
        <v>97</v>
      </c>
      <c r="L104" s="33" t="s">
        <v>758</v>
      </c>
      <c r="M104" s="33" t="s">
        <v>1396</v>
      </c>
      <c r="N104" s="33" t="s">
        <v>1152</v>
      </c>
      <c r="O104" s="22" t="s">
        <v>758</v>
      </c>
      <c r="P104" s="22"/>
      <c r="Q104" s="22"/>
      <c r="R104" s="22"/>
      <c r="S104" s="31" t="s">
        <v>1686</v>
      </c>
      <c r="T104" s="22"/>
      <c r="U104" s="31"/>
      <c r="V104" s="22"/>
      <c r="W104" s="45" t="s">
        <v>1687</v>
      </c>
      <c r="X104" s="22"/>
    </row>
    <row r="105" spans="1:26" ht="42.75">
      <c r="A105" s="22">
        <v>104</v>
      </c>
      <c r="B105" s="47" t="s">
        <v>1688</v>
      </c>
      <c r="C105" s="31">
        <v>5150</v>
      </c>
      <c r="D105" s="31" t="s">
        <v>503</v>
      </c>
      <c r="E105" s="31" t="s">
        <v>509</v>
      </c>
      <c r="F105" s="31" t="s">
        <v>4248</v>
      </c>
      <c r="G105" s="31" t="s">
        <v>755</v>
      </c>
      <c r="H105" s="31" t="s">
        <v>1675</v>
      </c>
      <c r="I105" s="31" t="s">
        <v>1003</v>
      </c>
      <c r="J105" s="31" t="s">
        <v>1689</v>
      </c>
      <c r="K105" s="36" t="s">
        <v>97</v>
      </c>
      <c r="L105" s="36" t="s">
        <v>758</v>
      </c>
      <c r="M105" s="36" t="s">
        <v>1396</v>
      </c>
      <c r="N105" s="36" t="s">
        <v>1152</v>
      </c>
      <c r="O105" s="31" t="s">
        <v>782</v>
      </c>
      <c r="P105" s="31"/>
      <c r="Q105" s="31"/>
      <c r="R105" s="31"/>
      <c r="S105" s="31" t="s">
        <v>1690</v>
      </c>
      <c r="T105" s="31"/>
      <c r="U105" s="31"/>
      <c r="V105" s="31"/>
      <c r="W105" s="43" t="s">
        <v>1725</v>
      </c>
    </row>
    <row r="106" spans="1:26" ht="42.75">
      <c r="A106" s="22">
        <v>105</v>
      </c>
      <c r="B106" s="31" t="s">
        <v>1691</v>
      </c>
      <c r="C106" s="22" t="s">
        <v>4283</v>
      </c>
      <c r="D106" s="31" t="s">
        <v>503</v>
      </c>
      <c r="E106" s="22" t="s">
        <v>509</v>
      </c>
      <c r="F106" s="31" t="s">
        <v>4249</v>
      </c>
      <c r="G106" s="22" t="s">
        <v>755</v>
      </c>
      <c r="H106" s="31" t="s">
        <v>1698</v>
      </c>
      <c r="I106" s="31" t="s">
        <v>1676</v>
      </c>
      <c r="J106" s="22" t="s">
        <v>1692</v>
      </c>
      <c r="K106" s="33"/>
      <c r="L106" s="33" t="s">
        <v>758</v>
      </c>
      <c r="M106" s="33" t="s">
        <v>925</v>
      </c>
      <c r="N106" s="33" t="s">
        <v>1399</v>
      </c>
      <c r="O106" s="22" t="s">
        <v>782</v>
      </c>
      <c r="P106" s="22"/>
      <c r="Q106" s="22"/>
      <c r="R106" s="22"/>
      <c r="S106" s="31" t="s">
        <v>1344</v>
      </c>
      <c r="T106" s="22"/>
      <c r="U106" s="31" t="s">
        <v>2377</v>
      </c>
      <c r="V106" s="22" t="s">
        <v>1671</v>
      </c>
      <c r="W106" s="43" t="s">
        <v>1693</v>
      </c>
      <c r="X106" s="44"/>
      <c r="Y106" s="1"/>
    </row>
    <row r="107" spans="1:26" ht="85.5">
      <c r="A107" s="22">
        <v>106</v>
      </c>
      <c r="B107" s="35" t="s">
        <v>1727</v>
      </c>
      <c r="C107" s="22" t="s">
        <v>1728</v>
      </c>
      <c r="D107" s="31" t="s">
        <v>500</v>
      </c>
      <c r="E107" s="22" t="s">
        <v>509</v>
      </c>
      <c r="F107" s="31" t="s">
        <v>4250</v>
      </c>
      <c r="G107" s="22" t="s">
        <v>756</v>
      </c>
      <c r="H107" s="31" t="s">
        <v>1726</v>
      </c>
      <c r="I107" s="31" t="s">
        <v>1003</v>
      </c>
      <c r="J107" s="22" t="s">
        <v>1700</v>
      </c>
      <c r="K107" s="33" t="s">
        <v>174</v>
      </c>
      <c r="L107" s="33" t="s">
        <v>782</v>
      </c>
      <c r="M107" s="33" t="s">
        <v>815</v>
      </c>
      <c r="N107" s="33" t="s">
        <v>925</v>
      </c>
      <c r="O107" s="22"/>
      <c r="P107" s="22">
        <v>114</v>
      </c>
      <c r="Q107" s="51">
        <v>45658</v>
      </c>
      <c r="R107" s="22" t="s">
        <v>1797</v>
      </c>
      <c r="S107" s="31" t="s">
        <v>1702</v>
      </c>
      <c r="T107" s="22"/>
      <c r="U107" s="31" t="s">
        <v>4752</v>
      </c>
      <c r="V107" s="31" t="s">
        <v>2378</v>
      </c>
      <c r="W107" s="45" t="s">
        <v>1729</v>
      </c>
      <c r="X107" s="48" t="s">
        <v>1730</v>
      </c>
      <c r="Y107" s="45" t="s">
        <v>1703</v>
      </c>
      <c r="Z107" s="45" t="s">
        <v>1704</v>
      </c>
    </row>
    <row r="108" spans="1:26" ht="42.75">
      <c r="A108" s="22">
        <v>107</v>
      </c>
      <c r="B108" s="35" t="s">
        <v>1731</v>
      </c>
      <c r="C108" s="22" t="s">
        <v>1732</v>
      </c>
      <c r="D108" s="31" t="s">
        <v>500</v>
      </c>
      <c r="E108" s="22" t="s">
        <v>509</v>
      </c>
      <c r="F108" s="31" t="s">
        <v>4251</v>
      </c>
      <c r="G108" s="22" t="s">
        <v>756</v>
      </c>
      <c r="H108" s="31" t="s">
        <v>1733</v>
      </c>
      <c r="I108" s="31" t="s">
        <v>1003</v>
      </c>
      <c r="J108" s="22" t="s">
        <v>1734</v>
      </c>
      <c r="K108" s="33" t="s">
        <v>174</v>
      </c>
      <c r="L108" s="33" t="s">
        <v>782</v>
      </c>
      <c r="M108" s="33" t="s">
        <v>1701</v>
      </c>
      <c r="N108" s="33" t="s">
        <v>925</v>
      </c>
      <c r="O108" s="22"/>
      <c r="P108" s="22">
        <v>114</v>
      </c>
      <c r="Q108" s="51">
        <v>45658</v>
      </c>
      <c r="R108" s="22" t="s">
        <v>1797</v>
      </c>
      <c r="S108" s="31" t="s">
        <v>1171</v>
      </c>
      <c r="T108" s="22"/>
      <c r="U108" s="31" t="s">
        <v>4753</v>
      </c>
      <c r="V108" s="31"/>
      <c r="W108" s="45" t="s">
        <v>1735</v>
      </c>
      <c r="X108" s="48"/>
      <c r="Y108" s="45"/>
      <c r="Z108" s="45"/>
    </row>
    <row r="109" spans="1:26" ht="28.5">
      <c r="A109" s="22">
        <v>108</v>
      </c>
      <c r="B109" s="32" t="s">
        <v>1742</v>
      </c>
      <c r="C109" s="22" t="s">
        <v>1736</v>
      </c>
      <c r="D109" s="31" t="s">
        <v>500</v>
      </c>
      <c r="E109" s="22" t="s">
        <v>508</v>
      </c>
      <c r="F109" s="31" t="s">
        <v>4252</v>
      </c>
      <c r="G109" s="22" t="s">
        <v>756</v>
      </c>
      <c r="H109" s="31" t="s">
        <v>1737</v>
      </c>
      <c r="I109" s="31" t="s">
        <v>1003</v>
      </c>
      <c r="J109" s="22" t="s">
        <v>1738</v>
      </c>
      <c r="K109" s="33" t="s">
        <v>174</v>
      </c>
      <c r="L109" s="33" t="s">
        <v>782</v>
      </c>
      <c r="M109" s="33" t="s">
        <v>855</v>
      </c>
      <c r="N109" s="33" t="s">
        <v>925</v>
      </c>
      <c r="O109" s="22"/>
      <c r="P109" s="22">
        <v>114</v>
      </c>
      <c r="Q109" s="51">
        <v>45658</v>
      </c>
      <c r="R109" s="22" t="s">
        <v>1797</v>
      </c>
      <c r="S109" s="31" t="s">
        <v>1739</v>
      </c>
      <c r="T109" s="22"/>
      <c r="U109" s="31"/>
      <c r="V109" s="31"/>
      <c r="W109" s="45" t="s">
        <v>1740</v>
      </c>
      <c r="X109" s="48" t="s">
        <v>1741</v>
      </c>
      <c r="Y109" s="45"/>
      <c r="Z109" s="45"/>
    </row>
    <row r="110" spans="1:26" ht="28.5">
      <c r="A110" s="22">
        <v>109</v>
      </c>
      <c r="B110" s="35" t="s">
        <v>1743</v>
      </c>
      <c r="C110" s="22" t="s">
        <v>1746</v>
      </c>
      <c r="D110" s="31" t="s">
        <v>500</v>
      </c>
      <c r="E110" s="22" t="s">
        <v>508</v>
      </c>
      <c r="F110" s="31" t="s">
        <v>4253</v>
      </c>
      <c r="G110" s="22" t="s">
        <v>756</v>
      </c>
      <c r="H110" s="31" t="s">
        <v>1744</v>
      </c>
      <c r="I110" s="31" t="s">
        <v>1003</v>
      </c>
      <c r="J110" s="22" t="s">
        <v>1745</v>
      </c>
      <c r="K110" s="33" t="s">
        <v>1749</v>
      </c>
      <c r="L110" s="33" t="s">
        <v>782</v>
      </c>
      <c r="M110" s="33" t="s">
        <v>925</v>
      </c>
      <c r="N110" s="33" t="s">
        <v>1404</v>
      </c>
      <c r="O110" s="22"/>
      <c r="P110" s="22">
        <v>114</v>
      </c>
      <c r="Q110" s="51">
        <v>45658</v>
      </c>
      <c r="R110" s="22" t="s">
        <v>1797</v>
      </c>
      <c r="S110" s="31"/>
      <c r="T110" s="22"/>
      <c r="U110" s="31"/>
      <c r="V110" s="31"/>
      <c r="W110" s="45" t="s">
        <v>1751</v>
      </c>
      <c r="X110" s="48"/>
      <c r="Y110" s="45"/>
      <c r="Z110" s="45"/>
    </row>
    <row r="111" spans="1:26" ht="28.5">
      <c r="A111" s="22">
        <v>110</v>
      </c>
      <c r="B111" s="32" t="s">
        <v>1752</v>
      </c>
      <c r="C111" s="22" t="s">
        <v>1753</v>
      </c>
      <c r="D111" s="31" t="s">
        <v>500</v>
      </c>
      <c r="E111" s="22" t="s">
        <v>508</v>
      </c>
      <c r="F111" s="31" t="s">
        <v>4254</v>
      </c>
      <c r="G111" s="22" t="s">
        <v>756</v>
      </c>
      <c r="H111" s="31" t="s">
        <v>1755</v>
      </c>
      <c r="I111" s="31" t="s">
        <v>1003</v>
      </c>
      <c r="J111" s="22" t="s">
        <v>1756</v>
      </c>
      <c r="K111" s="33" t="s">
        <v>1758</v>
      </c>
      <c r="L111" s="33" t="s">
        <v>782</v>
      </c>
      <c r="M111" s="33" t="s">
        <v>925</v>
      </c>
      <c r="N111" s="33" t="s">
        <v>1404</v>
      </c>
      <c r="O111" s="22"/>
      <c r="P111" s="22">
        <v>114</v>
      </c>
      <c r="Q111" s="51">
        <v>45658</v>
      </c>
      <c r="R111" s="22" t="s">
        <v>1797</v>
      </c>
      <c r="S111" s="31"/>
      <c r="T111" s="22"/>
      <c r="U111" s="31" t="s">
        <v>1754</v>
      </c>
      <c r="V111" s="31"/>
      <c r="W111" s="45" t="s">
        <v>1760</v>
      </c>
      <c r="X111" s="48"/>
      <c r="Y111" s="45"/>
      <c r="Z111" s="45"/>
    </row>
    <row r="112" spans="1:26" ht="28.5">
      <c r="A112" s="22">
        <v>111</v>
      </c>
      <c r="B112" s="31" t="s">
        <v>1715</v>
      </c>
      <c r="C112" s="22"/>
      <c r="D112" s="22" t="s">
        <v>492</v>
      </c>
      <c r="E112" s="22" t="s">
        <v>511</v>
      </c>
      <c r="F112" s="31" t="s">
        <v>4255</v>
      </c>
      <c r="G112" s="22" t="s">
        <v>755</v>
      </c>
      <c r="H112" s="31" t="s">
        <v>1718</v>
      </c>
      <c r="I112" s="31" t="s">
        <v>1003</v>
      </c>
      <c r="J112" s="22" t="s">
        <v>1719</v>
      </c>
      <c r="K112" s="33" t="s">
        <v>178</v>
      </c>
      <c r="L112" s="33" t="s">
        <v>782</v>
      </c>
      <c r="M112" s="33" t="s">
        <v>855</v>
      </c>
      <c r="N112" s="33" t="s">
        <v>1716</v>
      </c>
      <c r="O112" s="22"/>
      <c r="P112" s="22"/>
      <c r="Q112" s="22"/>
      <c r="R112" s="22"/>
      <c r="S112" s="31" t="s">
        <v>1720</v>
      </c>
      <c r="T112" s="22"/>
      <c r="U112" s="31" t="s">
        <v>1721</v>
      </c>
      <c r="V112" s="31" t="s">
        <v>1717</v>
      </c>
      <c r="W112" s="45" t="s">
        <v>1722</v>
      </c>
      <c r="X112" s="45" t="s">
        <v>1723</v>
      </c>
      <c r="Y112" s="45" t="s">
        <v>1724</v>
      </c>
    </row>
    <row r="113" spans="1:26" ht="28.5">
      <c r="A113" s="22">
        <v>112</v>
      </c>
      <c r="B113" s="49" t="s">
        <v>1763</v>
      </c>
      <c r="C113" s="22"/>
      <c r="D113" s="22" t="s">
        <v>493</v>
      </c>
      <c r="E113" s="22" t="s">
        <v>508</v>
      </c>
      <c r="F113" s="31" t="s">
        <v>4256</v>
      </c>
      <c r="G113" s="22" t="s">
        <v>1089</v>
      </c>
      <c r="H113" s="31" t="s">
        <v>1933</v>
      </c>
      <c r="I113" s="31" t="s">
        <v>1782</v>
      </c>
      <c r="J113" s="22" t="s">
        <v>1762</v>
      </c>
      <c r="K113" s="33" t="s">
        <v>1767</v>
      </c>
      <c r="L113" s="33" t="s">
        <v>785</v>
      </c>
      <c r="M113" s="33" t="s">
        <v>1770</v>
      </c>
      <c r="N113" s="33" t="s">
        <v>1764</v>
      </c>
      <c r="O113" s="22"/>
      <c r="P113" s="22"/>
      <c r="Q113" s="22"/>
      <c r="R113" s="31" t="s">
        <v>1769</v>
      </c>
      <c r="S113" s="31" t="s">
        <v>1771</v>
      </c>
      <c r="T113" s="22" t="s">
        <v>1765</v>
      </c>
      <c r="U113" s="31"/>
      <c r="V113" s="22"/>
      <c r="W113" s="45" t="s">
        <v>3260</v>
      </c>
      <c r="X113" s="22"/>
      <c r="Y113" s="22"/>
    </row>
    <row r="114" spans="1:26" ht="28.5">
      <c r="A114" s="22">
        <v>113</v>
      </c>
      <c r="B114" s="22" t="s">
        <v>1772</v>
      </c>
      <c r="C114" s="22">
        <v>800</v>
      </c>
      <c r="D114" s="22" t="s">
        <v>493</v>
      </c>
      <c r="E114" s="22" t="s">
        <v>508</v>
      </c>
      <c r="F114" s="31" t="s">
        <v>1934</v>
      </c>
      <c r="G114" s="22" t="s">
        <v>1089</v>
      </c>
      <c r="H114" s="31" t="s">
        <v>1935</v>
      </c>
      <c r="I114" s="31" t="s">
        <v>1774</v>
      </c>
      <c r="J114" s="22" t="s">
        <v>1773</v>
      </c>
      <c r="K114" s="33" t="s">
        <v>33</v>
      </c>
      <c r="L114" s="33" t="s">
        <v>782</v>
      </c>
      <c r="M114" s="33" t="s">
        <v>795</v>
      </c>
      <c r="N114" s="33" t="s">
        <v>855</v>
      </c>
      <c r="O114" s="22"/>
      <c r="P114" s="22"/>
      <c r="Q114" s="22"/>
      <c r="R114" s="22"/>
      <c r="S114" s="31" t="s">
        <v>1776</v>
      </c>
      <c r="T114" s="22" t="s">
        <v>1954</v>
      </c>
      <c r="U114" s="31" t="s">
        <v>1775</v>
      </c>
      <c r="V114" s="22"/>
      <c r="W114" s="45" t="s">
        <v>3265</v>
      </c>
      <c r="X114" s="22"/>
      <c r="Y114" s="22"/>
      <c r="Z114" s="22"/>
    </row>
    <row r="115" spans="1:26" ht="28.5">
      <c r="A115" s="22">
        <v>114</v>
      </c>
      <c r="B115" s="22" t="s">
        <v>1777</v>
      </c>
      <c r="C115" s="22"/>
      <c r="D115" s="22" t="s">
        <v>493</v>
      </c>
      <c r="E115" s="22" t="s">
        <v>508</v>
      </c>
      <c r="F115" s="22" t="s">
        <v>1936</v>
      </c>
      <c r="G115" s="22" t="s">
        <v>757</v>
      </c>
      <c r="H115" s="49" t="s">
        <v>1778</v>
      </c>
      <c r="I115" s="31" t="s">
        <v>1774</v>
      </c>
      <c r="J115" s="22" t="s">
        <v>1779</v>
      </c>
      <c r="K115" s="33" t="s">
        <v>174</v>
      </c>
      <c r="L115" s="33" t="s">
        <v>785</v>
      </c>
      <c r="M115" s="33" t="s">
        <v>925</v>
      </c>
      <c r="N115" s="33" t="s">
        <v>1404</v>
      </c>
      <c r="O115" s="22"/>
      <c r="P115" s="22"/>
      <c r="Q115" s="22"/>
      <c r="R115" s="22"/>
      <c r="S115" s="31" t="s">
        <v>1223</v>
      </c>
      <c r="T115" s="22"/>
      <c r="U115" s="31"/>
      <c r="V115" s="22"/>
      <c r="W115" s="45" t="s">
        <v>3266</v>
      </c>
      <c r="X115" s="45" t="s">
        <v>3267</v>
      </c>
    </row>
    <row r="116" spans="1:26" ht="42.75">
      <c r="A116" s="22">
        <v>115</v>
      </c>
      <c r="B116" s="31" t="s">
        <v>1780</v>
      </c>
      <c r="C116" s="22"/>
      <c r="D116" s="22" t="s">
        <v>493</v>
      </c>
      <c r="E116" s="22" t="s">
        <v>508</v>
      </c>
      <c r="F116" s="31" t="s">
        <v>1937</v>
      </c>
      <c r="G116" s="22" t="s">
        <v>755</v>
      </c>
      <c r="H116" s="31" t="s">
        <v>1938</v>
      </c>
      <c r="I116" s="31" t="s">
        <v>1781</v>
      </c>
      <c r="J116" s="22" t="s">
        <v>1783</v>
      </c>
      <c r="K116" s="33" t="s">
        <v>183</v>
      </c>
      <c r="L116" s="33" t="s">
        <v>782</v>
      </c>
      <c r="M116" s="33" t="s">
        <v>1213</v>
      </c>
      <c r="N116" s="33" t="s">
        <v>1407</v>
      </c>
      <c r="O116" s="22"/>
      <c r="P116" s="22"/>
      <c r="Q116" s="22"/>
      <c r="R116" s="22"/>
      <c r="S116" s="31" t="s">
        <v>1784</v>
      </c>
      <c r="T116" s="22" t="s">
        <v>1785</v>
      </c>
      <c r="U116" s="31" t="s">
        <v>1786</v>
      </c>
      <c r="V116" s="22" t="s">
        <v>1787</v>
      </c>
      <c r="W116" s="45" t="s">
        <v>3263</v>
      </c>
      <c r="X116" s="45" t="s">
        <v>3264</v>
      </c>
      <c r="Y116" s="1"/>
      <c r="Z116" s="1"/>
    </row>
    <row r="117" spans="1:26" ht="71.25">
      <c r="A117" s="22">
        <v>116</v>
      </c>
      <c r="B117" s="22" t="s">
        <v>1788</v>
      </c>
      <c r="C117" s="22">
        <v>107566</v>
      </c>
      <c r="D117" s="22" t="s">
        <v>493</v>
      </c>
      <c r="E117" s="22" t="s">
        <v>508</v>
      </c>
      <c r="F117" s="31" t="s">
        <v>1794</v>
      </c>
      <c r="G117" s="22" t="s">
        <v>755</v>
      </c>
      <c r="H117" s="50" t="s">
        <v>1790</v>
      </c>
      <c r="I117" s="31" t="s">
        <v>1795</v>
      </c>
      <c r="J117" s="22" t="s">
        <v>1796</v>
      </c>
      <c r="K117" s="33" t="s">
        <v>183</v>
      </c>
      <c r="L117" s="33" t="s">
        <v>782</v>
      </c>
      <c r="M117" s="33" t="s">
        <v>1213</v>
      </c>
      <c r="N117" s="33" t="s">
        <v>1407</v>
      </c>
      <c r="O117" s="36" t="s">
        <v>1793</v>
      </c>
      <c r="P117" s="22"/>
      <c r="Q117" s="22"/>
      <c r="R117" s="22"/>
      <c r="S117" s="31" t="s">
        <v>1789</v>
      </c>
      <c r="T117" s="22" t="s">
        <v>1791</v>
      </c>
      <c r="U117" s="31" t="s">
        <v>1792</v>
      </c>
      <c r="V117" s="22"/>
      <c r="W117" s="45" t="s">
        <v>3261</v>
      </c>
      <c r="X117" s="45" t="s">
        <v>3262</v>
      </c>
    </row>
    <row r="118" spans="1:26" ht="99.75">
      <c r="A118" s="22">
        <v>117</v>
      </c>
      <c r="B118" s="31" t="s">
        <v>1805</v>
      </c>
      <c r="C118" s="22">
        <v>619</v>
      </c>
      <c r="D118" s="22" t="s">
        <v>493</v>
      </c>
      <c r="E118" s="22" t="s">
        <v>508</v>
      </c>
      <c r="F118" s="31" t="s">
        <v>4257</v>
      </c>
      <c r="G118" s="22" t="s">
        <v>755</v>
      </c>
      <c r="H118" s="31" t="s">
        <v>1806</v>
      </c>
      <c r="I118" s="31" t="s">
        <v>1807</v>
      </c>
      <c r="J118" s="22" t="s">
        <v>1808</v>
      </c>
      <c r="K118" s="33" t="s">
        <v>165</v>
      </c>
      <c r="L118" s="33" t="s">
        <v>758</v>
      </c>
      <c r="M118" s="33" t="s">
        <v>925</v>
      </c>
      <c r="N118" s="33" t="s">
        <v>1404</v>
      </c>
      <c r="O118" s="36" t="s">
        <v>2362</v>
      </c>
      <c r="P118" s="22"/>
      <c r="Q118" s="22"/>
      <c r="R118" s="22"/>
      <c r="S118" s="31" t="s">
        <v>1809</v>
      </c>
      <c r="T118" s="22"/>
      <c r="U118" s="31"/>
      <c r="V118" s="22"/>
      <c r="W118" s="45" t="s">
        <v>1810</v>
      </c>
      <c r="X118" s="45" t="s">
        <v>1811</v>
      </c>
      <c r="Y118" s="45" t="s">
        <v>1812</v>
      </c>
      <c r="Z118" s="22"/>
    </row>
    <row r="119" spans="1:26" ht="28.5">
      <c r="A119" s="22">
        <v>118</v>
      </c>
      <c r="B119" s="31" t="s">
        <v>1813</v>
      </c>
      <c r="C119" s="22"/>
      <c r="D119" s="22" t="s">
        <v>493</v>
      </c>
      <c r="E119" s="22" t="s">
        <v>508</v>
      </c>
      <c r="F119" s="31" t="s">
        <v>4258</v>
      </c>
      <c r="G119" s="22" t="s">
        <v>755</v>
      </c>
      <c r="H119" s="31" t="s">
        <v>1806</v>
      </c>
      <c r="I119" s="31" t="s">
        <v>1774</v>
      </c>
      <c r="J119" s="22" t="s">
        <v>1814</v>
      </c>
      <c r="K119" s="33" t="s">
        <v>127</v>
      </c>
      <c r="L119" s="33" t="s">
        <v>782</v>
      </c>
      <c r="M119" s="33" t="s">
        <v>883</v>
      </c>
      <c r="N119" s="33" t="s">
        <v>855</v>
      </c>
      <c r="O119" s="22"/>
      <c r="P119" s="22"/>
      <c r="Q119" s="22"/>
      <c r="R119" s="22"/>
      <c r="S119" s="31" t="s">
        <v>1353</v>
      </c>
      <c r="T119" s="22" t="s">
        <v>2031</v>
      </c>
      <c r="U119" s="31" t="s">
        <v>1845</v>
      </c>
      <c r="V119" s="22"/>
      <c r="W119" s="45" t="s">
        <v>1824</v>
      </c>
      <c r="X119" s="45" t="s">
        <v>1825</v>
      </c>
      <c r="Y119" s="45" t="s">
        <v>1812</v>
      </c>
    </row>
    <row r="120" spans="1:26" ht="28.5">
      <c r="A120" s="22">
        <v>119</v>
      </c>
      <c r="B120" s="31" t="s">
        <v>1815</v>
      </c>
      <c r="C120" s="22"/>
      <c r="D120" s="22" t="s">
        <v>493</v>
      </c>
      <c r="E120" s="22" t="s">
        <v>508</v>
      </c>
      <c r="F120" s="31" t="s">
        <v>4259</v>
      </c>
      <c r="G120" s="22" t="s">
        <v>755</v>
      </c>
      <c r="H120" s="31" t="s">
        <v>1816</v>
      </c>
      <c r="I120" s="31" t="s">
        <v>1003</v>
      </c>
      <c r="J120" s="22" t="s">
        <v>1817</v>
      </c>
      <c r="K120" s="33" t="s">
        <v>1819</v>
      </c>
      <c r="L120" s="33" t="s">
        <v>758</v>
      </c>
      <c r="M120" s="33" t="s">
        <v>1822</v>
      </c>
      <c r="N120" s="33" t="s">
        <v>1823</v>
      </c>
      <c r="O120" s="22"/>
      <c r="P120" s="22"/>
      <c r="Q120" s="22"/>
      <c r="R120" s="22"/>
      <c r="S120" s="31" t="s">
        <v>1820</v>
      </c>
      <c r="T120" s="22"/>
      <c r="U120" s="31" t="s">
        <v>2013</v>
      </c>
      <c r="V120" s="22"/>
      <c r="W120" s="45" t="s">
        <v>1826</v>
      </c>
      <c r="X120" s="45" t="s">
        <v>1827</v>
      </c>
      <c r="Y120" s="22"/>
    </row>
    <row r="121" spans="1:26" ht="42.75">
      <c r="A121" s="22">
        <v>120</v>
      </c>
      <c r="B121" s="31" t="s">
        <v>1828</v>
      </c>
      <c r="C121" s="22"/>
      <c r="D121" s="31" t="s">
        <v>491</v>
      </c>
      <c r="E121" s="22" t="s">
        <v>508</v>
      </c>
      <c r="F121" s="31" t="s">
        <v>1939</v>
      </c>
      <c r="G121" s="22" t="s">
        <v>755</v>
      </c>
      <c r="H121" s="31" t="s">
        <v>1940</v>
      </c>
      <c r="I121" s="31" t="s">
        <v>1003</v>
      </c>
      <c r="J121" s="22" t="s">
        <v>1829</v>
      </c>
      <c r="K121" s="33" t="s">
        <v>1833</v>
      </c>
      <c r="L121" s="33" t="s">
        <v>758</v>
      </c>
      <c r="M121" s="33" t="s">
        <v>925</v>
      </c>
      <c r="N121" s="33" t="s">
        <v>1404</v>
      </c>
      <c r="O121" s="22" t="s">
        <v>758</v>
      </c>
      <c r="P121" s="22"/>
      <c r="Q121" s="22"/>
      <c r="R121" s="22"/>
      <c r="S121" s="31" t="s">
        <v>1256</v>
      </c>
      <c r="T121" s="22" t="s">
        <v>1831</v>
      </c>
      <c r="U121" s="31" t="s">
        <v>1832</v>
      </c>
      <c r="V121" s="22"/>
      <c r="W121" s="45" t="s">
        <v>1835</v>
      </c>
      <c r="X121" s="45" t="s">
        <v>1836</v>
      </c>
      <c r="Y121" s="45" t="s">
        <v>1837</v>
      </c>
    </row>
    <row r="122" spans="1:26" ht="42.75">
      <c r="A122" s="22">
        <v>121</v>
      </c>
      <c r="B122" s="31" t="s">
        <v>1838</v>
      </c>
      <c r="C122" s="22" t="s">
        <v>1880</v>
      </c>
      <c r="D122" s="31" t="s">
        <v>499</v>
      </c>
      <c r="E122" s="22" t="s">
        <v>508</v>
      </c>
      <c r="F122" s="31" t="s">
        <v>4260</v>
      </c>
      <c r="G122" s="22" t="s">
        <v>755</v>
      </c>
      <c r="H122" s="31" t="s">
        <v>1840</v>
      </c>
      <c r="I122" s="31" t="s">
        <v>1003</v>
      </c>
      <c r="J122" s="22" t="s">
        <v>1839</v>
      </c>
      <c r="K122" s="33" t="s">
        <v>33</v>
      </c>
      <c r="L122" s="33" t="s">
        <v>782</v>
      </c>
      <c r="M122" s="33" t="s">
        <v>1413</v>
      </c>
      <c r="N122" s="33" t="s">
        <v>855</v>
      </c>
      <c r="O122" s="22" t="s">
        <v>785</v>
      </c>
      <c r="P122" s="22"/>
      <c r="Q122" s="22"/>
      <c r="R122" s="22"/>
      <c r="S122" s="31" t="s">
        <v>1078</v>
      </c>
      <c r="T122" s="31" t="s">
        <v>2559</v>
      </c>
      <c r="U122" s="31" t="s">
        <v>1881</v>
      </c>
      <c r="V122" s="22" t="s">
        <v>1882</v>
      </c>
      <c r="W122" s="45" t="s">
        <v>1841</v>
      </c>
      <c r="X122" s="45" t="s">
        <v>1842</v>
      </c>
      <c r="Y122" s="45" t="s">
        <v>1843</v>
      </c>
    </row>
    <row r="123" spans="1:26" ht="28.5">
      <c r="A123" s="22">
        <v>122</v>
      </c>
      <c r="B123" s="31" t="s">
        <v>1846</v>
      </c>
      <c r="C123" s="22">
        <v>52</v>
      </c>
      <c r="D123" s="22" t="s">
        <v>493</v>
      </c>
      <c r="E123" s="22" t="s">
        <v>508</v>
      </c>
      <c r="F123" s="31" t="s">
        <v>1941</v>
      </c>
      <c r="G123" s="22" t="s">
        <v>755</v>
      </c>
      <c r="H123" s="31" t="s">
        <v>1847</v>
      </c>
      <c r="I123" s="31" t="s">
        <v>1848</v>
      </c>
      <c r="J123" s="22" t="s">
        <v>1849</v>
      </c>
      <c r="K123" s="33" t="s">
        <v>2665</v>
      </c>
      <c r="L123" s="33" t="s">
        <v>782</v>
      </c>
      <c r="M123" s="33" t="s">
        <v>1160</v>
      </c>
      <c r="N123" s="33" t="s">
        <v>1323</v>
      </c>
      <c r="O123" s="22"/>
      <c r="P123" s="22"/>
      <c r="Q123" s="22"/>
      <c r="R123" s="22"/>
      <c r="S123" s="31" t="s">
        <v>1080</v>
      </c>
      <c r="T123" s="22" t="s">
        <v>1850</v>
      </c>
      <c r="U123" s="31"/>
      <c r="V123" s="22"/>
      <c r="W123" s="45" t="s">
        <v>1851</v>
      </c>
      <c r="X123" s="45" t="s">
        <v>1852</v>
      </c>
    </row>
    <row r="124" spans="1:26" ht="28.5">
      <c r="A124" s="22">
        <v>123</v>
      </c>
      <c r="B124" s="31" t="s">
        <v>1853</v>
      </c>
      <c r="C124" s="22">
        <v>600</v>
      </c>
      <c r="D124" s="22" t="s">
        <v>493</v>
      </c>
      <c r="E124" s="22" t="s">
        <v>508</v>
      </c>
      <c r="F124" s="31" t="s">
        <v>1942</v>
      </c>
      <c r="G124" s="22" t="s">
        <v>755</v>
      </c>
      <c r="H124" s="31" t="s">
        <v>1854</v>
      </c>
      <c r="I124" s="31" t="s">
        <v>1003</v>
      </c>
      <c r="J124" s="22" t="s">
        <v>1855</v>
      </c>
      <c r="K124" s="33" t="s">
        <v>47</v>
      </c>
      <c r="L124" s="33" t="s">
        <v>782</v>
      </c>
      <c r="M124" s="33" t="s">
        <v>1160</v>
      </c>
      <c r="N124" s="33" t="s">
        <v>795</v>
      </c>
      <c r="O124" s="22"/>
      <c r="P124" s="22"/>
      <c r="Q124" s="22"/>
      <c r="R124" s="22"/>
      <c r="S124" s="31" t="s">
        <v>1856</v>
      </c>
      <c r="T124" s="31" t="s">
        <v>2011</v>
      </c>
      <c r="U124" s="31"/>
      <c r="V124" s="22"/>
      <c r="W124" s="45" t="s">
        <v>1857</v>
      </c>
      <c r="X124" s="45" t="s">
        <v>1858</v>
      </c>
    </row>
    <row r="125" spans="1:26" ht="42.75">
      <c r="A125" s="22">
        <v>124</v>
      </c>
      <c r="B125" s="31" t="s">
        <v>1859</v>
      </c>
      <c r="C125" s="22"/>
      <c r="D125" s="22" t="s">
        <v>493</v>
      </c>
      <c r="E125" s="22" t="s">
        <v>508</v>
      </c>
      <c r="F125" s="31" t="s">
        <v>1943</v>
      </c>
      <c r="G125" s="22" t="s">
        <v>755</v>
      </c>
      <c r="H125" s="31" t="s">
        <v>1944</v>
      </c>
      <c r="I125" s="31" t="s">
        <v>1003</v>
      </c>
      <c r="J125" s="22" t="s">
        <v>1860</v>
      </c>
      <c r="K125" s="33" t="s">
        <v>175</v>
      </c>
      <c r="L125" s="33" t="s">
        <v>758</v>
      </c>
      <c r="M125" s="33" t="s">
        <v>980</v>
      </c>
      <c r="N125" s="33" t="s">
        <v>795</v>
      </c>
      <c r="O125" s="22"/>
      <c r="P125" s="22">
        <v>325</v>
      </c>
      <c r="Q125" s="51">
        <v>45658</v>
      </c>
      <c r="R125" s="31" t="s">
        <v>3840</v>
      </c>
      <c r="S125" s="31" t="s">
        <v>1863</v>
      </c>
      <c r="T125" s="22" t="s">
        <v>1862</v>
      </c>
      <c r="U125" s="31" t="s">
        <v>1861</v>
      </c>
      <c r="V125" s="22"/>
      <c r="W125" s="45" t="s">
        <v>1864</v>
      </c>
      <c r="X125" s="45" t="s">
        <v>1865</v>
      </c>
      <c r="Y125" s="22"/>
    </row>
    <row r="126" spans="1:26" ht="57">
      <c r="A126" s="22">
        <v>125</v>
      </c>
      <c r="B126" s="31" t="s">
        <v>1866</v>
      </c>
      <c r="C126" s="22">
        <v>636</v>
      </c>
      <c r="D126" s="22" t="s">
        <v>493</v>
      </c>
      <c r="E126" s="22" t="s">
        <v>508</v>
      </c>
      <c r="F126" s="31" t="s">
        <v>1945</v>
      </c>
      <c r="G126" s="22" t="s">
        <v>755</v>
      </c>
      <c r="H126" s="31" t="s">
        <v>1946</v>
      </c>
      <c r="I126" s="31" t="s">
        <v>817</v>
      </c>
      <c r="J126" s="22" t="s">
        <v>1867</v>
      </c>
      <c r="K126" s="33" t="s">
        <v>165</v>
      </c>
      <c r="L126" s="33" t="s">
        <v>758</v>
      </c>
      <c r="M126" s="33" t="s">
        <v>925</v>
      </c>
      <c r="N126" s="33" t="s">
        <v>1404</v>
      </c>
      <c r="O126" s="36" t="s">
        <v>1868</v>
      </c>
      <c r="P126" s="22"/>
      <c r="Q126" s="22"/>
      <c r="R126" s="22"/>
      <c r="S126" s="31" t="s">
        <v>939</v>
      </c>
      <c r="T126" s="22"/>
      <c r="U126" s="31"/>
      <c r="V126" s="22"/>
      <c r="W126" s="45" t="s">
        <v>1869</v>
      </c>
      <c r="X126" s="45" t="s">
        <v>1870</v>
      </c>
      <c r="Y126" s="45" t="s">
        <v>1871</v>
      </c>
      <c r="Z126" s="45" t="s">
        <v>1872</v>
      </c>
    </row>
    <row r="127" spans="1:26" ht="28.5">
      <c r="A127" s="22">
        <v>126</v>
      </c>
      <c r="B127" s="31" t="s">
        <v>1873</v>
      </c>
      <c r="C127" s="22">
        <v>888</v>
      </c>
      <c r="D127" s="22" t="s">
        <v>493</v>
      </c>
      <c r="E127" s="22" t="s">
        <v>511</v>
      </c>
      <c r="F127" s="31" t="s">
        <v>4261</v>
      </c>
      <c r="G127" s="22" t="s">
        <v>755</v>
      </c>
      <c r="H127" s="31" t="s">
        <v>1947</v>
      </c>
      <c r="I127" s="31" t="s">
        <v>1874</v>
      </c>
      <c r="J127" s="22" t="s">
        <v>1875</v>
      </c>
      <c r="K127" s="33" t="s">
        <v>99</v>
      </c>
      <c r="L127" s="33" t="s">
        <v>758</v>
      </c>
      <c r="M127" s="33" t="s">
        <v>1876</v>
      </c>
      <c r="N127" s="33" t="s">
        <v>855</v>
      </c>
      <c r="O127" s="33" t="s">
        <v>758</v>
      </c>
      <c r="P127" s="22"/>
      <c r="Q127" s="22"/>
      <c r="R127" s="22"/>
      <c r="S127" s="22"/>
      <c r="T127" s="31" t="s">
        <v>1877</v>
      </c>
      <c r="U127" s="31"/>
      <c r="V127" s="22"/>
      <c r="W127" s="45" t="s">
        <v>1878</v>
      </c>
      <c r="X127" s="45" t="s">
        <v>1879</v>
      </c>
    </row>
    <row r="128" spans="1:26" ht="71.25">
      <c r="A128" s="22">
        <v>127</v>
      </c>
      <c r="B128" s="31" t="s">
        <v>1883</v>
      </c>
      <c r="C128" s="22">
        <v>930</v>
      </c>
      <c r="D128" s="31" t="s">
        <v>499</v>
      </c>
      <c r="E128" s="22" t="s">
        <v>508</v>
      </c>
      <c r="F128" s="31" t="s">
        <v>1948</v>
      </c>
      <c r="G128" s="22" t="s">
        <v>755</v>
      </c>
      <c r="H128" s="31" t="s">
        <v>1949</v>
      </c>
      <c r="I128" s="31" t="s">
        <v>1003</v>
      </c>
      <c r="J128" s="22" t="s">
        <v>1884</v>
      </c>
      <c r="K128" s="33" t="s">
        <v>33</v>
      </c>
      <c r="L128" s="33" t="s">
        <v>758</v>
      </c>
      <c r="M128" s="33" t="s">
        <v>1411</v>
      </c>
      <c r="N128" s="33" t="s">
        <v>855</v>
      </c>
      <c r="O128" s="33" t="s">
        <v>1219</v>
      </c>
      <c r="P128" s="22">
        <v>630</v>
      </c>
      <c r="Q128" s="22" t="s">
        <v>2095</v>
      </c>
      <c r="R128" s="22" t="s">
        <v>2091</v>
      </c>
      <c r="S128" s="31" t="s">
        <v>3118</v>
      </c>
      <c r="T128" s="31" t="s">
        <v>2557</v>
      </c>
      <c r="U128" s="31"/>
      <c r="V128" s="22"/>
      <c r="W128" s="45" t="s">
        <v>1885</v>
      </c>
    </row>
    <row r="129" spans="1:26" ht="42.75">
      <c r="A129" s="22">
        <v>128</v>
      </c>
      <c r="B129" s="31" t="s">
        <v>1886</v>
      </c>
      <c r="C129" s="22"/>
      <c r="D129" s="22" t="s">
        <v>493</v>
      </c>
      <c r="E129" s="22" t="s">
        <v>508</v>
      </c>
      <c r="F129" s="31" t="s">
        <v>1887</v>
      </c>
      <c r="G129" s="22" t="s">
        <v>755</v>
      </c>
      <c r="H129" s="31" t="s">
        <v>1947</v>
      </c>
      <c r="I129" s="31" t="s">
        <v>1888</v>
      </c>
      <c r="J129" s="22" t="s">
        <v>1889</v>
      </c>
      <c r="K129" s="33" t="s">
        <v>1803</v>
      </c>
      <c r="L129" s="33" t="s">
        <v>758</v>
      </c>
      <c r="M129" s="33" t="s">
        <v>1893</v>
      </c>
      <c r="N129" s="33" t="s">
        <v>1408</v>
      </c>
      <c r="O129" s="36" t="s">
        <v>1894</v>
      </c>
      <c r="P129" s="22">
        <v>1174</v>
      </c>
      <c r="Q129" s="33" t="s">
        <v>1891</v>
      </c>
      <c r="R129" s="33" t="s">
        <v>1797</v>
      </c>
      <c r="S129" s="31" t="s">
        <v>1892</v>
      </c>
      <c r="T129" s="31" t="s">
        <v>2015</v>
      </c>
      <c r="U129" s="31"/>
      <c r="V129" s="22" t="s">
        <v>1890</v>
      </c>
      <c r="W129" s="45" t="s">
        <v>3273</v>
      </c>
      <c r="X129" s="45" t="s">
        <v>3274</v>
      </c>
      <c r="Y129" s="45" t="s">
        <v>3275</v>
      </c>
      <c r="Z129" s="22"/>
    </row>
    <row r="130" spans="1:26" ht="28.5">
      <c r="A130" s="22">
        <v>129</v>
      </c>
      <c r="B130" s="31" t="s">
        <v>1895</v>
      </c>
      <c r="C130" s="22"/>
      <c r="D130" s="22" t="s">
        <v>493</v>
      </c>
      <c r="E130" s="22" t="s">
        <v>508</v>
      </c>
      <c r="F130" s="31" t="s">
        <v>1896</v>
      </c>
      <c r="G130" s="22" t="s">
        <v>755</v>
      </c>
      <c r="H130" s="31" t="s">
        <v>1897</v>
      </c>
      <c r="I130" s="31" t="s">
        <v>1874</v>
      </c>
      <c r="J130" s="22" t="s">
        <v>1898</v>
      </c>
      <c r="K130" s="33" t="s">
        <v>175</v>
      </c>
      <c r="L130" s="33" t="s">
        <v>758</v>
      </c>
      <c r="M130" s="33" t="s">
        <v>980</v>
      </c>
      <c r="N130" s="33" t="s">
        <v>855</v>
      </c>
      <c r="O130" s="33" t="s">
        <v>785</v>
      </c>
      <c r="P130" s="22"/>
      <c r="Q130" s="22"/>
      <c r="R130" s="22"/>
      <c r="S130" s="31" t="s">
        <v>1260</v>
      </c>
      <c r="T130" s="22" t="s">
        <v>2030</v>
      </c>
      <c r="U130" s="31" t="s">
        <v>2379</v>
      </c>
      <c r="V130" s="22"/>
      <c r="W130" s="45" t="s">
        <v>1899</v>
      </c>
      <c r="X130" s="45" t="s">
        <v>1900</v>
      </c>
    </row>
    <row r="131" spans="1:26" ht="42.75">
      <c r="A131" s="22">
        <v>130</v>
      </c>
      <c r="B131" s="31" t="s">
        <v>1901</v>
      </c>
      <c r="C131" s="22"/>
      <c r="D131" s="22" t="s">
        <v>493</v>
      </c>
      <c r="E131" s="22" t="s">
        <v>508</v>
      </c>
      <c r="F131" s="31" t="s">
        <v>4262</v>
      </c>
      <c r="G131" s="22" t="s">
        <v>755</v>
      </c>
      <c r="H131" s="31" t="s">
        <v>1950</v>
      </c>
      <c r="I131" s="31" t="s">
        <v>1874</v>
      </c>
      <c r="J131" s="22" t="s">
        <v>1903</v>
      </c>
      <c r="K131" s="33" t="s">
        <v>175</v>
      </c>
      <c r="L131" s="33" t="s">
        <v>782</v>
      </c>
      <c r="M131" s="33" t="s">
        <v>1904</v>
      </c>
      <c r="N131" s="33" t="s">
        <v>855</v>
      </c>
      <c r="O131" s="33" t="s">
        <v>782</v>
      </c>
      <c r="P131" s="22"/>
      <c r="Q131" s="22"/>
      <c r="R131" s="22"/>
      <c r="S131" s="31" t="s">
        <v>1906</v>
      </c>
      <c r="T131" s="22" t="s">
        <v>2026</v>
      </c>
      <c r="U131" s="31" t="s">
        <v>1905</v>
      </c>
      <c r="V131" s="22"/>
      <c r="W131" s="45" t="s">
        <v>1909</v>
      </c>
      <c r="X131" s="45" t="s">
        <v>1910</v>
      </c>
      <c r="Y131" s="45" t="s">
        <v>1911</v>
      </c>
      <c r="Z131" s="45" t="s">
        <v>1920</v>
      </c>
    </row>
    <row r="132" spans="1:26" ht="42.75">
      <c r="A132" s="22">
        <v>131</v>
      </c>
      <c r="B132" s="31" t="s">
        <v>1915</v>
      </c>
      <c r="C132" s="22"/>
      <c r="D132" s="22" t="s">
        <v>493</v>
      </c>
      <c r="E132" s="22" t="s">
        <v>508</v>
      </c>
      <c r="F132" s="31" t="s">
        <v>4263</v>
      </c>
      <c r="G132" s="22" t="s">
        <v>755</v>
      </c>
      <c r="H132" s="31" t="s">
        <v>1902</v>
      </c>
      <c r="I132" s="31" t="s">
        <v>1874</v>
      </c>
      <c r="J132" s="22" t="s">
        <v>1903</v>
      </c>
      <c r="K132" s="33" t="s">
        <v>175</v>
      </c>
      <c r="L132" s="33" t="s">
        <v>1024</v>
      </c>
      <c r="M132" s="33" t="s">
        <v>980</v>
      </c>
      <c r="N132" s="33" t="s">
        <v>795</v>
      </c>
      <c r="O132" s="22"/>
      <c r="P132" s="22"/>
      <c r="Q132" s="22"/>
      <c r="R132" s="22"/>
      <c r="S132" s="31" t="s">
        <v>1907</v>
      </c>
      <c r="T132" s="22" t="s">
        <v>2027</v>
      </c>
      <c r="U132" s="31" t="s">
        <v>1908</v>
      </c>
      <c r="V132" s="22"/>
      <c r="W132" s="45" t="s">
        <v>1912</v>
      </c>
      <c r="X132" s="45" t="s">
        <v>1913</v>
      </c>
      <c r="Y132" s="45" t="s">
        <v>1914</v>
      </c>
      <c r="Z132" s="45" t="s">
        <v>1920</v>
      </c>
    </row>
    <row r="133" spans="1:26" ht="42.75">
      <c r="A133" s="22">
        <v>132</v>
      </c>
      <c r="B133" s="31" t="s">
        <v>1916</v>
      </c>
      <c r="C133" s="22"/>
      <c r="D133" s="22" t="s">
        <v>493</v>
      </c>
      <c r="E133" s="22" t="s">
        <v>508</v>
      </c>
      <c r="F133" s="31" t="s">
        <v>4264</v>
      </c>
      <c r="G133" s="22" t="s">
        <v>755</v>
      </c>
      <c r="H133" s="31" t="s">
        <v>1902</v>
      </c>
      <c r="I133" s="31" t="s">
        <v>1666</v>
      </c>
      <c r="J133" s="22" t="s">
        <v>1923</v>
      </c>
      <c r="K133" s="33" t="s">
        <v>147</v>
      </c>
      <c r="L133" s="33" t="s">
        <v>782</v>
      </c>
      <c r="M133" s="33" t="s">
        <v>855</v>
      </c>
      <c r="N133" s="33" t="s">
        <v>925</v>
      </c>
      <c r="O133" s="22"/>
      <c r="P133" s="22"/>
      <c r="Q133" s="22"/>
      <c r="R133" s="22"/>
      <c r="S133" s="31" t="s">
        <v>1917</v>
      </c>
      <c r="T133" s="22"/>
      <c r="U133" s="31"/>
      <c r="V133" s="22"/>
      <c r="W133" s="45" t="s">
        <v>1918</v>
      </c>
      <c r="X133" s="45" t="s">
        <v>1919</v>
      </c>
      <c r="Y133" s="22"/>
      <c r="Z133" s="45" t="s">
        <v>1920</v>
      </c>
    </row>
    <row r="134" spans="1:26" ht="42.75">
      <c r="A134" s="22">
        <v>133</v>
      </c>
      <c r="B134" s="31" t="s">
        <v>1921</v>
      </c>
      <c r="C134" s="22"/>
      <c r="D134" s="22" t="s">
        <v>493</v>
      </c>
      <c r="E134" s="22" t="s">
        <v>508</v>
      </c>
      <c r="F134" s="31" t="s">
        <v>1922</v>
      </c>
      <c r="G134" s="22" t="s">
        <v>755</v>
      </c>
      <c r="H134" s="31" t="s">
        <v>1227</v>
      </c>
      <c r="I134" s="31" t="s">
        <v>1003</v>
      </c>
      <c r="J134" s="22" t="s">
        <v>1924</v>
      </c>
      <c r="K134" s="33" t="s">
        <v>153</v>
      </c>
      <c r="L134" s="33" t="s">
        <v>782</v>
      </c>
      <c r="M134" s="33" t="s">
        <v>1951</v>
      </c>
      <c r="N134" s="33" t="s">
        <v>1137</v>
      </c>
      <c r="O134" s="22"/>
      <c r="P134" s="22">
        <v>950</v>
      </c>
      <c r="Q134" s="51">
        <v>44774</v>
      </c>
      <c r="R134" s="31" t="s">
        <v>5166</v>
      </c>
      <c r="S134" s="31" t="s">
        <v>5167</v>
      </c>
      <c r="T134" s="22" t="s">
        <v>1959</v>
      </c>
      <c r="U134" s="31"/>
      <c r="V134" s="22"/>
      <c r="W134" s="45" t="s">
        <v>1925</v>
      </c>
      <c r="X134" s="45" t="s">
        <v>1926</v>
      </c>
      <c r="Y134" s="22"/>
      <c r="Z134" s="22"/>
    </row>
    <row r="135" spans="1:26" ht="42.75">
      <c r="A135" s="22">
        <v>134</v>
      </c>
      <c r="B135" s="31" t="s">
        <v>1932</v>
      </c>
      <c r="C135" s="22"/>
      <c r="D135" s="22" t="s">
        <v>493</v>
      </c>
      <c r="E135" s="22" t="s">
        <v>508</v>
      </c>
      <c r="F135" s="31" t="s">
        <v>4265</v>
      </c>
      <c r="G135" s="22" t="s">
        <v>755</v>
      </c>
      <c r="H135" s="31" t="s">
        <v>1927</v>
      </c>
      <c r="I135" s="31" t="s">
        <v>1003</v>
      </c>
      <c r="J135" s="22" t="s">
        <v>1928</v>
      </c>
      <c r="K135" s="33" t="s">
        <v>153</v>
      </c>
      <c r="L135" s="33" t="s">
        <v>782</v>
      </c>
      <c r="M135" s="33" t="s">
        <v>1952</v>
      </c>
      <c r="N135" s="33" t="s">
        <v>1137</v>
      </c>
      <c r="O135" s="22"/>
      <c r="P135" s="22">
        <v>285</v>
      </c>
      <c r="Q135" s="51">
        <v>44501</v>
      </c>
      <c r="R135" s="22" t="s">
        <v>1797</v>
      </c>
      <c r="S135" s="22" t="s">
        <v>1953</v>
      </c>
      <c r="T135" s="22" t="s">
        <v>1955</v>
      </c>
      <c r="U135" s="31"/>
      <c r="V135" s="22"/>
      <c r="W135" s="45" t="s">
        <v>1929</v>
      </c>
      <c r="X135" s="45" t="s">
        <v>1930</v>
      </c>
      <c r="Y135" s="45" t="s">
        <v>1931</v>
      </c>
      <c r="Z135" s="22"/>
    </row>
    <row r="136" spans="1:26" ht="57">
      <c r="A136" s="22">
        <v>135</v>
      </c>
      <c r="B136" s="49" t="s">
        <v>1960</v>
      </c>
      <c r="C136" s="22"/>
      <c r="D136" s="22" t="s">
        <v>493</v>
      </c>
      <c r="E136" s="22" t="s">
        <v>508</v>
      </c>
      <c r="F136" s="31" t="s">
        <v>4266</v>
      </c>
      <c r="G136" s="22" t="s">
        <v>755</v>
      </c>
      <c r="H136" s="31" t="s">
        <v>1956</v>
      </c>
      <c r="I136" s="31" t="s">
        <v>1958</v>
      </c>
      <c r="J136" s="22" t="s">
        <v>1957</v>
      </c>
      <c r="K136" s="33" t="s">
        <v>1962</v>
      </c>
      <c r="L136" s="33" t="s">
        <v>758</v>
      </c>
      <c r="M136" s="33" t="s">
        <v>855</v>
      </c>
      <c r="N136" s="33" t="s">
        <v>925</v>
      </c>
      <c r="O136" s="22"/>
      <c r="P136" s="22"/>
      <c r="Q136" s="22"/>
      <c r="R136" s="22"/>
      <c r="S136" s="31" t="s">
        <v>1965</v>
      </c>
      <c r="T136" s="22" t="s">
        <v>1966</v>
      </c>
      <c r="U136" s="31"/>
      <c r="V136" s="22"/>
      <c r="W136" s="45" t="s">
        <v>1967</v>
      </c>
      <c r="X136" s="45" t="s">
        <v>1968</v>
      </c>
      <c r="Y136" s="22"/>
      <c r="Z136" s="22"/>
    </row>
    <row r="137" spans="1:26" ht="42.75">
      <c r="A137" s="22">
        <v>136</v>
      </c>
      <c r="B137" s="32" t="s">
        <v>1969</v>
      </c>
      <c r="C137" s="22"/>
      <c r="D137" s="22" t="s">
        <v>493</v>
      </c>
      <c r="E137" s="22" t="s">
        <v>508</v>
      </c>
      <c r="F137" s="31" t="s">
        <v>4267</v>
      </c>
      <c r="G137" s="22" t="s">
        <v>755</v>
      </c>
      <c r="H137" s="31" t="s">
        <v>1970</v>
      </c>
      <c r="I137" s="31" t="s">
        <v>1874</v>
      </c>
      <c r="J137" s="22" t="s">
        <v>1971</v>
      </c>
      <c r="K137" s="33" t="s">
        <v>174</v>
      </c>
      <c r="L137" s="33" t="s">
        <v>782</v>
      </c>
      <c r="M137" s="33" t="s">
        <v>883</v>
      </c>
      <c r="N137" s="33" t="s">
        <v>795</v>
      </c>
      <c r="O137" s="22"/>
      <c r="P137" s="22">
        <v>167</v>
      </c>
      <c r="Q137" s="51">
        <v>44593</v>
      </c>
      <c r="R137" s="22" t="s">
        <v>1797</v>
      </c>
      <c r="S137" s="22"/>
      <c r="T137" s="22"/>
      <c r="U137" s="31"/>
      <c r="V137" s="22"/>
      <c r="W137" s="45" t="s">
        <v>1972</v>
      </c>
      <c r="X137" s="45" t="s">
        <v>1973</v>
      </c>
    </row>
    <row r="138" spans="1:26" ht="57">
      <c r="A138" s="22">
        <v>137</v>
      </c>
      <c r="B138" s="31" t="s">
        <v>1974</v>
      </c>
      <c r="C138" s="22"/>
      <c r="D138" s="22" t="s">
        <v>493</v>
      </c>
      <c r="E138" s="22" t="s">
        <v>508</v>
      </c>
      <c r="F138" s="31" t="s">
        <v>4268</v>
      </c>
      <c r="G138" s="22" t="s">
        <v>755</v>
      </c>
      <c r="H138" s="31" t="s">
        <v>1975</v>
      </c>
      <c r="I138" s="31" t="s">
        <v>1003</v>
      </c>
      <c r="J138" s="22" t="s">
        <v>1976</v>
      </c>
      <c r="K138" s="33" t="s">
        <v>175</v>
      </c>
      <c r="L138" s="33" t="s">
        <v>758</v>
      </c>
      <c r="M138" s="33" t="s">
        <v>795</v>
      </c>
      <c r="N138" s="33" t="s">
        <v>855</v>
      </c>
      <c r="O138" s="33" t="s">
        <v>1219</v>
      </c>
      <c r="P138" s="22"/>
      <c r="Q138" s="22"/>
      <c r="R138" s="22"/>
      <c r="S138" s="31" t="s">
        <v>1977</v>
      </c>
      <c r="T138" s="22" t="s">
        <v>2214</v>
      </c>
      <c r="U138" s="31" t="s">
        <v>1978</v>
      </c>
      <c r="V138" s="22"/>
      <c r="W138" s="45" t="s">
        <v>1979</v>
      </c>
      <c r="X138" s="45" t="s">
        <v>4729</v>
      </c>
    </row>
    <row r="139" spans="1:26" ht="42.75">
      <c r="A139" s="22">
        <v>138</v>
      </c>
      <c r="B139" s="31" t="s">
        <v>1980</v>
      </c>
      <c r="C139" s="22"/>
      <c r="D139" s="22" t="s">
        <v>493</v>
      </c>
      <c r="E139" s="22" t="s">
        <v>508</v>
      </c>
      <c r="F139" s="31" t="s">
        <v>4269</v>
      </c>
      <c r="G139" s="22" t="s">
        <v>755</v>
      </c>
      <c r="H139" s="31" t="s">
        <v>1981</v>
      </c>
      <c r="I139" s="31" t="s">
        <v>1003</v>
      </c>
      <c r="J139" s="22" t="s">
        <v>1982</v>
      </c>
      <c r="K139" s="33" t="s">
        <v>175</v>
      </c>
      <c r="L139" s="33" t="s">
        <v>758</v>
      </c>
      <c r="M139" s="33" t="s">
        <v>815</v>
      </c>
      <c r="N139" s="33" t="s">
        <v>795</v>
      </c>
      <c r="O139" s="36" t="s">
        <v>1983</v>
      </c>
      <c r="P139" s="22">
        <v>199</v>
      </c>
      <c r="Q139" s="22" t="s">
        <v>2012</v>
      </c>
      <c r="R139" s="22" t="s">
        <v>1797</v>
      </c>
      <c r="S139" s="22"/>
      <c r="T139" s="22" t="s">
        <v>1984</v>
      </c>
      <c r="U139" s="31" t="s">
        <v>1978</v>
      </c>
      <c r="V139" s="22"/>
      <c r="W139" s="45" t="s">
        <v>1985</v>
      </c>
      <c r="X139" s="45" t="s">
        <v>1986</v>
      </c>
      <c r="Y139" s="45" t="s">
        <v>1987</v>
      </c>
    </row>
    <row r="140" spans="1:26" ht="42.75">
      <c r="A140" s="22">
        <v>139</v>
      </c>
      <c r="B140" s="31" t="s">
        <v>1988</v>
      </c>
      <c r="C140" s="22"/>
      <c r="D140" s="22" t="s">
        <v>493</v>
      </c>
      <c r="E140" s="22" t="s">
        <v>508</v>
      </c>
      <c r="F140" s="31" t="s">
        <v>4270</v>
      </c>
      <c r="G140" s="22" t="s">
        <v>755</v>
      </c>
      <c r="H140" s="31" t="s">
        <v>1981</v>
      </c>
      <c r="I140" s="31" t="s">
        <v>1874</v>
      </c>
      <c r="J140" s="22" t="s">
        <v>1989</v>
      </c>
      <c r="K140" s="33" t="s">
        <v>175</v>
      </c>
      <c r="L140" s="33" t="s">
        <v>758</v>
      </c>
      <c r="M140" s="33" t="s">
        <v>883</v>
      </c>
      <c r="N140" s="33" t="s">
        <v>795</v>
      </c>
      <c r="O140" s="22"/>
      <c r="P140" s="22">
        <v>204</v>
      </c>
      <c r="Q140" s="51">
        <v>44743</v>
      </c>
      <c r="R140" s="22" t="s">
        <v>1797</v>
      </c>
      <c r="S140" s="31" t="s">
        <v>837</v>
      </c>
      <c r="T140" s="31" t="s">
        <v>2029</v>
      </c>
      <c r="U140" s="31" t="s">
        <v>1991</v>
      </c>
      <c r="V140" s="22"/>
      <c r="W140" s="45" t="s">
        <v>1992</v>
      </c>
      <c r="X140" s="45" t="s">
        <v>1986</v>
      </c>
      <c r="Y140" s="45" t="s">
        <v>1987</v>
      </c>
    </row>
    <row r="141" spans="1:26" ht="42.75">
      <c r="A141" s="22">
        <v>140</v>
      </c>
      <c r="B141" s="38" t="s">
        <v>1993</v>
      </c>
      <c r="C141" s="22"/>
      <c r="D141" s="22" t="s">
        <v>493</v>
      </c>
      <c r="E141" s="22" t="s">
        <v>508</v>
      </c>
      <c r="F141" s="31" t="s">
        <v>4271</v>
      </c>
      <c r="G141" s="22" t="s">
        <v>755</v>
      </c>
      <c r="H141" s="31" t="s">
        <v>1999</v>
      </c>
      <c r="I141" s="31" t="s">
        <v>1003</v>
      </c>
      <c r="J141" s="22" t="s">
        <v>1994</v>
      </c>
      <c r="K141" s="33"/>
      <c r="L141" s="33" t="s">
        <v>758</v>
      </c>
      <c r="M141" s="33" t="s">
        <v>883</v>
      </c>
      <c r="N141" s="33" t="s">
        <v>795</v>
      </c>
      <c r="O141" s="22"/>
      <c r="P141" s="22"/>
      <c r="Q141" s="22"/>
      <c r="R141" s="22"/>
      <c r="S141" s="22"/>
      <c r="T141" s="22" t="s">
        <v>2016</v>
      </c>
      <c r="U141" s="31"/>
      <c r="V141" s="22" t="s">
        <v>1996</v>
      </c>
      <c r="W141" s="45" t="s">
        <v>1997</v>
      </c>
      <c r="X141" s="45" t="s">
        <v>1998</v>
      </c>
      <c r="Y141" s="22"/>
    </row>
    <row r="142" spans="1:26" ht="42.75">
      <c r="A142" s="22">
        <v>141</v>
      </c>
      <c r="B142" s="49" t="s">
        <v>1993</v>
      </c>
      <c r="C142" s="22"/>
      <c r="D142" s="22" t="s">
        <v>493</v>
      </c>
      <c r="E142" s="22" t="s">
        <v>508</v>
      </c>
      <c r="F142" s="31" t="s">
        <v>4272</v>
      </c>
      <c r="G142" s="22" t="s">
        <v>755</v>
      </c>
      <c r="H142" s="22" t="s">
        <v>1999</v>
      </c>
      <c r="I142" s="31" t="s">
        <v>1003</v>
      </c>
      <c r="J142" s="22" t="s">
        <v>1994</v>
      </c>
      <c r="K142" s="33" t="s">
        <v>2001</v>
      </c>
      <c r="L142" s="33" t="s">
        <v>782</v>
      </c>
      <c r="M142" s="33" t="s">
        <v>883</v>
      </c>
      <c r="N142" s="33" t="s">
        <v>795</v>
      </c>
      <c r="O142" s="22"/>
      <c r="P142" s="22"/>
      <c r="Q142" s="22"/>
      <c r="R142" s="22"/>
      <c r="S142" s="22" t="s">
        <v>2002</v>
      </c>
      <c r="T142" s="31" t="s">
        <v>2017</v>
      </c>
      <c r="U142" s="31"/>
      <c r="V142" s="22"/>
      <c r="W142" s="45" t="s">
        <v>1997</v>
      </c>
      <c r="X142" s="45" t="s">
        <v>1998</v>
      </c>
      <c r="Y142" s="22"/>
    </row>
    <row r="143" spans="1:26" ht="28.5">
      <c r="A143" s="22">
        <v>142</v>
      </c>
      <c r="B143" s="31" t="s">
        <v>2003</v>
      </c>
      <c r="C143" s="22"/>
      <c r="D143" s="22" t="s">
        <v>493</v>
      </c>
      <c r="E143" s="22" t="s">
        <v>508</v>
      </c>
      <c r="F143" s="31" t="s">
        <v>4273</v>
      </c>
      <c r="G143" s="22" t="s">
        <v>755</v>
      </c>
      <c r="H143" s="31" t="s">
        <v>2004</v>
      </c>
      <c r="I143" s="31" t="s">
        <v>1203</v>
      </c>
      <c r="J143" s="22" t="s">
        <v>2005</v>
      </c>
      <c r="K143" s="33" t="s">
        <v>2006</v>
      </c>
      <c r="L143" s="33" t="s">
        <v>782</v>
      </c>
      <c r="M143" s="33" t="s">
        <v>1205</v>
      </c>
      <c r="N143" s="33" t="s">
        <v>1904</v>
      </c>
      <c r="O143" s="22"/>
      <c r="P143" s="22">
        <v>60</v>
      </c>
      <c r="Q143" s="51">
        <v>44562</v>
      </c>
      <c r="R143" s="22" t="s">
        <v>1797</v>
      </c>
      <c r="S143" s="31" t="s">
        <v>2007</v>
      </c>
      <c r="T143" s="22" t="s">
        <v>2008</v>
      </c>
      <c r="U143" s="31" t="s">
        <v>2028</v>
      </c>
      <c r="V143" s="22" t="s">
        <v>1201</v>
      </c>
      <c r="W143" s="45" t="s">
        <v>2009</v>
      </c>
      <c r="X143" s="45" t="s">
        <v>2010</v>
      </c>
    </row>
    <row r="144" spans="1:26" ht="57">
      <c r="A144" s="22">
        <v>143</v>
      </c>
      <c r="B144" s="31" t="s">
        <v>2033</v>
      </c>
      <c r="C144" s="22">
        <v>203</v>
      </c>
      <c r="D144" s="31" t="s">
        <v>499</v>
      </c>
      <c r="E144" s="22" t="s">
        <v>509</v>
      </c>
      <c r="F144" s="31" t="s">
        <v>4274</v>
      </c>
      <c r="G144" s="22" t="s">
        <v>755</v>
      </c>
      <c r="H144" s="31" t="s">
        <v>2034</v>
      </c>
      <c r="I144" s="31" t="s">
        <v>1003</v>
      </c>
      <c r="J144" s="22" t="s">
        <v>2035</v>
      </c>
      <c r="K144" s="33" t="s">
        <v>1236</v>
      </c>
      <c r="L144" s="33" t="s">
        <v>782</v>
      </c>
      <c r="M144" s="33" t="s">
        <v>2032</v>
      </c>
      <c r="N144" s="33" t="s">
        <v>1213</v>
      </c>
      <c r="O144" s="22"/>
      <c r="P144" s="22">
        <v>375</v>
      </c>
      <c r="Q144" s="51">
        <v>44166</v>
      </c>
      <c r="R144" s="31" t="s">
        <v>3840</v>
      </c>
      <c r="S144" s="22"/>
      <c r="T144" s="22" t="s">
        <v>2039</v>
      </c>
      <c r="U144" s="31"/>
      <c r="V144" s="1"/>
      <c r="W144" s="45" t="s">
        <v>3276</v>
      </c>
      <c r="X144" s="1"/>
    </row>
    <row r="145" spans="1:26" ht="57">
      <c r="A145" s="22">
        <v>144</v>
      </c>
      <c r="B145" s="31" t="s">
        <v>2040</v>
      </c>
      <c r="C145" s="22"/>
      <c r="D145" s="22" t="s">
        <v>493</v>
      </c>
      <c r="E145" s="22" t="s">
        <v>508</v>
      </c>
      <c r="F145" s="31" t="s">
        <v>4275</v>
      </c>
      <c r="G145" s="22" t="s">
        <v>755</v>
      </c>
      <c r="H145" s="31" t="s">
        <v>2041</v>
      </c>
      <c r="I145" s="31" t="s">
        <v>1874</v>
      </c>
      <c r="J145" s="22" t="s">
        <v>2042</v>
      </c>
      <c r="K145" s="33" t="s">
        <v>175</v>
      </c>
      <c r="L145" s="33" t="s">
        <v>782</v>
      </c>
      <c r="M145" s="33" t="s">
        <v>855</v>
      </c>
      <c r="N145" s="33" t="s">
        <v>925</v>
      </c>
      <c r="O145" s="36" t="s">
        <v>2043</v>
      </c>
      <c r="P145" s="22"/>
      <c r="Q145" s="22"/>
      <c r="R145" s="22"/>
      <c r="S145" s="31" t="s">
        <v>2049</v>
      </c>
      <c r="T145" s="22" t="s">
        <v>2044</v>
      </c>
      <c r="U145" s="31" t="s">
        <v>2045</v>
      </c>
      <c r="V145" s="22" t="s">
        <v>2046</v>
      </c>
      <c r="W145" s="45" t="s">
        <v>2047</v>
      </c>
      <c r="X145" s="45" t="s">
        <v>2048</v>
      </c>
    </row>
    <row r="146" spans="1:26" ht="28.5">
      <c r="A146" s="22">
        <v>145</v>
      </c>
      <c r="B146" s="31" t="s">
        <v>2052</v>
      </c>
      <c r="C146" s="22"/>
      <c r="D146" s="22" t="s">
        <v>493</v>
      </c>
      <c r="E146" s="22" t="s">
        <v>508</v>
      </c>
      <c r="F146" s="31" t="s">
        <v>4276</v>
      </c>
      <c r="G146" s="22" t="s">
        <v>755</v>
      </c>
      <c r="H146" s="31" t="s">
        <v>2050</v>
      </c>
      <c r="I146" s="31" t="s">
        <v>1003</v>
      </c>
      <c r="J146" s="22" t="s">
        <v>2051</v>
      </c>
      <c r="K146" s="33" t="s">
        <v>43</v>
      </c>
      <c r="L146" s="33" t="s">
        <v>758</v>
      </c>
      <c r="M146" s="33" t="s">
        <v>1188</v>
      </c>
      <c r="N146" s="33" t="s">
        <v>855</v>
      </c>
      <c r="O146" s="22"/>
      <c r="P146" s="22"/>
      <c r="Q146" s="22"/>
      <c r="R146" s="22"/>
      <c r="S146" s="31" t="s">
        <v>880</v>
      </c>
      <c r="T146" s="31" t="s">
        <v>2068</v>
      </c>
      <c r="U146" s="31" t="s">
        <v>2076</v>
      </c>
      <c r="V146" s="22"/>
      <c r="W146" s="45" t="s">
        <v>2053</v>
      </c>
      <c r="X146" s="45" t="s">
        <v>2054</v>
      </c>
    </row>
    <row r="147" spans="1:26" ht="42.75">
      <c r="A147" s="22">
        <v>146</v>
      </c>
      <c r="B147" s="31" t="s">
        <v>2055</v>
      </c>
      <c r="C147" s="22"/>
      <c r="D147" s="22" t="s">
        <v>493</v>
      </c>
      <c r="E147" s="22" t="s">
        <v>508</v>
      </c>
      <c r="F147" s="31" t="s">
        <v>4277</v>
      </c>
      <c r="G147" s="22"/>
      <c r="H147" s="31" t="s">
        <v>2056</v>
      </c>
      <c r="I147" s="31" t="s">
        <v>1003</v>
      </c>
      <c r="J147" s="22" t="s">
        <v>2057</v>
      </c>
      <c r="K147" s="33" t="s">
        <v>92</v>
      </c>
      <c r="L147" s="33" t="s">
        <v>782</v>
      </c>
      <c r="M147" s="33" t="s">
        <v>883</v>
      </c>
      <c r="N147" s="33" t="s">
        <v>1323</v>
      </c>
      <c r="O147" s="22"/>
      <c r="P147" s="22"/>
      <c r="Q147" s="22"/>
      <c r="R147" s="31" t="s">
        <v>3840</v>
      </c>
      <c r="S147" s="31" t="s">
        <v>2058</v>
      </c>
      <c r="T147" s="22" t="s">
        <v>2415</v>
      </c>
      <c r="U147" s="31"/>
      <c r="V147" s="22" t="s">
        <v>2065</v>
      </c>
      <c r="W147" s="45" t="s">
        <v>2059</v>
      </c>
      <c r="X147" s="45" t="s">
        <v>2060</v>
      </c>
    </row>
    <row r="148" spans="1:26" ht="42.75">
      <c r="A148" s="22">
        <v>147</v>
      </c>
      <c r="B148" s="31" t="s">
        <v>2061</v>
      </c>
      <c r="C148" s="22">
        <v>360</v>
      </c>
      <c r="D148" s="31" t="s">
        <v>499</v>
      </c>
      <c r="E148" s="22" t="s">
        <v>508</v>
      </c>
      <c r="F148" s="31" t="s">
        <v>4279</v>
      </c>
      <c r="G148" s="22" t="s">
        <v>755</v>
      </c>
      <c r="H148" s="31" t="s">
        <v>2062</v>
      </c>
      <c r="I148" s="31" t="s">
        <v>1003</v>
      </c>
      <c r="J148" s="22" t="s">
        <v>2063</v>
      </c>
      <c r="K148" s="33" t="s">
        <v>33</v>
      </c>
      <c r="L148" s="33" t="s">
        <v>785</v>
      </c>
      <c r="M148" s="33" t="s">
        <v>883</v>
      </c>
      <c r="N148" s="33" t="s">
        <v>1323</v>
      </c>
      <c r="O148" s="22"/>
      <c r="P148" s="22"/>
      <c r="Q148" s="22"/>
      <c r="R148" s="22"/>
      <c r="S148" s="31" t="s">
        <v>2064</v>
      </c>
      <c r="T148" s="31" t="s">
        <v>2558</v>
      </c>
      <c r="U148" s="31"/>
      <c r="V148" s="22"/>
      <c r="W148" s="45" t="s">
        <v>3277</v>
      </c>
      <c r="X148" s="45" t="s">
        <v>3278</v>
      </c>
    </row>
    <row r="149" spans="1:26" ht="57">
      <c r="A149" s="22">
        <v>148</v>
      </c>
      <c r="B149" s="31" t="s">
        <v>2069</v>
      </c>
      <c r="C149" s="22"/>
      <c r="D149" s="22" t="s">
        <v>489</v>
      </c>
      <c r="E149" s="22" t="s">
        <v>508</v>
      </c>
      <c r="F149" s="31" t="s">
        <v>4278</v>
      </c>
      <c r="G149" s="22" t="s">
        <v>755</v>
      </c>
      <c r="H149" s="31" t="s">
        <v>2066</v>
      </c>
      <c r="I149" s="31" t="s">
        <v>1003</v>
      </c>
      <c r="J149" s="22" t="s">
        <v>2067</v>
      </c>
      <c r="K149" s="33" t="s">
        <v>372</v>
      </c>
      <c r="L149" s="33" t="s">
        <v>758</v>
      </c>
      <c r="M149" s="33" t="s">
        <v>1205</v>
      </c>
      <c r="N149" s="33" t="s">
        <v>1160</v>
      </c>
      <c r="O149" s="22"/>
      <c r="P149" s="22"/>
      <c r="Q149" s="22"/>
      <c r="R149" s="22"/>
      <c r="S149" s="31" t="s">
        <v>2071</v>
      </c>
      <c r="T149" s="22"/>
      <c r="U149" s="31" t="s">
        <v>2070</v>
      </c>
      <c r="V149" s="22"/>
      <c r="W149" s="45" t="s">
        <v>2072</v>
      </c>
      <c r="X149" s="45" t="s">
        <v>2073</v>
      </c>
    </row>
    <row r="150" spans="1:26" ht="28.5">
      <c r="A150" s="22">
        <v>149</v>
      </c>
      <c r="B150" s="31" t="s">
        <v>2074</v>
      </c>
      <c r="C150" s="22"/>
      <c r="D150" s="22" t="s">
        <v>493</v>
      </c>
      <c r="E150" s="22" t="s">
        <v>508</v>
      </c>
      <c r="F150" s="31" t="s">
        <v>2078</v>
      </c>
      <c r="G150" s="22" t="s">
        <v>755</v>
      </c>
      <c r="H150" s="31" t="s">
        <v>2077</v>
      </c>
      <c r="I150" s="31" t="s">
        <v>1003</v>
      </c>
      <c r="J150" s="22" t="s">
        <v>2080</v>
      </c>
      <c r="K150" s="33" t="s">
        <v>43</v>
      </c>
      <c r="L150" s="33" t="s">
        <v>758</v>
      </c>
      <c r="M150" s="33" t="s">
        <v>883</v>
      </c>
      <c r="N150" s="33" t="s">
        <v>1701</v>
      </c>
      <c r="O150" s="22"/>
      <c r="P150" s="22"/>
      <c r="Q150" s="22"/>
      <c r="R150" s="22"/>
      <c r="S150" s="22"/>
      <c r="T150" s="31" t="s">
        <v>2082</v>
      </c>
      <c r="U150" s="31" t="s">
        <v>2414</v>
      </c>
      <c r="V150" s="22"/>
      <c r="W150" s="45" t="s">
        <v>2083</v>
      </c>
      <c r="X150" s="45" t="s">
        <v>2085</v>
      </c>
      <c r="Y150" s="22"/>
    </row>
    <row r="151" spans="1:26" ht="28.5">
      <c r="A151" s="22">
        <v>150</v>
      </c>
      <c r="B151" s="31" t="s">
        <v>2075</v>
      </c>
      <c r="C151" s="22"/>
      <c r="D151" s="22" t="s">
        <v>493</v>
      </c>
      <c r="E151" s="22" t="s">
        <v>508</v>
      </c>
      <c r="F151" s="31" t="s">
        <v>2079</v>
      </c>
      <c r="G151" s="22" t="s">
        <v>755</v>
      </c>
      <c r="H151" s="31" t="s">
        <v>2077</v>
      </c>
      <c r="I151" s="31" t="s">
        <v>1003</v>
      </c>
      <c r="J151" s="22" t="s">
        <v>2080</v>
      </c>
      <c r="K151" s="33" t="s">
        <v>43</v>
      </c>
      <c r="L151" s="33" t="s">
        <v>782</v>
      </c>
      <c r="M151" s="33" t="s">
        <v>883</v>
      </c>
      <c r="N151" s="33" t="s">
        <v>855</v>
      </c>
      <c r="O151" s="22"/>
      <c r="P151" s="22">
        <v>362</v>
      </c>
      <c r="Q151" s="51">
        <v>45597</v>
      </c>
      <c r="R151" s="22" t="s">
        <v>1797</v>
      </c>
      <c r="S151" s="22"/>
      <c r="T151" s="22" t="s">
        <v>2081</v>
      </c>
      <c r="U151" s="31"/>
      <c r="V151" s="22"/>
      <c r="W151" s="45" t="s">
        <v>2084</v>
      </c>
      <c r="X151" s="45" t="s">
        <v>2086</v>
      </c>
      <c r="Y151" s="22"/>
    </row>
    <row r="152" spans="1:26" ht="42.75">
      <c r="A152" s="22">
        <v>151</v>
      </c>
      <c r="B152" s="31" t="s">
        <v>2087</v>
      </c>
      <c r="C152" s="22"/>
      <c r="D152" s="22" t="s">
        <v>493</v>
      </c>
      <c r="E152" s="22" t="s">
        <v>508</v>
      </c>
      <c r="F152" s="31" t="s">
        <v>2088</v>
      </c>
      <c r="G152" s="22" t="s">
        <v>755</v>
      </c>
      <c r="H152" s="31" t="s">
        <v>2089</v>
      </c>
      <c r="I152" s="31" t="s">
        <v>1340</v>
      </c>
      <c r="J152" s="22" t="s">
        <v>2090</v>
      </c>
      <c r="K152" s="33" t="s">
        <v>59</v>
      </c>
      <c r="L152" s="33" t="s">
        <v>782</v>
      </c>
      <c r="M152" s="33" t="s">
        <v>1188</v>
      </c>
      <c r="N152" s="33" t="s">
        <v>1701</v>
      </c>
      <c r="O152" s="22"/>
      <c r="P152" s="22">
        <v>390</v>
      </c>
      <c r="Q152" s="51">
        <v>44013</v>
      </c>
      <c r="R152" s="22" t="s">
        <v>2091</v>
      </c>
      <c r="S152" s="22"/>
      <c r="T152" s="31" t="s">
        <v>2092</v>
      </c>
      <c r="U152" s="31"/>
      <c r="V152" s="22"/>
      <c r="W152" s="45" t="s">
        <v>2093</v>
      </c>
      <c r="X152" s="45" t="s">
        <v>2094</v>
      </c>
    </row>
    <row r="153" spans="1:26" ht="28.5">
      <c r="A153" s="22">
        <v>152</v>
      </c>
      <c r="B153" s="35" t="s">
        <v>2102</v>
      </c>
      <c r="C153" s="22"/>
      <c r="D153" s="22" t="s">
        <v>493</v>
      </c>
      <c r="E153" s="22" t="s">
        <v>508</v>
      </c>
      <c r="F153" s="31" t="s">
        <v>2096</v>
      </c>
      <c r="G153" s="22" t="s">
        <v>755</v>
      </c>
      <c r="H153" s="31" t="s">
        <v>2097</v>
      </c>
      <c r="I153" s="31" t="s">
        <v>1203</v>
      </c>
      <c r="J153" s="22" t="s">
        <v>2098</v>
      </c>
      <c r="K153" s="33" t="s">
        <v>2100</v>
      </c>
      <c r="L153" s="33" t="s">
        <v>782</v>
      </c>
      <c r="M153" s="33" t="s">
        <v>1205</v>
      </c>
      <c r="N153" s="33" t="s">
        <v>1904</v>
      </c>
      <c r="O153" s="22"/>
      <c r="P153" s="22">
        <v>60</v>
      </c>
      <c r="Q153" s="51">
        <v>44562</v>
      </c>
      <c r="R153" s="22" t="s">
        <v>1797</v>
      </c>
      <c r="S153" s="22" t="s">
        <v>2104</v>
      </c>
      <c r="T153" s="22" t="s">
        <v>2008</v>
      </c>
      <c r="U153" s="31" t="s">
        <v>2103</v>
      </c>
      <c r="V153" s="22"/>
      <c r="W153" s="45" t="s">
        <v>2105</v>
      </c>
      <c r="X153" s="45" t="s">
        <v>2106</v>
      </c>
      <c r="Y153" s="22"/>
    </row>
    <row r="154" spans="1:26" ht="28.5">
      <c r="A154" s="22">
        <v>153</v>
      </c>
      <c r="B154" s="35" t="s">
        <v>2107</v>
      </c>
      <c r="C154" s="22">
        <v>48</v>
      </c>
      <c r="D154" s="31" t="s">
        <v>507</v>
      </c>
      <c r="E154" s="22" t="s">
        <v>508</v>
      </c>
      <c r="F154" s="31" t="s">
        <v>2108</v>
      </c>
      <c r="G154" s="22" t="s">
        <v>755</v>
      </c>
      <c r="H154" s="31" t="s">
        <v>2109</v>
      </c>
      <c r="I154" s="31" t="s">
        <v>2115</v>
      </c>
      <c r="J154" s="22" t="s">
        <v>2114</v>
      </c>
      <c r="K154" s="33" t="s">
        <v>2110</v>
      </c>
      <c r="L154" s="33" t="s">
        <v>782</v>
      </c>
      <c r="M154" s="33" t="s">
        <v>1240</v>
      </c>
      <c r="N154" s="33" t="s">
        <v>2032</v>
      </c>
      <c r="O154" s="22"/>
      <c r="P154" s="22"/>
      <c r="Q154" s="22"/>
      <c r="R154" s="22"/>
      <c r="S154" s="22" t="s">
        <v>2118</v>
      </c>
      <c r="T154" s="31" t="s">
        <v>2117</v>
      </c>
      <c r="U154" s="31"/>
      <c r="V154" s="22" t="s">
        <v>2116</v>
      </c>
      <c r="W154" s="45" t="s">
        <v>2119</v>
      </c>
      <c r="X154" s="45" t="s">
        <v>2120</v>
      </c>
      <c r="Y154" s="45" t="s">
        <v>2121</v>
      </c>
    </row>
    <row r="155" spans="1:26" ht="28.5">
      <c r="A155" s="22">
        <v>154</v>
      </c>
      <c r="B155" s="35" t="s">
        <v>2123</v>
      </c>
      <c r="C155" s="22" t="s">
        <v>2122</v>
      </c>
      <c r="D155" s="22" t="s">
        <v>493</v>
      </c>
      <c r="E155" s="22" t="s">
        <v>508</v>
      </c>
      <c r="F155" s="31" t="s">
        <v>2124</v>
      </c>
      <c r="G155" s="22" t="s">
        <v>755</v>
      </c>
      <c r="H155" s="31" t="s">
        <v>2125</v>
      </c>
      <c r="I155" s="31" t="s">
        <v>1774</v>
      </c>
      <c r="J155" s="22" t="s">
        <v>2127</v>
      </c>
      <c r="K155" s="33" t="s">
        <v>99</v>
      </c>
      <c r="L155" s="33" t="s">
        <v>758</v>
      </c>
      <c r="M155" s="33" t="s">
        <v>1188</v>
      </c>
      <c r="N155" s="33" t="s">
        <v>980</v>
      </c>
      <c r="O155" s="22"/>
      <c r="P155" s="22"/>
      <c r="Q155" s="22"/>
      <c r="R155" s="22"/>
      <c r="S155" s="31" t="s">
        <v>1181</v>
      </c>
      <c r="T155" s="31" t="s">
        <v>2128</v>
      </c>
      <c r="U155" s="31" t="s">
        <v>2129</v>
      </c>
      <c r="V155" s="22" t="s">
        <v>2126</v>
      </c>
      <c r="W155" s="45" t="s">
        <v>2130</v>
      </c>
      <c r="X155" s="45" t="s">
        <v>2131</v>
      </c>
      <c r="Y155" s="45" t="s">
        <v>2132</v>
      </c>
    </row>
    <row r="156" spans="1:26" ht="28.5">
      <c r="A156" s="22">
        <v>155</v>
      </c>
      <c r="B156" s="35" t="s">
        <v>2123</v>
      </c>
      <c r="C156" s="22" t="s">
        <v>2133</v>
      </c>
      <c r="D156" s="22" t="s">
        <v>492</v>
      </c>
      <c r="E156" s="22" t="s">
        <v>508</v>
      </c>
      <c r="F156" s="31" t="s">
        <v>2134</v>
      </c>
      <c r="G156" s="22" t="s">
        <v>755</v>
      </c>
      <c r="H156" s="31" t="s">
        <v>2125</v>
      </c>
      <c r="I156" s="31" t="s">
        <v>1874</v>
      </c>
      <c r="J156" s="22" t="s">
        <v>2127</v>
      </c>
      <c r="K156" s="33" t="s">
        <v>99</v>
      </c>
      <c r="L156" s="33" t="s">
        <v>785</v>
      </c>
      <c r="M156" s="33" t="s">
        <v>1213</v>
      </c>
      <c r="N156" s="33" t="s">
        <v>1407</v>
      </c>
      <c r="O156" s="22"/>
      <c r="P156" s="22"/>
      <c r="Q156" s="22"/>
      <c r="R156" s="22"/>
      <c r="S156" s="22" t="s">
        <v>2135</v>
      </c>
      <c r="T156" s="31" t="s">
        <v>2213</v>
      </c>
      <c r="U156" s="31"/>
      <c r="V156" s="31" t="s">
        <v>2136</v>
      </c>
      <c r="W156" s="45" t="s">
        <v>2142</v>
      </c>
      <c r="X156" s="45" t="s">
        <v>2143</v>
      </c>
      <c r="Y156" s="45" t="s">
        <v>2144</v>
      </c>
      <c r="Z156" s="22"/>
    </row>
    <row r="157" spans="1:26" ht="28.5">
      <c r="A157" s="22">
        <v>156</v>
      </c>
      <c r="B157" s="35" t="s">
        <v>2123</v>
      </c>
      <c r="C157" s="22" t="s">
        <v>2138</v>
      </c>
      <c r="D157" s="22" t="s">
        <v>492</v>
      </c>
      <c r="E157" s="22" t="s">
        <v>508</v>
      </c>
      <c r="F157" s="31" t="s">
        <v>2139</v>
      </c>
      <c r="G157" s="22" t="s">
        <v>755</v>
      </c>
      <c r="H157" s="31" t="s">
        <v>2140</v>
      </c>
      <c r="I157" s="31" t="s">
        <v>1874</v>
      </c>
      <c r="J157" s="22" t="s">
        <v>2141</v>
      </c>
      <c r="K157" s="33" t="s">
        <v>99</v>
      </c>
      <c r="L157" s="33" t="s">
        <v>782</v>
      </c>
      <c r="M157" s="33" t="s">
        <v>1213</v>
      </c>
      <c r="N157" s="33" t="s">
        <v>1407</v>
      </c>
      <c r="O157" s="22"/>
      <c r="P157" s="22"/>
      <c r="Q157" s="22"/>
      <c r="R157" s="22"/>
      <c r="S157" s="22" t="s">
        <v>837</v>
      </c>
      <c r="T157" s="31" t="s">
        <v>2137</v>
      </c>
      <c r="U157" s="31"/>
      <c r="V157" s="22"/>
      <c r="W157" s="45" t="s">
        <v>2145</v>
      </c>
      <c r="X157" s="45" t="s">
        <v>2146</v>
      </c>
      <c r="Y157" s="45" t="s">
        <v>2144</v>
      </c>
      <c r="Z157" s="22"/>
    </row>
    <row r="158" spans="1:26" ht="42.75">
      <c r="A158" s="22">
        <v>157</v>
      </c>
      <c r="B158" s="35" t="s">
        <v>2147</v>
      </c>
      <c r="C158" s="22">
        <v>965</v>
      </c>
      <c r="D158" s="22" t="s">
        <v>493</v>
      </c>
      <c r="E158" s="22" t="s">
        <v>508</v>
      </c>
      <c r="F158" s="31" t="s">
        <v>4280</v>
      </c>
      <c r="G158" s="22" t="s">
        <v>755</v>
      </c>
      <c r="H158" s="31" t="s">
        <v>2194</v>
      </c>
      <c r="I158" s="31" t="s">
        <v>1774</v>
      </c>
      <c r="J158" s="22" t="s">
        <v>2148</v>
      </c>
      <c r="K158" s="33" t="s">
        <v>99</v>
      </c>
      <c r="L158" s="33" t="s">
        <v>758</v>
      </c>
      <c r="M158" s="33" t="s">
        <v>855</v>
      </c>
      <c r="N158" s="33" t="s">
        <v>2149</v>
      </c>
      <c r="O158" s="22" t="s">
        <v>785</v>
      </c>
      <c r="P158" s="22"/>
      <c r="Q158" s="22"/>
      <c r="R158" s="22"/>
      <c r="S158" s="22" t="s">
        <v>1863</v>
      </c>
      <c r="T158" s="31" t="s">
        <v>2195</v>
      </c>
      <c r="U158" s="31" t="s">
        <v>2150</v>
      </c>
      <c r="V158" s="22"/>
      <c r="W158" s="45" t="s">
        <v>2151</v>
      </c>
      <c r="X158" s="45" t="s">
        <v>2152</v>
      </c>
      <c r="Y158" s="45" t="s">
        <v>2153</v>
      </c>
      <c r="Z158" s="22"/>
    </row>
    <row r="159" spans="1:26" ht="28.5">
      <c r="A159" s="22">
        <v>158</v>
      </c>
      <c r="B159" s="35" t="s">
        <v>2154</v>
      </c>
      <c r="C159" s="22">
        <v>556</v>
      </c>
      <c r="D159" s="31" t="s">
        <v>490</v>
      </c>
      <c r="E159" s="22" t="s">
        <v>508</v>
      </c>
      <c r="F159" s="31" t="s">
        <v>4281</v>
      </c>
      <c r="G159" s="22" t="s">
        <v>755</v>
      </c>
      <c r="H159" s="31" t="s">
        <v>2155</v>
      </c>
      <c r="I159" s="31" t="s">
        <v>1340</v>
      </c>
      <c r="J159" s="22" t="s">
        <v>2156</v>
      </c>
      <c r="K159" s="33" t="s">
        <v>131</v>
      </c>
      <c r="L159" s="33" t="s">
        <v>758</v>
      </c>
      <c r="M159" s="33" t="s">
        <v>883</v>
      </c>
      <c r="N159" s="33" t="s">
        <v>2157</v>
      </c>
      <c r="O159" s="36" t="s">
        <v>2158</v>
      </c>
      <c r="P159" s="22">
        <v>174</v>
      </c>
      <c r="Q159" s="51">
        <v>45231</v>
      </c>
      <c r="R159" s="22" t="s">
        <v>1797</v>
      </c>
      <c r="S159" s="31" t="s">
        <v>2160</v>
      </c>
      <c r="T159" s="31" t="s">
        <v>2162</v>
      </c>
      <c r="U159" s="31" t="s">
        <v>2159</v>
      </c>
      <c r="V159" s="22"/>
      <c r="W159" s="45" t="s">
        <v>2161</v>
      </c>
      <c r="X159" s="45" t="s">
        <v>4730</v>
      </c>
      <c r="Y159" s="22"/>
    </row>
    <row r="160" spans="1:26" ht="85.5">
      <c r="A160" s="22">
        <v>159</v>
      </c>
      <c r="B160" s="35" t="s">
        <v>2163</v>
      </c>
      <c r="C160" s="22">
        <v>503</v>
      </c>
      <c r="D160" s="22" t="s">
        <v>489</v>
      </c>
      <c r="E160" s="22" t="s">
        <v>508</v>
      </c>
      <c r="F160" s="31" t="s">
        <v>2164</v>
      </c>
      <c r="G160" s="22" t="s">
        <v>755</v>
      </c>
      <c r="H160" s="31" t="s">
        <v>2165</v>
      </c>
      <c r="I160" s="31" t="s">
        <v>1003</v>
      </c>
      <c r="J160" s="22" t="s">
        <v>2166</v>
      </c>
      <c r="K160" s="33" t="s">
        <v>86</v>
      </c>
      <c r="L160" s="33" t="s">
        <v>758</v>
      </c>
      <c r="M160" s="33" t="s">
        <v>2169</v>
      </c>
      <c r="N160" s="33" t="s">
        <v>2167</v>
      </c>
      <c r="O160" s="22"/>
      <c r="P160" s="22"/>
      <c r="Q160" s="22"/>
      <c r="R160" s="31" t="s">
        <v>3840</v>
      </c>
      <c r="S160" s="22" t="s">
        <v>2168</v>
      </c>
      <c r="T160" s="31" t="s">
        <v>2170</v>
      </c>
      <c r="U160" s="31" t="s">
        <v>2363</v>
      </c>
      <c r="V160" s="22"/>
      <c r="W160" s="45" t="s">
        <v>2171</v>
      </c>
      <c r="X160" s="45" t="s">
        <v>2172</v>
      </c>
      <c r="Y160" s="22"/>
      <c r="Z160" s="22"/>
    </row>
    <row r="161" spans="1:26" ht="28.5">
      <c r="A161" s="22">
        <v>160</v>
      </c>
      <c r="B161" s="35" t="s">
        <v>3259</v>
      </c>
      <c r="C161" s="22"/>
      <c r="D161" s="22" t="s">
        <v>502</v>
      </c>
      <c r="E161" s="22" t="s">
        <v>508</v>
      </c>
      <c r="F161" s="31" t="s">
        <v>2173</v>
      </c>
      <c r="G161" s="22" t="s">
        <v>1089</v>
      </c>
      <c r="H161" s="31" t="s">
        <v>2174</v>
      </c>
      <c r="I161" s="31" t="s">
        <v>1003</v>
      </c>
      <c r="J161" s="22" t="s">
        <v>1176</v>
      </c>
      <c r="K161" s="33" t="s">
        <v>2001</v>
      </c>
      <c r="L161" s="33" t="s">
        <v>1024</v>
      </c>
      <c r="M161" s="33" t="s">
        <v>2032</v>
      </c>
      <c r="N161" s="33" t="s">
        <v>1205</v>
      </c>
      <c r="O161" s="22"/>
      <c r="P161" s="22"/>
      <c r="Q161" s="22"/>
      <c r="R161" s="22"/>
      <c r="S161" s="22" t="s">
        <v>1026</v>
      </c>
      <c r="T161" s="31" t="s">
        <v>2175</v>
      </c>
      <c r="U161" s="31"/>
      <c r="V161" s="22"/>
      <c r="W161" s="45" t="s">
        <v>2176</v>
      </c>
      <c r="X161" s="45" t="s">
        <v>2177</v>
      </c>
    </row>
    <row r="162" spans="1:26" ht="42.75">
      <c r="A162" s="22">
        <v>161</v>
      </c>
      <c r="B162" s="35" t="s">
        <v>2178</v>
      </c>
      <c r="C162" s="22">
        <v>514</v>
      </c>
      <c r="D162" s="22" t="s">
        <v>492</v>
      </c>
      <c r="E162" s="22" t="s">
        <v>508</v>
      </c>
      <c r="F162" s="31" t="s">
        <v>4282</v>
      </c>
      <c r="G162" s="22" t="s">
        <v>755</v>
      </c>
      <c r="H162" s="31" t="s">
        <v>2180</v>
      </c>
      <c r="I162" s="31" t="s">
        <v>1003</v>
      </c>
      <c r="J162" s="22" t="s">
        <v>2179</v>
      </c>
      <c r="K162" s="33" t="s">
        <v>43</v>
      </c>
      <c r="L162" s="33" t="s">
        <v>782</v>
      </c>
      <c r="M162" s="33" t="s">
        <v>1240</v>
      </c>
      <c r="N162" s="33" t="s">
        <v>1409</v>
      </c>
      <c r="O162" s="22"/>
      <c r="P162" s="22">
        <v>634</v>
      </c>
      <c r="Q162" s="33" t="s">
        <v>2181</v>
      </c>
      <c r="R162" s="33" t="s">
        <v>1797</v>
      </c>
      <c r="S162" s="22" t="s">
        <v>2182</v>
      </c>
      <c r="T162" s="31" t="s">
        <v>4742</v>
      </c>
      <c r="U162" s="31"/>
      <c r="V162" s="22"/>
      <c r="W162" s="45" t="s">
        <v>2183</v>
      </c>
      <c r="X162" s="22"/>
    </row>
    <row r="163" spans="1:26" ht="42.75">
      <c r="A163" s="22">
        <v>162</v>
      </c>
      <c r="B163" s="35" t="s">
        <v>2184</v>
      </c>
      <c r="C163" s="22">
        <v>625</v>
      </c>
      <c r="D163" s="22" t="s">
        <v>493</v>
      </c>
      <c r="E163" s="22" t="s">
        <v>508</v>
      </c>
      <c r="F163" s="31" t="s">
        <v>2186</v>
      </c>
      <c r="G163" s="22" t="s">
        <v>755</v>
      </c>
      <c r="H163" s="31" t="s">
        <v>2187</v>
      </c>
      <c r="I163" s="31" t="s">
        <v>1003</v>
      </c>
      <c r="J163" s="22" t="s">
        <v>2188</v>
      </c>
      <c r="K163" s="33" t="s">
        <v>86</v>
      </c>
      <c r="L163" s="33" t="s">
        <v>782</v>
      </c>
      <c r="M163" s="33" t="s">
        <v>2185</v>
      </c>
      <c r="N163" s="33" t="s">
        <v>1205</v>
      </c>
      <c r="O163" s="22"/>
      <c r="P163" s="22"/>
      <c r="Q163" s="22"/>
      <c r="R163" s="31" t="s">
        <v>3840</v>
      </c>
      <c r="S163" s="22" t="s">
        <v>2189</v>
      </c>
      <c r="T163" s="31" t="s">
        <v>4740</v>
      </c>
      <c r="U163" s="31" t="s">
        <v>2190</v>
      </c>
      <c r="V163" s="22"/>
      <c r="W163" s="45" t="s">
        <v>2191</v>
      </c>
      <c r="X163" s="45" t="s">
        <v>2192</v>
      </c>
      <c r="Y163" s="45" t="s">
        <v>2193</v>
      </c>
      <c r="Z163" s="22"/>
    </row>
    <row r="164" spans="1:26" ht="28.5">
      <c r="A164" s="22">
        <v>163</v>
      </c>
      <c r="B164" s="31" t="s">
        <v>2196</v>
      </c>
      <c r="C164" s="22"/>
      <c r="D164" s="22" t="s">
        <v>489</v>
      </c>
      <c r="E164" s="22" t="s">
        <v>508</v>
      </c>
      <c r="F164" s="31" t="s">
        <v>4022</v>
      </c>
      <c r="G164" s="22" t="s">
        <v>756</v>
      </c>
      <c r="H164" s="31" t="s">
        <v>2197</v>
      </c>
      <c r="I164" s="31" t="s">
        <v>1874</v>
      </c>
      <c r="J164" s="22" t="s">
        <v>2198</v>
      </c>
      <c r="K164" s="33" t="s">
        <v>2200</v>
      </c>
      <c r="L164" s="33" t="s">
        <v>758</v>
      </c>
      <c r="M164" s="33" t="s">
        <v>925</v>
      </c>
      <c r="N164" s="33" t="s">
        <v>1396</v>
      </c>
      <c r="O164" s="22"/>
      <c r="P164" s="22">
        <v>102</v>
      </c>
      <c r="Q164" s="51">
        <v>45323</v>
      </c>
      <c r="R164" s="22" t="s">
        <v>1797</v>
      </c>
      <c r="S164" s="22" t="s">
        <v>1739</v>
      </c>
      <c r="T164" s="22"/>
      <c r="U164" s="31" t="s">
        <v>2204</v>
      </c>
      <c r="V164" s="22"/>
      <c r="W164" s="45" t="s">
        <v>2202</v>
      </c>
      <c r="X164" s="45" t="s">
        <v>2203</v>
      </c>
      <c r="Y164" s="22"/>
    </row>
    <row r="165" spans="1:26" ht="42.75">
      <c r="A165" s="22">
        <v>164</v>
      </c>
      <c r="B165" s="22" t="s">
        <v>2205</v>
      </c>
      <c r="C165" s="22" t="s">
        <v>2206</v>
      </c>
      <c r="D165" s="22" t="s">
        <v>489</v>
      </c>
      <c r="E165" s="22" t="s">
        <v>508</v>
      </c>
      <c r="F165" s="31" t="s">
        <v>4021</v>
      </c>
      <c r="G165" s="22" t="s">
        <v>755</v>
      </c>
      <c r="H165" s="31" t="s">
        <v>2207</v>
      </c>
      <c r="I165" s="22" t="s">
        <v>1340</v>
      </c>
      <c r="J165" s="22" t="s">
        <v>2208</v>
      </c>
      <c r="K165" s="33" t="s">
        <v>1758</v>
      </c>
      <c r="L165" s="33" t="s">
        <v>758</v>
      </c>
      <c r="M165" s="33" t="s">
        <v>925</v>
      </c>
      <c r="N165" s="33" t="s">
        <v>1396</v>
      </c>
      <c r="O165" s="22"/>
      <c r="P165" s="22"/>
      <c r="Q165" s="22"/>
      <c r="R165" s="22"/>
      <c r="S165" s="31" t="s">
        <v>2209</v>
      </c>
      <c r="T165" s="22" t="s">
        <v>2212</v>
      </c>
      <c r="U165" s="31" t="s">
        <v>2210</v>
      </c>
      <c r="V165" s="22"/>
      <c r="W165" s="45" t="s">
        <v>2211</v>
      </c>
      <c r="X165" s="22"/>
      <c r="Y165" s="22"/>
    </row>
    <row r="166" spans="1:26" ht="28.5">
      <c r="A166" s="22">
        <v>165</v>
      </c>
      <c r="B166" s="22" t="s">
        <v>2215</v>
      </c>
      <c r="C166" s="22">
        <v>215</v>
      </c>
      <c r="D166" s="22" t="s">
        <v>493</v>
      </c>
      <c r="E166" s="22" t="s">
        <v>508</v>
      </c>
      <c r="F166" s="31" t="s">
        <v>4020</v>
      </c>
      <c r="G166" s="22" t="s">
        <v>755</v>
      </c>
      <c r="H166" s="31" t="s">
        <v>2217</v>
      </c>
      <c r="I166" s="22" t="s">
        <v>1003</v>
      </c>
      <c r="J166" s="22" t="s">
        <v>2218</v>
      </c>
      <c r="K166" s="36" t="s">
        <v>39</v>
      </c>
      <c r="L166" s="33" t="s">
        <v>785</v>
      </c>
      <c r="M166" s="33" t="s">
        <v>2216</v>
      </c>
      <c r="N166" s="33" t="s">
        <v>1323</v>
      </c>
      <c r="O166" s="22"/>
      <c r="P166" s="22"/>
      <c r="Q166" s="22"/>
      <c r="R166" s="22"/>
      <c r="S166" s="22" t="s">
        <v>2220</v>
      </c>
      <c r="T166" s="31" t="s">
        <v>2312</v>
      </c>
      <c r="U166" s="31" t="s">
        <v>2219</v>
      </c>
      <c r="V166" s="22" t="s">
        <v>2126</v>
      </c>
      <c r="W166" s="45" t="s">
        <v>2221</v>
      </c>
      <c r="X166" s="45" t="s">
        <v>2222</v>
      </c>
      <c r="Y166" s="22"/>
    </row>
    <row r="167" spans="1:26" ht="42.75">
      <c r="A167" s="22">
        <v>166</v>
      </c>
      <c r="B167" s="22" t="s">
        <v>2230</v>
      </c>
      <c r="C167" s="22"/>
      <c r="D167" s="22" t="s">
        <v>489</v>
      </c>
      <c r="E167" s="22" t="s">
        <v>508</v>
      </c>
      <c r="F167" s="31" t="s">
        <v>4019</v>
      </c>
      <c r="G167" s="22" t="s">
        <v>757</v>
      </c>
      <c r="H167" s="31" t="s">
        <v>2227</v>
      </c>
      <c r="I167" s="22" t="s">
        <v>1848</v>
      </c>
      <c r="J167" s="22" t="s">
        <v>2223</v>
      </c>
      <c r="K167" s="33" t="s">
        <v>177</v>
      </c>
      <c r="L167" s="33" t="s">
        <v>782</v>
      </c>
      <c r="M167" s="33" t="s">
        <v>925</v>
      </c>
      <c r="N167" s="33" t="s">
        <v>1404</v>
      </c>
      <c r="O167" s="22"/>
      <c r="P167" s="22"/>
      <c r="Q167" s="22"/>
      <c r="R167" s="31" t="s">
        <v>2225</v>
      </c>
      <c r="S167" s="22" t="s">
        <v>2224</v>
      </c>
      <c r="T167" s="31" t="s">
        <v>2229</v>
      </c>
      <c r="U167" s="31" t="s">
        <v>2228</v>
      </c>
      <c r="V167" s="22"/>
      <c r="W167" s="45" t="s">
        <v>2226</v>
      </c>
      <c r="X167" s="22"/>
      <c r="Y167" s="22"/>
    </row>
    <row r="168" spans="1:26" ht="28.5">
      <c r="A168" s="22">
        <v>167</v>
      </c>
      <c r="B168" s="31" t="s">
        <v>2231</v>
      </c>
      <c r="C168" s="22"/>
      <c r="D168" s="22" t="s">
        <v>489</v>
      </c>
      <c r="E168" s="22" t="s">
        <v>508</v>
      </c>
      <c r="F168" s="31" t="s">
        <v>4018</v>
      </c>
      <c r="G168" s="22" t="s">
        <v>755</v>
      </c>
      <c r="H168" s="31" t="s">
        <v>2232</v>
      </c>
      <c r="I168" s="22" t="s">
        <v>1003</v>
      </c>
      <c r="J168" s="22" t="s">
        <v>2233</v>
      </c>
      <c r="K168" s="33" t="s">
        <v>2235</v>
      </c>
      <c r="L168" s="33" t="s">
        <v>758</v>
      </c>
      <c r="M168" s="33" t="s">
        <v>883</v>
      </c>
      <c r="N168" s="33" t="s">
        <v>855</v>
      </c>
      <c r="O168" s="22"/>
      <c r="P168" s="22"/>
      <c r="Q168" s="22"/>
      <c r="R168" s="22"/>
      <c r="S168" s="31" t="s">
        <v>2236</v>
      </c>
      <c r="T168" s="22" t="s">
        <v>2313</v>
      </c>
      <c r="U168" s="31" t="s">
        <v>2237</v>
      </c>
      <c r="V168" s="31" t="s">
        <v>2238</v>
      </c>
      <c r="W168" s="45" t="s">
        <v>2239</v>
      </c>
      <c r="X168" s="45" t="s">
        <v>2240</v>
      </c>
      <c r="Y168" s="22"/>
    </row>
    <row r="169" spans="1:26" ht="42.75">
      <c r="A169" s="22">
        <v>168</v>
      </c>
      <c r="B169" s="22" t="s">
        <v>2241</v>
      </c>
      <c r="C169" s="22">
        <v>264</v>
      </c>
      <c r="D169" s="31" t="s">
        <v>490</v>
      </c>
      <c r="E169" s="22" t="s">
        <v>508</v>
      </c>
      <c r="F169" s="31" t="s">
        <v>4017</v>
      </c>
      <c r="G169" s="22" t="s">
        <v>755</v>
      </c>
      <c r="H169" s="31" t="s">
        <v>2243</v>
      </c>
      <c r="I169" s="22" t="s">
        <v>1003</v>
      </c>
      <c r="J169" s="22" t="s">
        <v>2242</v>
      </c>
      <c r="K169" s="33" t="s">
        <v>106</v>
      </c>
      <c r="L169" s="33" t="s">
        <v>758</v>
      </c>
      <c r="M169" s="33" t="s">
        <v>2216</v>
      </c>
      <c r="N169" s="33" t="s">
        <v>1904</v>
      </c>
      <c r="O169" s="22"/>
      <c r="P169" s="22"/>
      <c r="Q169" s="22"/>
      <c r="R169" s="22"/>
      <c r="S169" s="31" t="s">
        <v>2245</v>
      </c>
      <c r="T169" s="31" t="s">
        <v>2244</v>
      </c>
      <c r="U169" s="31" t="s">
        <v>2380</v>
      </c>
      <c r="V169" s="22" t="s">
        <v>2126</v>
      </c>
      <c r="W169" s="45" t="s">
        <v>2246</v>
      </c>
      <c r="X169" s="45" t="s">
        <v>2247</v>
      </c>
      <c r="Y169" s="22"/>
    </row>
    <row r="170" spans="1:26" ht="57">
      <c r="A170" s="22">
        <v>169</v>
      </c>
      <c r="B170" s="22" t="s">
        <v>2248</v>
      </c>
      <c r="C170" s="22">
        <v>558</v>
      </c>
      <c r="D170" s="22" t="s">
        <v>489</v>
      </c>
      <c r="E170" s="22" t="s">
        <v>508</v>
      </c>
      <c r="F170" s="31" t="s">
        <v>4016</v>
      </c>
      <c r="G170" s="22" t="s">
        <v>755</v>
      </c>
      <c r="H170" s="31" t="s">
        <v>2249</v>
      </c>
      <c r="I170" s="22" t="s">
        <v>1003</v>
      </c>
      <c r="J170" s="22" t="s">
        <v>2250</v>
      </c>
      <c r="K170" s="36" t="s">
        <v>69</v>
      </c>
      <c r="L170" s="33" t="s">
        <v>758</v>
      </c>
      <c r="M170" s="33" t="s">
        <v>1322</v>
      </c>
      <c r="N170" s="33" t="s">
        <v>855</v>
      </c>
      <c r="O170" s="22"/>
      <c r="P170" s="22"/>
      <c r="Q170" s="22"/>
      <c r="R170" s="31" t="s">
        <v>3841</v>
      </c>
      <c r="S170" s="22"/>
      <c r="T170" s="22" t="s">
        <v>2413</v>
      </c>
      <c r="U170" s="31"/>
      <c r="V170" s="22"/>
      <c r="W170" s="45" t="s">
        <v>2251</v>
      </c>
      <c r="X170" s="45" t="s">
        <v>2252</v>
      </c>
      <c r="Y170" s="45" t="s">
        <v>2253</v>
      </c>
      <c r="Z170" s="22"/>
    </row>
    <row r="171" spans="1:26" ht="42.75">
      <c r="A171" s="22">
        <v>170</v>
      </c>
      <c r="B171" s="22" t="s">
        <v>2254</v>
      </c>
      <c r="C171" s="22"/>
      <c r="D171" s="22" t="s">
        <v>489</v>
      </c>
      <c r="E171" s="22" t="s">
        <v>508</v>
      </c>
      <c r="F171" s="31" t="s">
        <v>2255</v>
      </c>
      <c r="G171" s="22" t="s">
        <v>755</v>
      </c>
      <c r="H171" s="31" t="s">
        <v>2256</v>
      </c>
      <c r="I171" s="22" t="s">
        <v>1003</v>
      </c>
      <c r="J171" s="22" t="s">
        <v>2257</v>
      </c>
      <c r="K171" s="33" t="s">
        <v>36</v>
      </c>
      <c r="L171" s="33" t="s">
        <v>758</v>
      </c>
      <c r="M171" s="33" t="s">
        <v>2216</v>
      </c>
      <c r="N171" s="33" t="s">
        <v>855</v>
      </c>
      <c r="O171" s="31" t="s">
        <v>2258</v>
      </c>
      <c r="P171" s="22"/>
      <c r="Q171" s="22"/>
      <c r="R171" s="22"/>
      <c r="S171" s="31" t="s">
        <v>2262</v>
      </c>
      <c r="T171" s="31" t="s">
        <v>2314</v>
      </c>
      <c r="U171" s="31" t="s">
        <v>2259</v>
      </c>
      <c r="V171" s="22" t="s">
        <v>2126</v>
      </c>
      <c r="W171" s="45" t="s">
        <v>2260</v>
      </c>
      <c r="X171" s="45" t="s">
        <v>2261</v>
      </c>
      <c r="Y171" s="22"/>
    </row>
    <row r="172" spans="1:26" ht="28.5">
      <c r="A172" s="22">
        <v>171</v>
      </c>
      <c r="B172" s="22" t="s">
        <v>2263</v>
      </c>
      <c r="C172" s="22">
        <v>505</v>
      </c>
      <c r="D172" s="31" t="s">
        <v>499</v>
      </c>
      <c r="E172" s="22" t="s">
        <v>509</v>
      </c>
      <c r="F172" s="31" t="s">
        <v>2264</v>
      </c>
      <c r="G172" s="22" t="s">
        <v>755</v>
      </c>
      <c r="H172" s="31" t="s">
        <v>2265</v>
      </c>
      <c r="I172" s="22" t="s">
        <v>2266</v>
      </c>
      <c r="J172" s="22" t="s">
        <v>2267</v>
      </c>
      <c r="K172" s="33" t="s">
        <v>51</v>
      </c>
      <c r="L172" s="33" t="s">
        <v>758</v>
      </c>
      <c r="M172" s="33" t="s">
        <v>1904</v>
      </c>
      <c r="N172" s="33" t="s">
        <v>925</v>
      </c>
      <c r="O172" s="22" t="s">
        <v>1219</v>
      </c>
      <c r="P172" s="22"/>
      <c r="Q172" s="22"/>
      <c r="R172" s="22"/>
      <c r="S172" s="22"/>
      <c r="T172" s="31" t="s">
        <v>2284</v>
      </c>
      <c r="U172" s="31" t="s">
        <v>2268</v>
      </c>
      <c r="V172" s="22"/>
      <c r="W172" s="45" t="s">
        <v>2269</v>
      </c>
      <c r="X172" s="45" t="s">
        <v>2270</v>
      </c>
      <c r="Y172" s="22"/>
    </row>
    <row r="173" spans="1:26" ht="57">
      <c r="A173" s="22">
        <v>172</v>
      </c>
      <c r="B173" s="32" t="s">
        <v>2271</v>
      </c>
      <c r="C173" s="54" t="s">
        <v>2278</v>
      </c>
      <c r="D173" s="31" t="s">
        <v>490</v>
      </c>
      <c r="E173" s="22" t="s">
        <v>508</v>
      </c>
      <c r="F173" s="31" t="s">
        <v>4015</v>
      </c>
      <c r="G173" s="22" t="s">
        <v>755</v>
      </c>
      <c r="H173" s="31" t="s">
        <v>2272</v>
      </c>
      <c r="I173" s="22" t="s">
        <v>1003</v>
      </c>
      <c r="J173" s="22" t="s">
        <v>2273</v>
      </c>
      <c r="K173" s="33"/>
      <c r="L173" s="33" t="s">
        <v>782</v>
      </c>
      <c r="M173" s="33" t="s">
        <v>2274</v>
      </c>
      <c r="N173" s="33" t="s">
        <v>2275</v>
      </c>
      <c r="O173" s="22"/>
      <c r="P173" s="22"/>
      <c r="Q173" s="22"/>
      <c r="R173" s="22"/>
      <c r="S173" s="22" t="s">
        <v>2279</v>
      </c>
      <c r="T173" s="31" t="s">
        <v>2424</v>
      </c>
      <c r="U173" s="31" t="s">
        <v>2276</v>
      </c>
      <c r="V173" s="22" t="s">
        <v>2277</v>
      </c>
      <c r="W173" s="45" t="s">
        <v>2280</v>
      </c>
      <c r="X173" s="22"/>
      <c r="Y173" s="22"/>
    </row>
    <row r="174" spans="1:26" ht="42.75">
      <c r="A174" s="22">
        <v>173</v>
      </c>
      <c r="B174" s="31" t="s">
        <v>2285</v>
      </c>
      <c r="C174" s="22">
        <v>234</v>
      </c>
      <c r="D174" s="31" t="s">
        <v>490</v>
      </c>
      <c r="E174" s="22" t="s">
        <v>508</v>
      </c>
      <c r="F174" s="31" t="s">
        <v>2281</v>
      </c>
      <c r="G174" s="22" t="s">
        <v>755</v>
      </c>
      <c r="H174" s="22" t="s">
        <v>2282</v>
      </c>
      <c r="I174" s="22" t="s">
        <v>1003</v>
      </c>
      <c r="J174" s="22" t="s">
        <v>2283</v>
      </c>
      <c r="K174" s="33" t="s">
        <v>51</v>
      </c>
      <c r="L174" s="33" t="s">
        <v>758</v>
      </c>
      <c r="M174" s="33" t="s">
        <v>1407</v>
      </c>
      <c r="N174" s="33" t="s">
        <v>855</v>
      </c>
      <c r="O174" s="22"/>
      <c r="P174" s="22"/>
      <c r="Q174" s="22"/>
      <c r="R174" s="22"/>
      <c r="S174" s="22" t="s">
        <v>864</v>
      </c>
      <c r="T174" s="31" t="s">
        <v>2286</v>
      </c>
      <c r="U174" s="31"/>
      <c r="V174" s="22"/>
      <c r="W174" s="45" t="s">
        <v>2287</v>
      </c>
      <c r="X174" s="45" t="s">
        <v>2288</v>
      </c>
      <c r="Y174" s="22"/>
    </row>
    <row r="175" spans="1:26" ht="42.75">
      <c r="A175" s="22">
        <v>174</v>
      </c>
      <c r="B175" s="22" t="s">
        <v>2289</v>
      </c>
      <c r="C175" s="22">
        <v>425</v>
      </c>
      <c r="D175" s="31" t="s">
        <v>490</v>
      </c>
      <c r="E175" s="22" t="s">
        <v>508</v>
      </c>
      <c r="F175" s="31" t="s">
        <v>4014</v>
      </c>
      <c r="G175" s="22" t="s">
        <v>755</v>
      </c>
      <c r="H175" s="31" t="s">
        <v>2291</v>
      </c>
      <c r="I175" s="22" t="s">
        <v>1874</v>
      </c>
      <c r="J175" s="22" t="s">
        <v>2292</v>
      </c>
      <c r="K175" s="33" t="s">
        <v>86</v>
      </c>
      <c r="L175" s="33" t="s">
        <v>785</v>
      </c>
      <c r="M175" s="33" t="s">
        <v>2290</v>
      </c>
      <c r="N175" s="33" t="s">
        <v>1413</v>
      </c>
      <c r="O175" s="22"/>
      <c r="P175" s="22"/>
      <c r="Q175" s="22"/>
      <c r="R175" s="22"/>
      <c r="S175" s="22" t="s">
        <v>2302</v>
      </c>
      <c r="T175" s="31" t="s">
        <v>4738</v>
      </c>
      <c r="U175" s="31" t="s">
        <v>2294</v>
      </c>
      <c r="V175" s="22" t="s">
        <v>2293</v>
      </c>
      <c r="W175" s="45" t="s">
        <v>2295</v>
      </c>
      <c r="X175" s="45" t="s">
        <v>2296</v>
      </c>
      <c r="Y175" s="22"/>
    </row>
    <row r="176" spans="1:26" ht="28.5">
      <c r="A176" s="22">
        <v>175</v>
      </c>
      <c r="B176" s="22" t="s">
        <v>2297</v>
      </c>
      <c r="C176" s="22">
        <v>385</v>
      </c>
      <c r="D176" s="22" t="s">
        <v>492</v>
      </c>
      <c r="E176" s="22" t="s">
        <v>508</v>
      </c>
      <c r="F176" s="31" t="s">
        <v>4013</v>
      </c>
      <c r="G176" s="22" t="s">
        <v>1089</v>
      </c>
      <c r="H176" s="31" t="s">
        <v>2298</v>
      </c>
      <c r="I176" s="22" t="s">
        <v>1003</v>
      </c>
      <c r="J176" s="22" t="s">
        <v>2299</v>
      </c>
      <c r="K176" s="33" t="s">
        <v>86</v>
      </c>
      <c r="L176" s="33" t="s">
        <v>785</v>
      </c>
      <c r="M176" s="33" t="s">
        <v>2300</v>
      </c>
      <c r="N176" s="33" t="s">
        <v>2306</v>
      </c>
      <c r="O176" s="22"/>
      <c r="P176" s="22"/>
      <c r="Q176" s="22"/>
      <c r="R176" s="22"/>
      <c r="S176" s="22" t="s">
        <v>2303</v>
      </c>
      <c r="T176" s="31" t="s">
        <v>2448</v>
      </c>
      <c r="U176" s="31" t="s">
        <v>2301</v>
      </c>
      <c r="V176" s="22"/>
      <c r="W176" s="45" t="s">
        <v>2304</v>
      </c>
      <c r="X176" s="45" t="s">
        <v>2305</v>
      </c>
      <c r="Y176" s="22"/>
    </row>
    <row r="177" spans="1:26" ht="28.5">
      <c r="A177" s="22">
        <v>176</v>
      </c>
      <c r="B177" s="31" t="s">
        <v>2309</v>
      </c>
      <c r="C177" s="22"/>
      <c r="D177" s="22" t="s">
        <v>492</v>
      </c>
      <c r="E177" s="22" t="s">
        <v>508</v>
      </c>
      <c r="F177" s="31" t="s">
        <v>4012</v>
      </c>
      <c r="G177" s="22" t="s">
        <v>1089</v>
      </c>
      <c r="H177" s="31" t="s">
        <v>2298</v>
      </c>
      <c r="I177" s="22" t="s">
        <v>1003</v>
      </c>
      <c r="J177" s="22" t="s">
        <v>2307</v>
      </c>
      <c r="K177" s="33" t="s">
        <v>159</v>
      </c>
      <c r="L177" s="33" t="s">
        <v>758</v>
      </c>
      <c r="M177" s="33" t="s">
        <v>883</v>
      </c>
      <c r="N177" s="33" t="s">
        <v>855</v>
      </c>
      <c r="O177" s="33" t="s">
        <v>1219</v>
      </c>
      <c r="P177" s="22"/>
      <c r="Q177" s="22"/>
      <c r="R177" s="22"/>
      <c r="S177" s="31" t="s">
        <v>2310</v>
      </c>
      <c r="T177" s="22" t="s">
        <v>2308</v>
      </c>
      <c r="U177" s="31" t="s">
        <v>2311</v>
      </c>
      <c r="V177" s="22"/>
      <c r="W177" s="45" t="s">
        <v>2304</v>
      </c>
      <c r="X177" s="45" t="s">
        <v>2305</v>
      </c>
      <c r="Y177" s="22"/>
    </row>
    <row r="178" spans="1:26" ht="57">
      <c r="A178" s="22">
        <v>177</v>
      </c>
      <c r="B178" s="22" t="s">
        <v>2315</v>
      </c>
      <c r="C178" s="22"/>
      <c r="D178" s="22" t="s">
        <v>492</v>
      </c>
      <c r="E178" s="22" t="s">
        <v>508</v>
      </c>
      <c r="F178" s="31" t="s">
        <v>2316</v>
      </c>
      <c r="G178" s="22" t="s">
        <v>757</v>
      </c>
      <c r="H178" s="31" t="s">
        <v>2320</v>
      </c>
      <c r="I178" s="22" t="s">
        <v>1874</v>
      </c>
      <c r="J178" s="22" t="s">
        <v>2317</v>
      </c>
      <c r="K178" s="36" t="s">
        <v>2318</v>
      </c>
      <c r="L178" s="33" t="s">
        <v>758</v>
      </c>
      <c r="M178" s="33" t="s">
        <v>883</v>
      </c>
      <c r="N178" s="33" t="s">
        <v>795</v>
      </c>
      <c r="O178" s="36" t="s">
        <v>2364</v>
      </c>
      <c r="P178" s="22"/>
      <c r="Q178" s="22"/>
      <c r="R178" s="22"/>
      <c r="S178" s="31" t="s">
        <v>2323</v>
      </c>
      <c r="T178" s="31" t="s">
        <v>2322</v>
      </c>
      <c r="U178" s="31" t="s">
        <v>2321</v>
      </c>
      <c r="V178" s="31" t="s">
        <v>2341</v>
      </c>
      <c r="W178" s="45" t="s">
        <v>2324</v>
      </c>
      <c r="X178" s="45" t="s">
        <v>2325</v>
      </c>
      <c r="Y178" s="22"/>
    </row>
    <row r="179" spans="1:26" ht="57">
      <c r="A179" s="22">
        <v>178</v>
      </c>
      <c r="B179" s="31" t="s">
        <v>2326</v>
      </c>
      <c r="C179" s="22">
        <v>580</v>
      </c>
      <c r="D179" s="22" t="s">
        <v>492</v>
      </c>
      <c r="E179" s="22" t="s">
        <v>508</v>
      </c>
      <c r="F179" s="31" t="s">
        <v>4011</v>
      </c>
      <c r="G179" s="22" t="s">
        <v>755</v>
      </c>
      <c r="H179" s="31" t="s">
        <v>2327</v>
      </c>
      <c r="I179" s="22" t="s">
        <v>1848</v>
      </c>
      <c r="J179" s="22" t="s">
        <v>2328</v>
      </c>
      <c r="K179" s="36" t="s">
        <v>69</v>
      </c>
      <c r="L179" s="33" t="s">
        <v>758</v>
      </c>
      <c r="M179" s="33" t="s">
        <v>2157</v>
      </c>
      <c r="N179" s="33" t="s">
        <v>2149</v>
      </c>
      <c r="O179" s="33" t="s">
        <v>1219</v>
      </c>
      <c r="P179" s="22"/>
      <c r="Q179" s="22"/>
      <c r="R179" s="22"/>
      <c r="S179" s="22"/>
      <c r="T179" s="31" t="s">
        <v>2329</v>
      </c>
      <c r="U179" s="31"/>
      <c r="V179" s="22"/>
      <c r="W179" s="45" t="s">
        <v>2330</v>
      </c>
      <c r="X179" s="45" t="s">
        <v>2331</v>
      </c>
    </row>
    <row r="180" spans="1:26" ht="57">
      <c r="A180" s="22">
        <v>179</v>
      </c>
      <c r="B180" s="22" t="s">
        <v>2332</v>
      </c>
      <c r="C180" s="22"/>
      <c r="D180" s="22" t="s">
        <v>492</v>
      </c>
      <c r="E180" s="22" t="s">
        <v>508</v>
      </c>
      <c r="F180" s="31" t="s">
        <v>4010</v>
      </c>
      <c r="G180" s="22" t="s">
        <v>755</v>
      </c>
      <c r="H180" s="31" t="s">
        <v>2335</v>
      </c>
      <c r="I180" s="22" t="s">
        <v>1003</v>
      </c>
      <c r="J180" s="22" t="s">
        <v>2333</v>
      </c>
      <c r="K180" s="33" t="s">
        <v>148</v>
      </c>
      <c r="L180" s="33" t="s">
        <v>758</v>
      </c>
      <c r="M180" s="33" t="s">
        <v>1322</v>
      </c>
      <c r="N180" s="33" t="s">
        <v>855</v>
      </c>
      <c r="O180" s="33" t="s">
        <v>1219</v>
      </c>
      <c r="P180" s="22"/>
      <c r="Q180" s="22"/>
      <c r="R180" s="22"/>
      <c r="S180" s="31" t="s">
        <v>2339</v>
      </c>
      <c r="T180" s="31" t="s">
        <v>2334</v>
      </c>
      <c r="U180" s="31"/>
      <c r="V180" s="22" t="s">
        <v>2126</v>
      </c>
      <c r="W180" s="45" t="s">
        <v>2336</v>
      </c>
      <c r="X180" s="45" t="s">
        <v>2337</v>
      </c>
      <c r="Y180" s="45" t="s">
        <v>2338</v>
      </c>
    </row>
    <row r="181" spans="1:26" ht="42.75">
      <c r="A181" s="22">
        <v>180</v>
      </c>
      <c r="B181" s="31" t="s">
        <v>2340</v>
      </c>
      <c r="C181" s="22">
        <v>549</v>
      </c>
      <c r="D181" s="22" t="s">
        <v>492</v>
      </c>
      <c r="E181" s="22" t="s">
        <v>508</v>
      </c>
      <c r="F181" s="31" t="s">
        <v>4009</v>
      </c>
      <c r="G181" s="22" t="s">
        <v>755</v>
      </c>
      <c r="H181" s="31" t="s">
        <v>2342</v>
      </c>
      <c r="I181" s="22" t="s">
        <v>1003</v>
      </c>
      <c r="J181" s="22" t="s">
        <v>2343</v>
      </c>
      <c r="K181" s="36" t="s">
        <v>69</v>
      </c>
      <c r="L181" s="33" t="s">
        <v>782</v>
      </c>
      <c r="M181" s="33" t="s">
        <v>1188</v>
      </c>
      <c r="N181" s="33" t="s">
        <v>795</v>
      </c>
      <c r="O181" s="22"/>
      <c r="P181" s="22"/>
      <c r="Q181" s="22"/>
      <c r="R181" s="22"/>
      <c r="S181" s="22"/>
      <c r="T181" s="31" t="s">
        <v>2344</v>
      </c>
      <c r="U181" s="31"/>
      <c r="V181" s="22" t="s">
        <v>2126</v>
      </c>
      <c r="W181" s="45" t="s">
        <v>2345</v>
      </c>
      <c r="X181" s="45" t="s">
        <v>2346</v>
      </c>
    </row>
    <row r="182" spans="1:26" ht="42.75">
      <c r="A182" s="22">
        <v>181</v>
      </c>
      <c r="B182" s="22" t="s">
        <v>2350</v>
      </c>
      <c r="C182" s="22"/>
      <c r="D182" s="22" t="s">
        <v>492</v>
      </c>
      <c r="E182" s="22" t="s">
        <v>508</v>
      </c>
      <c r="F182" s="31" t="s">
        <v>4008</v>
      </c>
      <c r="G182" s="22" t="s">
        <v>755</v>
      </c>
      <c r="H182" s="31" t="s">
        <v>2348</v>
      </c>
      <c r="I182" s="22" t="s">
        <v>1003</v>
      </c>
      <c r="J182" s="22" t="s">
        <v>2347</v>
      </c>
      <c r="K182" s="33" t="s">
        <v>2665</v>
      </c>
      <c r="L182" s="33" t="s">
        <v>758</v>
      </c>
      <c r="M182" s="33" t="s">
        <v>1160</v>
      </c>
      <c r="N182" s="33" t="s">
        <v>1323</v>
      </c>
      <c r="O182" s="22"/>
      <c r="P182" s="22"/>
      <c r="Q182" s="22"/>
      <c r="R182" s="22"/>
      <c r="S182" s="22"/>
      <c r="T182" s="31" t="s">
        <v>2349</v>
      </c>
      <c r="U182" s="31"/>
      <c r="V182" s="22" t="s">
        <v>2126</v>
      </c>
      <c r="W182" s="45" t="s">
        <v>2351</v>
      </c>
      <c r="X182" s="45" t="s">
        <v>2352</v>
      </c>
    </row>
    <row r="183" spans="1:26" ht="42.75">
      <c r="A183" s="22">
        <v>182</v>
      </c>
      <c r="B183" s="31" t="s">
        <v>2561</v>
      </c>
      <c r="C183" s="22">
        <v>200</v>
      </c>
      <c r="D183" s="31" t="s">
        <v>490</v>
      </c>
      <c r="E183" s="22" t="s">
        <v>508</v>
      </c>
      <c r="F183" s="31" t="s">
        <v>4007</v>
      </c>
      <c r="G183" s="22" t="s">
        <v>755</v>
      </c>
      <c r="H183" s="31" t="s">
        <v>2353</v>
      </c>
      <c r="I183" s="22" t="s">
        <v>1003</v>
      </c>
      <c r="J183" s="22" t="s">
        <v>2354</v>
      </c>
      <c r="K183" s="33" t="s">
        <v>33</v>
      </c>
      <c r="L183" s="33" t="s">
        <v>758</v>
      </c>
      <c r="M183" s="33" t="s">
        <v>1407</v>
      </c>
      <c r="N183" s="33" t="s">
        <v>795</v>
      </c>
      <c r="O183" s="22"/>
      <c r="S183" s="22" t="s">
        <v>939</v>
      </c>
      <c r="T183" s="31" t="s">
        <v>2556</v>
      </c>
      <c r="U183" s="31" t="s">
        <v>2562</v>
      </c>
      <c r="V183" s="22" t="s">
        <v>2126</v>
      </c>
      <c r="W183" s="45" t="s">
        <v>2355</v>
      </c>
      <c r="X183" s="45" t="s">
        <v>2356</v>
      </c>
      <c r="Y183" s="22"/>
    </row>
    <row r="184" spans="1:26" ht="28.5">
      <c r="A184" s="22">
        <v>183</v>
      </c>
      <c r="B184" s="22" t="s">
        <v>2357</v>
      </c>
      <c r="C184" s="22">
        <v>1003</v>
      </c>
      <c r="D184" s="22" t="s">
        <v>492</v>
      </c>
      <c r="E184" s="22" t="s">
        <v>508</v>
      </c>
      <c r="F184" s="31" t="s">
        <v>4006</v>
      </c>
      <c r="G184" s="22" t="s">
        <v>755</v>
      </c>
      <c r="H184" s="31" t="s">
        <v>2342</v>
      </c>
      <c r="I184" s="22" t="s">
        <v>1003</v>
      </c>
      <c r="J184" s="22" t="s">
        <v>2358</v>
      </c>
      <c r="K184" s="33" t="s">
        <v>154</v>
      </c>
      <c r="L184" s="33" t="s">
        <v>782</v>
      </c>
      <c r="M184" s="33" t="s">
        <v>883</v>
      </c>
      <c r="N184" s="33" t="s">
        <v>925</v>
      </c>
      <c r="O184" s="22"/>
      <c r="P184" s="22"/>
      <c r="Q184" s="22"/>
      <c r="R184" s="22"/>
      <c r="S184" s="31" t="s">
        <v>2339</v>
      </c>
      <c r="T184" s="31" t="s">
        <v>2447</v>
      </c>
      <c r="U184" s="31"/>
      <c r="V184" s="22"/>
      <c r="W184" s="45" t="s">
        <v>2359</v>
      </c>
      <c r="X184" s="45" t="s">
        <v>2360</v>
      </c>
    </row>
    <row r="185" spans="1:26" ht="28.5">
      <c r="A185" s="22">
        <v>184</v>
      </c>
      <c r="B185" s="31" t="s">
        <v>2381</v>
      </c>
      <c r="C185" s="22"/>
      <c r="D185" s="22" t="s">
        <v>492</v>
      </c>
      <c r="E185" s="22" t="s">
        <v>508</v>
      </c>
      <c r="F185" s="31" t="s">
        <v>4005</v>
      </c>
      <c r="G185" s="22" t="s">
        <v>757</v>
      </c>
      <c r="H185" s="35" t="s">
        <v>2382</v>
      </c>
      <c r="I185" s="22" t="s">
        <v>2383</v>
      </c>
      <c r="J185" s="22" t="s">
        <v>2384</v>
      </c>
      <c r="K185" s="33" t="s">
        <v>177</v>
      </c>
      <c r="L185" s="33" t="s">
        <v>1024</v>
      </c>
      <c r="M185" s="33" t="s">
        <v>883</v>
      </c>
      <c r="N185" s="33" t="s">
        <v>795</v>
      </c>
      <c r="O185" s="22"/>
      <c r="P185" s="22"/>
      <c r="Q185" s="22"/>
      <c r="R185" s="22"/>
      <c r="S185" s="22" t="s">
        <v>2435</v>
      </c>
      <c r="T185" s="31" t="s">
        <v>2387</v>
      </c>
      <c r="U185" s="31" t="s">
        <v>2386</v>
      </c>
      <c r="V185" s="31" t="s">
        <v>2385</v>
      </c>
      <c r="W185" s="45" t="s">
        <v>2388</v>
      </c>
      <c r="X185" s="45" t="s">
        <v>2389</v>
      </c>
      <c r="Y185" s="22"/>
    </row>
    <row r="186" spans="1:26" ht="71.25">
      <c r="A186" s="22">
        <v>185</v>
      </c>
      <c r="B186" s="22" t="s">
        <v>2393</v>
      </c>
      <c r="C186" s="22" t="s">
        <v>2390</v>
      </c>
      <c r="D186" s="22" t="s">
        <v>492</v>
      </c>
      <c r="E186" s="22" t="s">
        <v>508</v>
      </c>
      <c r="F186" s="31" t="s">
        <v>4004</v>
      </c>
      <c r="G186" s="22" t="s">
        <v>757</v>
      </c>
      <c r="H186" s="31" t="s">
        <v>2391</v>
      </c>
      <c r="I186" s="22" t="s">
        <v>1848</v>
      </c>
      <c r="J186" s="22" t="s">
        <v>2392</v>
      </c>
      <c r="K186" s="33" t="s">
        <v>159</v>
      </c>
      <c r="L186" s="33" t="s">
        <v>758</v>
      </c>
      <c r="M186" s="33" t="s">
        <v>883</v>
      </c>
      <c r="N186" s="33" t="s">
        <v>795</v>
      </c>
      <c r="O186" s="36" t="s">
        <v>2399</v>
      </c>
      <c r="P186" s="22"/>
      <c r="Q186" s="22"/>
      <c r="R186" s="31" t="s">
        <v>3840</v>
      </c>
      <c r="S186" s="31" t="s">
        <v>2398</v>
      </c>
      <c r="T186" s="31" t="s">
        <v>2394</v>
      </c>
      <c r="U186" s="31" t="s">
        <v>2395</v>
      </c>
      <c r="V186" s="22"/>
      <c r="W186" s="45" t="s">
        <v>2396</v>
      </c>
      <c r="X186" s="45" t="s">
        <v>2397</v>
      </c>
      <c r="Y186" s="22"/>
    </row>
    <row r="187" spans="1:26" ht="28.5">
      <c r="A187" s="22">
        <v>186</v>
      </c>
      <c r="B187" s="31" t="s">
        <v>2400</v>
      </c>
      <c r="C187" s="22"/>
      <c r="D187" s="22" t="s">
        <v>492</v>
      </c>
      <c r="E187" s="22" t="s">
        <v>508</v>
      </c>
      <c r="F187" s="31" t="s">
        <v>4003</v>
      </c>
      <c r="G187" s="22" t="s">
        <v>755</v>
      </c>
      <c r="H187" s="31" t="s">
        <v>2402</v>
      </c>
      <c r="I187" s="22" t="s">
        <v>1003</v>
      </c>
      <c r="J187" s="22" t="s">
        <v>2405</v>
      </c>
      <c r="K187" s="33" t="s">
        <v>92</v>
      </c>
      <c r="L187" s="33" t="s">
        <v>782</v>
      </c>
      <c r="M187" s="33" t="s">
        <v>1411</v>
      </c>
      <c r="N187" s="33" t="s">
        <v>925</v>
      </c>
      <c r="O187" s="22"/>
      <c r="P187" s="22"/>
      <c r="Q187" s="22"/>
      <c r="R187" s="22"/>
      <c r="S187" s="22" t="s">
        <v>939</v>
      </c>
      <c r="T187" s="31" t="s">
        <v>2423</v>
      </c>
      <c r="U187" s="31" t="s">
        <v>2408</v>
      </c>
      <c r="V187" s="22"/>
      <c r="W187" s="45" t="s">
        <v>2409</v>
      </c>
      <c r="X187" s="45" t="s">
        <v>2412</v>
      </c>
      <c r="Y187" s="22"/>
      <c r="Z187" s="22"/>
    </row>
    <row r="188" spans="1:26" ht="42.75">
      <c r="A188" s="22">
        <v>187</v>
      </c>
      <c r="B188" s="22" t="s">
        <v>2401</v>
      </c>
      <c r="C188" s="22"/>
      <c r="D188" s="22" t="s">
        <v>492</v>
      </c>
      <c r="E188" s="22" t="s">
        <v>508</v>
      </c>
      <c r="F188" s="31" t="s">
        <v>2404</v>
      </c>
      <c r="G188" s="22" t="s">
        <v>755</v>
      </c>
      <c r="H188" s="31" t="s">
        <v>2403</v>
      </c>
      <c r="I188" s="22" t="s">
        <v>1003</v>
      </c>
      <c r="J188" s="22" t="s">
        <v>2406</v>
      </c>
      <c r="K188" s="33" t="s">
        <v>92</v>
      </c>
      <c r="L188" s="33" t="s">
        <v>785</v>
      </c>
      <c r="M188" s="33" t="s">
        <v>1188</v>
      </c>
      <c r="N188" s="33" t="s">
        <v>925</v>
      </c>
      <c r="O188" s="22"/>
      <c r="P188" s="22"/>
      <c r="Q188" s="22"/>
      <c r="R188" s="22"/>
      <c r="S188" s="31" t="s">
        <v>837</v>
      </c>
      <c r="T188" s="31" t="s">
        <v>2446</v>
      </c>
      <c r="U188" s="31"/>
      <c r="V188" s="31" t="s">
        <v>2407</v>
      </c>
      <c r="W188" s="45" t="s">
        <v>2410</v>
      </c>
      <c r="X188" s="45" t="s">
        <v>2411</v>
      </c>
      <c r="Y188" s="45" t="s">
        <v>2412</v>
      </c>
      <c r="Z188" s="22"/>
    </row>
    <row r="189" spans="1:26" ht="42.75">
      <c r="A189" s="22">
        <v>188</v>
      </c>
      <c r="B189" s="22" t="s">
        <v>2416</v>
      </c>
      <c r="C189" s="22"/>
      <c r="D189" s="22" t="s">
        <v>493</v>
      </c>
      <c r="E189" s="22" t="s">
        <v>508</v>
      </c>
      <c r="F189" s="22" t="s">
        <v>4002</v>
      </c>
      <c r="G189" s="22" t="s">
        <v>755</v>
      </c>
      <c r="H189" s="31" t="s">
        <v>2417</v>
      </c>
      <c r="I189" s="22" t="s">
        <v>1003</v>
      </c>
      <c r="J189" s="22" t="s">
        <v>2418</v>
      </c>
      <c r="K189" s="33" t="s">
        <v>183</v>
      </c>
      <c r="L189" s="33" t="s">
        <v>758</v>
      </c>
      <c r="M189" s="33" t="s">
        <v>855</v>
      </c>
      <c r="N189" s="33" t="s">
        <v>925</v>
      </c>
      <c r="O189" s="22" t="s">
        <v>758</v>
      </c>
      <c r="P189" s="22"/>
      <c r="Q189" s="22"/>
      <c r="R189" s="22" t="s">
        <v>3840</v>
      </c>
      <c r="S189" s="22" t="s">
        <v>2419</v>
      </c>
      <c r="T189" s="22"/>
      <c r="U189" s="31" t="s">
        <v>2422</v>
      </c>
      <c r="V189" s="22"/>
      <c r="W189" s="45" t="s">
        <v>2420</v>
      </c>
      <c r="X189" s="45" t="s">
        <v>2421</v>
      </c>
      <c r="Y189" s="22"/>
      <c r="Z189" s="22"/>
    </row>
    <row r="190" spans="1:26" ht="28.5">
      <c r="A190" s="22">
        <v>189</v>
      </c>
      <c r="B190" s="22" t="s">
        <v>2425</v>
      </c>
      <c r="C190" s="22">
        <v>628</v>
      </c>
      <c r="D190" s="22" t="s">
        <v>492</v>
      </c>
      <c r="E190" s="22" t="s">
        <v>508</v>
      </c>
      <c r="F190" s="31" t="s">
        <v>2426</v>
      </c>
      <c r="G190" s="22" t="s">
        <v>755</v>
      </c>
      <c r="H190" s="31" t="s">
        <v>2427</v>
      </c>
      <c r="I190" s="22" t="s">
        <v>1003</v>
      </c>
      <c r="J190" s="22" t="s">
        <v>2428</v>
      </c>
      <c r="K190" s="33" t="s">
        <v>39</v>
      </c>
      <c r="L190" s="33" t="s">
        <v>782</v>
      </c>
      <c r="M190" s="33" t="s">
        <v>1213</v>
      </c>
      <c r="N190" s="33" t="s">
        <v>1407</v>
      </c>
      <c r="O190" s="22"/>
      <c r="P190" s="22"/>
      <c r="Q190" s="22"/>
      <c r="R190" s="22"/>
      <c r="S190" s="22"/>
      <c r="T190" s="31" t="s">
        <v>2430</v>
      </c>
      <c r="U190" s="31" t="s">
        <v>2429</v>
      </c>
      <c r="V190" s="22"/>
      <c r="W190" s="45" t="s">
        <v>2431</v>
      </c>
      <c r="X190" s="45" t="s">
        <v>2432</v>
      </c>
      <c r="Y190" s="22"/>
    </row>
    <row r="191" spans="1:26" ht="28.5">
      <c r="A191" s="22">
        <v>190</v>
      </c>
      <c r="B191" s="32" t="s">
        <v>2433</v>
      </c>
      <c r="C191" s="31"/>
      <c r="D191" s="31" t="s">
        <v>492</v>
      </c>
      <c r="E191" s="31" t="s">
        <v>508</v>
      </c>
      <c r="F191" s="31" t="s">
        <v>2434</v>
      </c>
      <c r="G191" s="31" t="s">
        <v>755</v>
      </c>
      <c r="H191" s="31" t="s">
        <v>2436</v>
      </c>
      <c r="I191" s="31" t="s">
        <v>1003</v>
      </c>
      <c r="J191" s="31" t="s">
        <v>2437</v>
      </c>
      <c r="K191" s="36" t="s">
        <v>196</v>
      </c>
      <c r="L191" s="36" t="s">
        <v>758</v>
      </c>
      <c r="M191" s="36" t="s">
        <v>883</v>
      </c>
      <c r="N191" s="36" t="s">
        <v>795</v>
      </c>
      <c r="O191" s="31"/>
      <c r="P191" s="31"/>
      <c r="Q191" s="31"/>
      <c r="R191" s="31"/>
      <c r="S191" s="31"/>
      <c r="T191" s="31"/>
      <c r="U191" s="31"/>
      <c r="V191" s="31"/>
      <c r="W191" s="42" t="s">
        <v>2438</v>
      </c>
      <c r="X191" s="42" t="s">
        <v>2439</v>
      </c>
      <c r="Y191" s="31"/>
      <c r="Z191" s="31"/>
    </row>
    <row r="192" spans="1:26" ht="28.5">
      <c r="A192" s="22">
        <v>191</v>
      </c>
      <c r="B192" s="22" t="s">
        <v>2440</v>
      </c>
      <c r="C192" s="22">
        <v>910</v>
      </c>
      <c r="D192" s="22" t="s">
        <v>492</v>
      </c>
      <c r="E192" s="22" t="s">
        <v>508</v>
      </c>
      <c r="F192" s="31" t="s">
        <v>2442</v>
      </c>
      <c r="G192" s="22" t="s">
        <v>756</v>
      </c>
      <c r="H192" s="31" t="s">
        <v>2443</v>
      </c>
      <c r="I192" s="22" t="s">
        <v>1003</v>
      </c>
      <c r="J192" s="22" t="s">
        <v>2444</v>
      </c>
      <c r="K192" s="33" t="s">
        <v>86</v>
      </c>
      <c r="L192" s="33" t="s">
        <v>782</v>
      </c>
      <c r="M192" s="33" t="s">
        <v>980</v>
      </c>
      <c r="N192" s="33" t="s">
        <v>2441</v>
      </c>
      <c r="O192" s="22"/>
      <c r="P192" s="22"/>
      <c r="Q192" s="22"/>
      <c r="R192" s="22"/>
      <c r="S192" s="22" t="s">
        <v>2454</v>
      </c>
      <c r="T192" s="31" t="s">
        <v>2445</v>
      </c>
      <c r="U192" s="31"/>
      <c r="V192" s="22"/>
      <c r="W192" s="45" t="s">
        <v>2449</v>
      </c>
      <c r="X192" s="45" t="s">
        <v>2450</v>
      </c>
      <c r="Y192" s="22"/>
    </row>
    <row r="193" spans="1:26" ht="42.75">
      <c r="A193" s="22">
        <v>192</v>
      </c>
      <c r="B193" s="22" t="s">
        <v>2451</v>
      </c>
      <c r="C193" s="22">
        <v>165</v>
      </c>
      <c r="D193" s="22" t="s">
        <v>492</v>
      </c>
      <c r="E193" s="22" t="s">
        <v>508</v>
      </c>
      <c r="F193" s="31" t="s">
        <v>2452</v>
      </c>
      <c r="G193" s="22" t="s">
        <v>755</v>
      </c>
      <c r="H193" s="31" t="s">
        <v>2453</v>
      </c>
      <c r="I193" s="22" t="s">
        <v>1003</v>
      </c>
      <c r="J193" s="22" t="s">
        <v>2455</v>
      </c>
      <c r="K193" s="33" t="s">
        <v>168</v>
      </c>
      <c r="L193" s="33" t="s">
        <v>782</v>
      </c>
      <c r="M193" s="33" t="s">
        <v>1764</v>
      </c>
      <c r="N193" s="33" t="s">
        <v>1137</v>
      </c>
      <c r="O193" s="22"/>
      <c r="P193" s="22"/>
      <c r="Q193" s="22"/>
      <c r="R193" s="22"/>
      <c r="S193" s="22"/>
      <c r="T193" s="31" t="s">
        <v>2457</v>
      </c>
      <c r="U193" s="31" t="s">
        <v>2456</v>
      </c>
      <c r="V193" s="22"/>
      <c r="W193" s="45" t="s">
        <v>2458</v>
      </c>
      <c r="X193" s="45" t="s">
        <v>2459</v>
      </c>
      <c r="Y193" s="45" t="s">
        <v>2460</v>
      </c>
      <c r="Z193" s="22"/>
    </row>
    <row r="194" spans="1:26" ht="42.75">
      <c r="A194" s="22">
        <v>193</v>
      </c>
      <c r="B194" s="22" t="s">
        <v>2461</v>
      </c>
      <c r="C194" s="22"/>
      <c r="D194" s="22" t="s">
        <v>493</v>
      </c>
      <c r="E194" s="22" t="s">
        <v>508</v>
      </c>
      <c r="F194" s="31" t="s">
        <v>2462</v>
      </c>
      <c r="G194" s="22" t="s">
        <v>755</v>
      </c>
      <c r="H194" s="31" t="s">
        <v>2463</v>
      </c>
      <c r="I194" s="22" t="s">
        <v>1003</v>
      </c>
      <c r="J194" s="22" t="s">
        <v>2464</v>
      </c>
      <c r="K194" s="33" t="s">
        <v>175</v>
      </c>
      <c r="L194" s="33" t="s">
        <v>785</v>
      </c>
      <c r="M194" s="33" t="s">
        <v>795</v>
      </c>
      <c r="N194" s="33" t="s">
        <v>925</v>
      </c>
      <c r="O194" s="22"/>
      <c r="P194" s="22"/>
      <c r="Q194" s="22"/>
      <c r="R194" s="31" t="s">
        <v>2708</v>
      </c>
      <c r="S194" s="22" t="s">
        <v>2467</v>
      </c>
      <c r="T194" s="31" t="s">
        <v>2466</v>
      </c>
      <c r="U194" s="31" t="s">
        <v>2465</v>
      </c>
      <c r="V194" s="31" t="s">
        <v>4745</v>
      </c>
      <c r="W194" s="45" t="s">
        <v>2468</v>
      </c>
      <c r="X194" s="22"/>
      <c r="Y194" s="22"/>
    </row>
    <row r="195" spans="1:26" ht="57">
      <c r="A195" s="22">
        <v>194</v>
      </c>
      <c r="B195" s="31" t="s">
        <v>2469</v>
      </c>
      <c r="C195" s="22">
        <v>759</v>
      </c>
      <c r="D195" s="22" t="s">
        <v>489</v>
      </c>
      <c r="E195" s="22" t="s">
        <v>508</v>
      </c>
      <c r="F195" s="31" t="s">
        <v>2470</v>
      </c>
      <c r="G195" s="22" t="s">
        <v>757</v>
      </c>
      <c r="H195" s="31" t="s">
        <v>2471</v>
      </c>
      <c r="I195" s="22" t="s">
        <v>2472</v>
      </c>
      <c r="J195" s="22" t="s">
        <v>2473</v>
      </c>
      <c r="K195" s="33" t="s">
        <v>147</v>
      </c>
      <c r="L195" s="33" t="s">
        <v>758</v>
      </c>
      <c r="M195" s="33" t="s">
        <v>925</v>
      </c>
      <c r="N195" s="33" t="s">
        <v>1404</v>
      </c>
      <c r="O195" s="36" t="s">
        <v>2474</v>
      </c>
      <c r="P195" s="22"/>
      <c r="Q195" s="22"/>
      <c r="R195" s="22"/>
      <c r="S195" s="31" t="s">
        <v>2475</v>
      </c>
      <c r="T195" s="22"/>
      <c r="U195" s="31"/>
      <c r="V195" s="22"/>
      <c r="W195" s="45" t="s">
        <v>2476</v>
      </c>
      <c r="X195" s="22"/>
    </row>
    <row r="196" spans="1:26" ht="42.75">
      <c r="A196" s="22">
        <v>195</v>
      </c>
      <c r="B196" s="22" t="s">
        <v>2477</v>
      </c>
      <c r="C196" s="22">
        <v>702</v>
      </c>
      <c r="D196" s="22" t="s">
        <v>493</v>
      </c>
      <c r="E196" s="22" t="s">
        <v>508</v>
      </c>
      <c r="F196" s="31" t="s">
        <v>2479</v>
      </c>
      <c r="G196" s="22" t="s">
        <v>755</v>
      </c>
      <c r="H196" s="31" t="s">
        <v>2478</v>
      </c>
      <c r="I196" s="22" t="s">
        <v>1807</v>
      </c>
      <c r="J196" s="22" t="s">
        <v>2480</v>
      </c>
      <c r="K196" s="33" t="s">
        <v>2484</v>
      </c>
      <c r="L196" s="33" t="s">
        <v>758</v>
      </c>
      <c r="M196" s="33" t="s">
        <v>2481</v>
      </c>
      <c r="N196" s="33" t="s">
        <v>1152</v>
      </c>
      <c r="O196" s="33" t="s">
        <v>1219</v>
      </c>
      <c r="P196" s="22"/>
      <c r="Q196" s="22"/>
      <c r="R196" s="22"/>
      <c r="S196" s="22"/>
      <c r="T196" s="22"/>
      <c r="U196" s="31" t="s">
        <v>2482</v>
      </c>
      <c r="V196" s="22"/>
      <c r="W196" s="45" t="s">
        <v>2486</v>
      </c>
      <c r="X196" s="22"/>
      <c r="Y196" s="22"/>
    </row>
    <row r="197" spans="1:26" ht="28.5">
      <c r="A197" s="22">
        <v>196</v>
      </c>
      <c r="B197" s="22" t="s">
        <v>2487</v>
      </c>
      <c r="C197" s="22"/>
      <c r="D197" s="22" t="s">
        <v>493</v>
      </c>
      <c r="E197" s="22" t="s">
        <v>508</v>
      </c>
      <c r="F197" s="31" t="s">
        <v>2488</v>
      </c>
      <c r="G197" s="22" t="s">
        <v>755</v>
      </c>
      <c r="H197" s="31" t="s">
        <v>2489</v>
      </c>
      <c r="I197" s="22" t="s">
        <v>2490</v>
      </c>
      <c r="J197" s="22" t="s">
        <v>2491</v>
      </c>
      <c r="K197" s="33" t="s">
        <v>174</v>
      </c>
      <c r="L197" s="33" t="s">
        <v>758</v>
      </c>
      <c r="M197" s="33" t="s">
        <v>925</v>
      </c>
      <c r="N197" s="33" t="s">
        <v>1396</v>
      </c>
      <c r="O197" s="33" t="s">
        <v>1219</v>
      </c>
      <c r="P197" s="22"/>
      <c r="Q197" s="22"/>
      <c r="R197" s="22"/>
      <c r="S197" s="22" t="s">
        <v>2519</v>
      </c>
      <c r="T197" s="22" t="s">
        <v>2492</v>
      </c>
      <c r="U197" s="31"/>
      <c r="V197" s="22"/>
      <c r="W197" s="45" t="s">
        <v>2493</v>
      </c>
      <c r="X197" s="22"/>
    </row>
    <row r="198" spans="1:26" ht="28.5">
      <c r="A198" s="22">
        <v>197</v>
      </c>
      <c r="B198" s="22" t="s">
        <v>2494</v>
      </c>
      <c r="C198" s="22" t="s">
        <v>4000</v>
      </c>
      <c r="D198" s="31" t="s">
        <v>491</v>
      </c>
      <c r="E198" s="22" t="s">
        <v>508</v>
      </c>
      <c r="F198" s="31" t="s">
        <v>3999</v>
      </c>
      <c r="G198" s="22" t="s">
        <v>755</v>
      </c>
      <c r="H198" s="31" t="s">
        <v>2495</v>
      </c>
      <c r="I198" s="22" t="s">
        <v>1003</v>
      </c>
      <c r="J198" s="22" t="s">
        <v>2496</v>
      </c>
      <c r="K198" s="33" t="s">
        <v>2497</v>
      </c>
      <c r="L198" s="33" t="s">
        <v>758</v>
      </c>
      <c r="M198" s="33" t="s">
        <v>2500</v>
      </c>
      <c r="N198" s="33" t="s">
        <v>1669</v>
      </c>
      <c r="O198" s="33" t="s">
        <v>758</v>
      </c>
      <c r="P198" s="22"/>
      <c r="Q198" s="22"/>
      <c r="R198" s="22"/>
      <c r="S198" s="22"/>
      <c r="T198" s="22"/>
      <c r="U198" s="31"/>
      <c r="V198" s="22"/>
      <c r="W198" s="45" t="s">
        <v>2501</v>
      </c>
    </row>
    <row r="199" spans="1:26" ht="28.5">
      <c r="A199" s="22">
        <v>198</v>
      </c>
      <c r="B199" s="22" t="s">
        <v>2502</v>
      </c>
      <c r="C199" s="22">
        <v>2091</v>
      </c>
      <c r="D199" s="22" t="s">
        <v>489</v>
      </c>
      <c r="E199" s="22" t="s">
        <v>509</v>
      </c>
      <c r="F199" s="31" t="s">
        <v>2504</v>
      </c>
      <c r="G199" s="22" t="s">
        <v>755</v>
      </c>
      <c r="H199" s="31" t="s">
        <v>2505</v>
      </c>
      <c r="I199" s="22" t="s">
        <v>1003</v>
      </c>
      <c r="J199" s="22" t="s">
        <v>2506</v>
      </c>
      <c r="K199" s="33" t="s">
        <v>178</v>
      </c>
      <c r="L199" s="33" t="s">
        <v>785</v>
      </c>
      <c r="M199" s="33" t="s">
        <v>925</v>
      </c>
      <c r="N199" s="33" t="s">
        <v>1396</v>
      </c>
      <c r="O199" s="22"/>
      <c r="P199" s="22"/>
      <c r="Q199" s="22"/>
      <c r="R199" s="22"/>
      <c r="S199" s="31" t="s">
        <v>2503</v>
      </c>
      <c r="T199" s="22" t="s">
        <v>2507</v>
      </c>
      <c r="U199" s="31"/>
      <c r="V199" s="22"/>
      <c r="W199" s="45" t="s">
        <v>2508</v>
      </c>
      <c r="X199" s="45" t="s">
        <v>2520</v>
      </c>
      <c r="Y199" s="22"/>
    </row>
    <row r="200" spans="1:26" ht="42.75">
      <c r="A200" s="22">
        <v>199</v>
      </c>
      <c r="B200" s="22" t="s">
        <v>2512</v>
      </c>
      <c r="C200" s="22">
        <v>66</v>
      </c>
      <c r="D200" s="22" t="s">
        <v>492</v>
      </c>
      <c r="E200" s="22" t="s">
        <v>508</v>
      </c>
      <c r="F200" s="31" t="s">
        <v>3998</v>
      </c>
      <c r="G200" s="22" t="s">
        <v>755</v>
      </c>
      <c r="H200" s="31" t="s">
        <v>2515</v>
      </c>
      <c r="I200" s="22" t="s">
        <v>2509</v>
      </c>
      <c r="J200" s="22" t="s">
        <v>2510</v>
      </c>
      <c r="K200" s="33" t="s">
        <v>819</v>
      </c>
      <c r="L200" s="33" t="s">
        <v>782</v>
      </c>
      <c r="M200" s="33" t="s">
        <v>1701</v>
      </c>
      <c r="N200" s="33" t="s">
        <v>2514</v>
      </c>
      <c r="O200" s="22"/>
      <c r="P200" s="22"/>
      <c r="Q200" s="22"/>
      <c r="R200" s="22"/>
      <c r="S200" s="22" t="s">
        <v>2519</v>
      </c>
      <c r="T200" s="22" t="s">
        <v>2518</v>
      </c>
      <c r="U200" s="31"/>
      <c r="V200" s="22"/>
      <c r="W200" s="45" t="s">
        <v>2521</v>
      </c>
      <c r="X200" s="45" t="s">
        <v>2522</v>
      </c>
      <c r="Y200" s="22"/>
    </row>
    <row r="201" spans="1:26" ht="28.5">
      <c r="A201" s="22">
        <v>200</v>
      </c>
      <c r="B201" s="22" t="s">
        <v>2511</v>
      </c>
      <c r="C201" s="22">
        <v>560</v>
      </c>
      <c r="D201" s="22" t="s">
        <v>493</v>
      </c>
      <c r="E201" s="22" t="s">
        <v>508</v>
      </c>
      <c r="F201" s="31" t="s">
        <v>3997</v>
      </c>
      <c r="G201" s="22" t="s">
        <v>755</v>
      </c>
      <c r="H201" s="31" t="s">
        <v>2515</v>
      </c>
      <c r="I201" s="31" t="s">
        <v>2516</v>
      </c>
      <c r="J201" s="22" t="s">
        <v>2517</v>
      </c>
      <c r="K201" s="33" t="s">
        <v>819</v>
      </c>
      <c r="L201" s="33" t="s">
        <v>785</v>
      </c>
      <c r="M201" s="33" t="s">
        <v>1701</v>
      </c>
      <c r="N201" s="33" t="s">
        <v>2514</v>
      </c>
      <c r="O201" s="22"/>
      <c r="P201" s="22"/>
      <c r="Q201" s="22"/>
      <c r="R201" s="22"/>
      <c r="S201" s="22"/>
      <c r="T201" s="22" t="s">
        <v>2513</v>
      </c>
      <c r="U201" s="31"/>
      <c r="V201" s="22"/>
      <c r="W201" s="45" t="s">
        <v>2523</v>
      </c>
      <c r="X201" s="45" t="s">
        <v>2524</v>
      </c>
      <c r="Y201" s="22"/>
    </row>
    <row r="202" spans="1:26" ht="42.75">
      <c r="A202" s="22">
        <v>201</v>
      </c>
      <c r="B202" s="22" t="s">
        <v>2525</v>
      </c>
      <c r="C202" s="22"/>
      <c r="D202" s="31" t="s">
        <v>491</v>
      </c>
      <c r="E202" s="22" t="s">
        <v>508</v>
      </c>
      <c r="F202" s="31" t="s">
        <v>3996</v>
      </c>
      <c r="G202" s="22" t="s">
        <v>755</v>
      </c>
      <c r="H202" s="31" t="s">
        <v>2526</v>
      </c>
      <c r="I202" s="22" t="s">
        <v>1003</v>
      </c>
      <c r="J202" s="22" t="s">
        <v>2527</v>
      </c>
      <c r="K202" s="33" t="s">
        <v>2528</v>
      </c>
      <c r="L202" s="33" t="s">
        <v>758</v>
      </c>
      <c r="M202" s="33" t="s">
        <v>1152</v>
      </c>
      <c r="N202" s="33" t="s">
        <v>2500</v>
      </c>
      <c r="O202" s="22" t="s">
        <v>782</v>
      </c>
      <c r="P202" s="22">
        <v>8</v>
      </c>
      <c r="Q202" s="22"/>
      <c r="R202" s="31" t="s">
        <v>2530</v>
      </c>
      <c r="S202" s="31" t="s">
        <v>2534</v>
      </c>
      <c r="T202" s="22" t="s">
        <v>2531</v>
      </c>
      <c r="U202" s="31" t="s">
        <v>2535</v>
      </c>
      <c r="V202" s="22"/>
      <c r="W202" s="45" t="s">
        <v>2532</v>
      </c>
      <c r="X202" s="45" t="s">
        <v>2533</v>
      </c>
      <c r="Y202" s="22"/>
    </row>
    <row r="203" spans="1:26" ht="28.5">
      <c r="A203" s="22">
        <v>202</v>
      </c>
      <c r="B203" s="22" t="s">
        <v>2536</v>
      </c>
      <c r="C203" s="22"/>
      <c r="D203" s="22" t="s">
        <v>492</v>
      </c>
      <c r="E203" s="22" t="s">
        <v>508</v>
      </c>
      <c r="F203" s="31" t="s">
        <v>2537</v>
      </c>
      <c r="G203" s="22" t="s">
        <v>755</v>
      </c>
      <c r="H203" s="31" t="s">
        <v>2539</v>
      </c>
      <c r="I203" s="22" t="s">
        <v>1848</v>
      </c>
      <c r="J203" s="22" t="s">
        <v>2538</v>
      </c>
      <c r="K203" s="33" t="s">
        <v>186</v>
      </c>
      <c r="L203" s="33" t="s">
        <v>785</v>
      </c>
      <c r="M203" s="33" t="s">
        <v>1396</v>
      </c>
      <c r="N203" s="33" t="s">
        <v>1399</v>
      </c>
      <c r="O203" s="22"/>
      <c r="P203" s="22">
        <v>12</v>
      </c>
      <c r="Q203" s="22"/>
      <c r="R203" s="31"/>
      <c r="S203" s="22" t="s">
        <v>1223</v>
      </c>
      <c r="T203" s="22"/>
      <c r="U203" s="31" t="s">
        <v>4698</v>
      </c>
      <c r="V203" s="22" t="s">
        <v>2540</v>
      </c>
      <c r="W203" s="45" t="s">
        <v>2541</v>
      </c>
      <c r="X203" s="45" t="s">
        <v>2542</v>
      </c>
    </row>
    <row r="204" spans="1:26" ht="28.5">
      <c r="A204" s="22">
        <v>203</v>
      </c>
      <c r="B204" s="22" t="s">
        <v>2543</v>
      </c>
      <c r="C204" s="22" t="s">
        <v>4001</v>
      </c>
      <c r="D204" s="22" t="s">
        <v>493</v>
      </c>
      <c r="E204" s="22" t="s">
        <v>508</v>
      </c>
      <c r="F204" s="31" t="s">
        <v>3995</v>
      </c>
      <c r="G204" s="22" t="s">
        <v>755</v>
      </c>
      <c r="H204" s="31" t="s">
        <v>2544</v>
      </c>
      <c r="I204" s="31" t="s">
        <v>2545</v>
      </c>
      <c r="J204" s="22" t="s">
        <v>2546</v>
      </c>
      <c r="K204" s="33"/>
      <c r="L204" s="33" t="s">
        <v>758</v>
      </c>
      <c r="M204" s="33" t="s">
        <v>1152</v>
      </c>
      <c r="N204" s="33" t="s">
        <v>2500</v>
      </c>
      <c r="O204" s="22"/>
      <c r="P204" s="22"/>
      <c r="Q204" s="22"/>
      <c r="R204" s="31" t="s">
        <v>2530</v>
      </c>
      <c r="S204" s="22" t="s">
        <v>1001</v>
      </c>
      <c r="T204" s="22"/>
      <c r="U204" s="31"/>
      <c r="V204" s="22" t="s">
        <v>1671</v>
      </c>
      <c r="W204" s="45" t="s">
        <v>2547</v>
      </c>
      <c r="X204" s="22"/>
    </row>
    <row r="205" spans="1:26" ht="42.75">
      <c r="A205" s="22">
        <v>204</v>
      </c>
      <c r="B205" s="22" t="s">
        <v>2549</v>
      </c>
      <c r="C205" s="22" t="s">
        <v>2550</v>
      </c>
      <c r="D205" s="22" t="s">
        <v>493</v>
      </c>
      <c r="E205" s="22" t="s">
        <v>508</v>
      </c>
      <c r="F205" s="31" t="s">
        <v>3994</v>
      </c>
      <c r="G205" s="22" t="s">
        <v>756</v>
      </c>
      <c r="H205" s="31" t="s">
        <v>2551</v>
      </c>
      <c r="I205" s="22" t="s">
        <v>1003</v>
      </c>
      <c r="J205" s="22" t="s">
        <v>2552</v>
      </c>
      <c r="K205" s="33" t="s">
        <v>33</v>
      </c>
      <c r="L205" s="33" t="s">
        <v>758</v>
      </c>
      <c r="M205" s="33" t="s">
        <v>925</v>
      </c>
      <c r="N205" s="33" t="s">
        <v>1404</v>
      </c>
      <c r="O205" s="22"/>
      <c r="P205" s="22"/>
      <c r="Q205" s="22"/>
      <c r="R205" s="22"/>
      <c r="S205" s="22"/>
      <c r="T205" s="22" t="s">
        <v>2554</v>
      </c>
      <c r="U205" s="31"/>
      <c r="V205" s="22"/>
      <c r="W205" s="45" t="s">
        <v>2548</v>
      </c>
      <c r="X205" s="22"/>
    </row>
    <row r="206" spans="1:26" ht="42.75">
      <c r="A206" s="22">
        <v>205</v>
      </c>
      <c r="B206" s="38" t="s">
        <v>2553</v>
      </c>
      <c r="C206" s="22">
        <v>519</v>
      </c>
      <c r="D206" s="22" t="s">
        <v>493</v>
      </c>
      <c r="E206" s="22" t="s">
        <v>508</v>
      </c>
      <c r="F206" s="31" t="s">
        <v>3993</v>
      </c>
      <c r="G206" s="22" t="s">
        <v>756</v>
      </c>
      <c r="H206" s="31" t="s">
        <v>2551</v>
      </c>
      <c r="I206" s="22" t="s">
        <v>1003</v>
      </c>
      <c r="J206" s="22" t="s">
        <v>2552</v>
      </c>
      <c r="K206" s="33" t="s">
        <v>33</v>
      </c>
      <c r="L206" s="33" t="s">
        <v>785</v>
      </c>
      <c r="M206" s="33" t="s">
        <v>1137</v>
      </c>
      <c r="N206" s="33" t="s">
        <v>1407</v>
      </c>
      <c r="O206" s="22"/>
      <c r="P206" s="22"/>
      <c r="Q206" s="22"/>
      <c r="R206" s="22"/>
      <c r="S206" s="22"/>
      <c r="T206" s="22" t="s">
        <v>2560</v>
      </c>
      <c r="U206" s="31" t="s">
        <v>2555</v>
      </c>
      <c r="V206" s="31" t="s">
        <v>4749</v>
      </c>
      <c r="W206" s="45" t="s">
        <v>2548</v>
      </c>
      <c r="X206" s="22"/>
    </row>
    <row r="207" spans="1:26" ht="42.75">
      <c r="A207" s="22">
        <v>206</v>
      </c>
      <c r="B207" s="31" t="s">
        <v>2567</v>
      </c>
      <c r="C207" s="22">
        <v>174</v>
      </c>
      <c r="D207" s="22" t="s">
        <v>493</v>
      </c>
      <c r="E207" s="22" t="s">
        <v>509</v>
      </c>
      <c r="F207" s="31" t="s">
        <v>3992</v>
      </c>
      <c r="G207" s="22" t="s">
        <v>1089</v>
      </c>
      <c r="H207" s="31" t="s">
        <v>2568</v>
      </c>
      <c r="I207" s="31" t="s">
        <v>1848</v>
      </c>
      <c r="J207" s="22" t="s">
        <v>2569</v>
      </c>
      <c r="K207" s="33" t="s">
        <v>2563</v>
      </c>
      <c r="L207" s="33" t="s">
        <v>758</v>
      </c>
      <c r="M207" s="33" t="s">
        <v>883</v>
      </c>
      <c r="N207" s="33" t="s">
        <v>855</v>
      </c>
      <c r="O207" s="33" t="s">
        <v>782</v>
      </c>
      <c r="P207" s="22">
        <v>5</v>
      </c>
      <c r="Q207" s="22">
        <v>1985</v>
      </c>
      <c r="R207" s="31" t="s">
        <v>2570</v>
      </c>
      <c r="S207" s="22"/>
      <c r="T207" s="22"/>
      <c r="U207" s="31"/>
      <c r="V207" s="22"/>
      <c r="W207" s="22" t="s">
        <v>2571</v>
      </c>
    </row>
    <row r="208" spans="1:26" ht="71.25">
      <c r="A208" s="22">
        <v>207</v>
      </c>
      <c r="B208" s="31" t="s">
        <v>2576</v>
      </c>
      <c r="C208" s="22"/>
      <c r="D208" s="31" t="s">
        <v>490</v>
      </c>
      <c r="E208" s="22" t="s">
        <v>518</v>
      </c>
      <c r="F208" s="31" t="s">
        <v>3991</v>
      </c>
      <c r="G208" s="22" t="s">
        <v>757</v>
      </c>
      <c r="H208" s="32" t="s">
        <v>2578</v>
      </c>
      <c r="I208" s="22" t="s">
        <v>2577</v>
      </c>
      <c r="J208" s="22" t="s">
        <v>2579</v>
      </c>
      <c r="K208" s="33" t="s">
        <v>127</v>
      </c>
      <c r="L208" s="33" t="s">
        <v>758</v>
      </c>
      <c r="M208" s="33" t="s">
        <v>883</v>
      </c>
      <c r="N208" s="33" t="s">
        <v>855</v>
      </c>
      <c r="O208" s="33" t="s">
        <v>782</v>
      </c>
      <c r="P208" s="22"/>
      <c r="Q208" s="22"/>
      <c r="R208" s="22"/>
      <c r="S208" s="22"/>
      <c r="T208" s="22" t="s">
        <v>2580</v>
      </c>
      <c r="U208" s="31" t="s">
        <v>2581</v>
      </c>
      <c r="V208" s="22"/>
      <c r="W208" s="45" t="s">
        <v>3279</v>
      </c>
      <c r="X208" s="22"/>
    </row>
    <row r="209" spans="1:26" ht="42.75">
      <c r="A209" s="22">
        <v>208</v>
      </c>
      <c r="B209" s="22" t="s">
        <v>2582</v>
      </c>
      <c r="C209" s="22"/>
      <c r="D209" s="31" t="s">
        <v>490</v>
      </c>
      <c r="E209" s="22" t="s">
        <v>518</v>
      </c>
      <c r="F209" s="31" t="s">
        <v>3990</v>
      </c>
      <c r="G209" s="22" t="s">
        <v>757</v>
      </c>
      <c r="H209" s="32" t="s">
        <v>2583</v>
      </c>
      <c r="I209" s="31" t="s">
        <v>2584</v>
      </c>
      <c r="J209" s="22" t="s">
        <v>2585</v>
      </c>
      <c r="K209" s="33" t="s">
        <v>2586</v>
      </c>
      <c r="L209" s="33" t="s">
        <v>758</v>
      </c>
      <c r="M209" s="33" t="s">
        <v>925</v>
      </c>
      <c r="N209" s="33" t="s">
        <v>1404</v>
      </c>
      <c r="O209" s="22"/>
      <c r="P209" s="22"/>
      <c r="Q209" s="22"/>
      <c r="R209" s="22"/>
      <c r="S209" s="31" t="s">
        <v>1344</v>
      </c>
      <c r="T209" s="22" t="s">
        <v>2589</v>
      </c>
      <c r="U209" s="31" t="s">
        <v>2581</v>
      </c>
      <c r="V209" s="22"/>
      <c r="W209" s="45" t="s">
        <v>3280</v>
      </c>
      <c r="X209" s="45" t="s">
        <v>3281</v>
      </c>
    </row>
    <row r="210" spans="1:26" ht="42.75">
      <c r="A210" s="22">
        <v>209</v>
      </c>
      <c r="B210" s="31" t="s">
        <v>2590</v>
      </c>
      <c r="C210" s="31">
        <v>3345</v>
      </c>
      <c r="D210" s="31" t="s">
        <v>490</v>
      </c>
      <c r="E210" s="31" t="s">
        <v>518</v>
      </c>
      <c r="F210" s="31" t="s">
        <v>3989</v>
      </c>
      <c r="G210" s="31" t="s">
        <v>757</v>
      </c>
      <c r="H210" s="32" t="s">
        <v>2591</v>
      </c>
      <c r="I210" s="31" t="s">
        <v>1774</v>
      </c>
      <c r="J210" s="31" t="s">
        <v>2592</v>
      </c>
      <c r="K210" s="36" t="s">
        <v>91</v>
      </c>
      <c r="L210" s="36" t="s">
        <v>785</v>
      </c>
      <c r="M210" s="36" t="s">
        <v>1716</v>
      </c>
      <c r="N210" s="36" t="s">
        <v>1404</v>
      </c>
      <c r="O210" s="31"/>
      <c r="P210" s="31"/>
      <c r="Q210" s="31"/>
      <c r="R210" s="31"/>
      <c r="S210" s="31" t="s">
        <v>2593</v>
      </c>
      <c r="T210" s="31" t="s">
        <v>2600</v>
      </c>
      <c r="U210" s="31" t="s">
        <v>2594</v>
      </c>
      <c r="V210" s="31" t="s">
        <v>4750</v>
      </c>
      <c r="W210" s="42" t="s">
        <v>4629</v>
      </c>
      <c r="X210" s="31"/>
    </row>
    <row r="211" spans="1:26" ht="71.25">
      <c r="A211" s="22">
        <v>210</v>
      </c>
      <c r="B211" s="22" t="s">
        <v>2595</v>
      </c>
      <c r="C211" s="22"/>
      <c r="D211" s="22" t="s">
        <v>489</v>
      </c>
      <c r="E211" s="22" t="s">
        <v>518</v>
      </c>
      <c r="F211" s="31" t="s">
        <v>3987</v>
      </c>
      <c r="G211" s="22" t="s">
        <v>755</v>
      </c>
      <c r="H211" s="35" t="s">
        <v>2608</v>
      </c>
      <c r="I211" s="31" t="s">
        <v>1003</v>
      </c>
      <c r="J211" s="22" t="s">
        <v>2601</v>
      </c>
      <c r="K211" s="33" t="s">
        <v>2596</v>
      </c>
      <c r="L211" s="33" t="s">
        <v>785</v>
      </c>
      <c r="M211" s="33" t="s">
        <v>883</v>
      </c>
      <c r="N211" s="33" t="s">
        <v>795</v>
      </c>
      <c r="O211" s="22"/>
      <c r="P211" s="22"/>
      <c r="Q211" s="22" t="s">
        <v>2606</v>
      </c>
      <c r="R211" s="31" t="s">
        <v>2604</v>
      </c>
      <c r="S211" s="22"/>
      <c r="T211" s="22"/>
      <c r="U211" s="31" t="s">
        <v>2605</v>
      </c>
      <c r="V211" s="22"/>
      <c r="W211" s="45" t="s">
        <v>2602</v>
      </c>
      <c r="X211" s="45" t="s">
        <v>2603</v>
      </c>
    </row>
    <row r="212" spans="1:26" ht="28.5">
      <c r="A212" s="22">
        <v>211</v>
      </c>
      <c r="B212" s="31" t="s">
        <v>2607</v>
      </c>
      <c r="C212" s="22">
        <v>133</v>
      </c>
      <c r="D212" s="22" t="s">
        <v>489</v>
      </c>
      <c r="E212" s="22" t="s">
        <v>518</v>
      </c>
      <c r="F212" s="31" t="s">
        <v>3988</v>
      </c>
      <c r="G212" s="22" t="s">
        <v>755</v>
      </c>
      <c r="H212" s="31" t="s">
        <v>2608</v>
      </c>
      <c r="I212" s="31" t="s">
        <v>1003</v>
      </c>
      <c r="J212" s="22" t="s">
        <v>2609</v>
      </c>
      <c r="K212" s="33" t="s">
        <v>147</v>
      </c>
      <c r="L212" s="33" t="s">
        <v>758</v>
      </c>
      <c r="M212" s="33" t="s">
        <v>883</v>
      </c>
      <c r="N212" s="33" t="s">
        <v>795</v>
      </c>
      <c r="O212" s="22"/>
      <c r="P212" s="22"/>
      <c r="Q212" s="22"/>
      <c r="R212" s="22"/>
      <c r="S212" s="22" t="s">
        <v>2610</v>
      </c>
      <c r="T212" s="22"/>
      <c r="U212" s="31"/>
      <c r="V212" s="22"/>
      <c r="W212" s="45" t="s">
        <v>2611</v>
      </c>
      <c r="X212" s="45" t="s">
        <v>2612</v>
      </c>
      <c r="Y212" s="22"/>
    </row>
    <row r="213" spans="1:26" ht="42.75">
      <c r="A213" s="22">
        <v>212</v>
      </c>
      <c r="B213" s="57" t="s">
        <v>2895</v>
      </c>
      <c r="C213" s="22" t="s">
        <v>2894</v>
      </c>
      <c r="D213" s="22" t="s">
        <v>493</v>
      </c>
      <c r="E213" s="22" t="s">
        <v>518</v>
      </c>
      <c r="F213" s="31" t="s">
        <v>3986</v>
      </c>
      <c r="G213" s="22" t="s">
        <v>757</v>
      </c>
      <c r="H213" s="32" t="s">
        <v>2613</v>
      </c>
      <c r="I213" s="31" t="s">
        <v>1874</v>
      </c>
      <c r="J213" s="22" t="s">
        <v>2614</v>
      </c>
      <c r="K213" s="33" t="s">
        <v>159</v>
      </c>
      <c r="L213" s="33" t="s">
        <v>758</v>
      </c>
      <c r="M213" s="33" t="s">
        <v>795</v>
      </c>
      <c r="N213" s="33" t="s">
        <v>925</v>
      </c>
      <c r="O213" s="22" t="s">
        <v>782</v>
      </c>
      <c r="P213" s="22"/>
      <c r="Q213" s="22"/>
      <c r="R213" s="22"/>
      <c r="S213" s="22"/>
      <c r="T213" s="22" t="s">
        <v>2616</v>
      </c>
      <c r="U213" s="31" t="s">
        <v>2615</v>
      </c>
      <c r="V213" s="22"/>
      <c r="W213" s="45" t="s">
        <v>2617</v>
      </c>
      <c r="X213" s="45" t="s">
        <v>2618</v>
      </c>
      <c r="Y213" s="22"/>
    </row>
    <row r="214" spans="1:26" ht="71.25">
      <c r="A214" s="22">
        <v>213</v>
      </c>
      <c r="B214" s="22" t="s">
        <v>2625</v>
      </c>
      <c r="C214" s="22">
        <v>609</v>
      </c>
      <c r="D214" s="22" t="s">
        <v>493</v>
      </c>
      <c r="E214" s="22" t="s">
        <v>518</v>
      </c>
      <c r="F214" s="31" t="s">
        <v>3985</v>
      </c>
      <c r="G214" s="22" t="s">
        <v>755</v>
      </c>
      <c r="H214" s="35" t="s">
        <v>2619</v>
      </c>
      <c r="I214" s="31" t="s">
        <v>1807</v>
      </c>
      <c r="J214" s="22" t="s">
        <v>2080</v>
      </c>
      <c r="K214" s="33" t="s">
        <v>165</v>
      </c>
      <c r="L214" s="33" t="s">
        <v>758</v>
      </c>
      <c r="M214" s="33" t="s">
        <v>1701</v>
      </c>
      <c r="N214" s="33" t="s">
        <v>925</v>
      </c>
      <c r="O214" s="36" t="s">
        <v>2620</v>
      </c>
      <c r="P214" s="22"/>
      <c r="Q214" s="22"/>
      <c r="R214" s="22"/>
      <c r="S214" s="22"/>
      <c r="T214" s="31" t="s">
        <v>2621</v>
      </c>
      <c r="U214" s="31"/>
      <c r="V214" s="22"/>
      <c r="W214" s="45" t="s">
        <v>2622</v>
      </c>
      <c r="X214" s="45" t="s">
        <v>2623</v>
      </c>
      <c r="Y214" s="45" t="s">
        <v>2624</v>
      </c>
    </row>
    <row r="215" spans="1:26" ht="28.5">
      <c r="A215" s="22">
        <v>214</v>
      </c>
      <c r="B215" s="22" t="s">
        <v>2626</v>
      </c>
      <c r="C215" s="22">
        <v>259</v>
      </c>
      <c r="D215" s="22" t="s">
        <v>493</v>
      </c>
      <c r="E215" s="22" t="s">
        <v>518</v>
      </c>
      <c r="F215" s="31" t="s">
        <v>3984</v>
      </c>
      <c r="G215" s="22" t="s">
        <v>755</v>
      </c>
      <c r="H215" s="35" t="s">
        <v>2638</v>
      </c>
      <c r="I215" s="31" t="s">
        <v>1003</v>
      </c>
      <c r="J215" s="22" t="s">
        <v>1898</v>
      </c>
      <c r="K215" s="33" t="s">
        <v>106</v>
      </c>
      <c r="L215" s="33" t="s">
        <v>758</v>
      </c>
      <c r="M215" s="33" t="s">
        <v>2216</v>
      </c>
      <c r="N215" s="33" t="s">
        <v>2216</v>
      </c>
      <c r="O215" s="22"/>
      <c r="P215" s="22"/>
      <c r="Q215" s="22"/>
      <c r="R215" s="22"/>
      <c r="S215" s="31" t="s">
        <v>2630</v>
      </c>
      <c r="T215" s="22" t="s">
        <v>2628</v>
      </c>
      <c r="U215" s="31" t="s">
        <v>2627</v>
      </c>
      <c r="V215" s="22" t="s">
        <v>2629</v>
      </c>
      <c r="W215" s="45" t="s">
        <v>2631</v>
      </c>
      <c r="X215" s="45" t="s">
        <v>2632</v>
      </c>
      <c r="Y215" s="45" t="s">
        <v>2633</v>
      </c>
    </row>
    <row r="216" spans="1:26" ht="42.75">
      <c r="A216" s="22">
        <v>215</v>
      </c>
      <c r="B216" s="31" t="s">
        <v>2634</v>
      </c>
      <c r="C216" s="22">
        <v>694</v>
      </c>
      <c r="D216" s="22" t="s">
        <v>492</v>
      </c>
      <c r="E216" s="22" t="s">
        <v>518</v>
      </c>
      <c r="F216" s="31" t="s">
        <v>3983</v>
      </c>
      <c r="G216" s="22" t="s">
        <v>755</v>
      </c>
      <c r="H216" s="35" t="s">
        <v>2642</v>
      </c>
      <c r="I216" s="31" t="s">
        <v>1340</v>
      </c>
      <c r="J216" s="22" t="s">
        <v>979</v>
      </c>
      <c r="K216" s="33" t="s">
        <v>177</v>
      </c>
      <c r="L216" s="33" t="s">
        <v>758</v>
      </c>
      <c r="M216" s="33" t="s">
        <v>925</v>
      </c>
      <c r="N216" s="33" t="s">
        <v>1404</v>
      </c>
      <c r="O216" s="33" t="s">
        <v>758</v>
      </c>
      <c r="P216" s="22"/>
      <c r="Q216" s="22"/>
      <c r="R216" s="22"/>
      <c r="S216" s="31" t="s">
        <v>2635</v>
      </c>
      <c r="T216" s="22"/>
      <c r="U216" s="31"/>
      <c r="V216" s="22"/>
      <c r="W216" s="45" t="s">
        <v>2639</v>
      </c>
      <c r="X216" s="45" t="s">
        <v>2640</v>
      </c>
      <c r="Y216" s="22"/>
      <c r="Z216" s="22"/>
    </row>
    <row r="217" spans="1:26" ht="28.5">
      <c r="A217" s="22">
        <v>216</v>
      </c>
      <c r="B217" s="22" t="s">
        <v>2637</v>
      </c>
      <c r="C217" s="22"/>
      <c r="D217" s="22" t="s">
        <v>493</v>
      </c>
      <c r="E217" s="22" t="s">
        <v>518</v>
      </c>
      <c r="F217" s="31" t="s">
        <v>3982</v>
      </c>
      <c r="G217" s="22" t="s">
        <v>755</v>
      </c>
      <c r="H217" s="35" t="s">
        <v>2641</v>
      </c>
      <c r="I217" s="31" t="s">
        <v>1003</v>
      </c>
      <c r="J217" s="22" t="s">
        <v>2643</v>
      </c>
      <c r="K217" s="33" t="s">
        <v>159</v>
      </c>
      <c r="L217" s="33" t="s">
        <v>782</v>
      </c>
      <c r="M217" s="33" t="s">
        <v>980</v>
      </c>
      <c r="N217" s="33" t="s">
        <v>855</v>
      </c>
      <c r="O217" s="22"/>
      <c r="P217" s="22"/>
      <c r="Q217" s="22"/>
      <c r="R217" s="22"/>
      <c r="S217" s="22" t="s">
        <v>2636</v>
      </c>
      <c r="T217" s="22" t="s">
        <v>2644</v>
      </c>
      <c r="U217" s="31" t="s">
        <v>2645</v>
      </c>
      <c r="V217" s="22"/>
      <c r="W217" s="45" t="s">
        <v>2646</v>
      </c>
      <c r="X217" s="22"/>
      <c r="Y217" s="22"/>
    </row>
    <row r="218" spans="1:26" ht="57">
      <c r="A218" s="22">
        <v>217</v>
      </c>
      <c r="B218" s="38" t="s">
        <v>2648</v>
      </c>
      <c r="C218" s="22"/>
      <c r="D218" s="22" t="s">
        <v>493</v>
      </c>
      <c r="E218" s="22" t="s">
        <v>509</v>
      </c>
      <c r="F218" s="31" t="s">
        <v>2648</v>
      </c>
      <c r="G218" s="22" t="s">
        <v>755</v>
      </c>
      <c r="H218" s="35" t="s">
        <v>2649</v>
      </c>
      <c r="I218" s="31" t="s">
        <v>1003</v>
      </c>
      <c r="J218" s="22" t="s">
        <v>2650</v>
      </c>
      <c r="K218" s="33"/>
      <c r="L218" s="33" t="s">
        <v>782</v>
      </c>
      <c r="M218" s="33" t="s">
        <v>883</v>
      </c>
      <c r="N218" s="33" t="s">
        <v>795</v>
      </c>
      <c r="O218" s="22"/>
      <c r="P218" s="22">
        <v>170</v>
      </c>
      <c r="Q218" s="22" t="s">
        <v>2647</v>
      </c>
      <c r="R218" s="22" t="s">
        <v>1249</v>
      </c>
      <c r="S218" s="22"/>
      <c r="T218" s="22"/>
      <c r="U218" s="31"/>
      <c r="V218" s="22" t="s">
        <v>1139</v>
      </c>
      <c r="W218" s="45" t="s">
        <v>2651</v>
      </c>
      <c r="X218" s="45" t="s">
        <v>2652</v>
      </c>
      <c r="Y218" s="45" t="s">
        <v>2653</v>
      </c>
      <c r="Z218" s="22"/>
    </row>
    <row r="219" spans="1:26" ht="42.75">
      <c r="A219" s="22">
        <v>218</v>
      </c>
      <c r="B219" s="22" t="s">
        <v>2656</v>
      </c>
      <c r="C219" s="22">
        <v>30</v>
      </c>
      <c r="D219" s="22" t="s">
        <v>492</v>
      </c>
      <c r="E219" s="22" t="s">
        <v>492</v>
      </c>
      <c r="F219" s="31" t="s">
        <v>2654</v>
      </c>
      <c r="G219" s="22" t="s">
        <v>755</v>
      </c>
      <c r="H219" s="35" t="s">
        <v>2655</v>
      </c>
      <c r="I219" s="31" t="s">
        <v>1003</v>
      </c>
      <c r="J219" s="22" t="s">
        <v>2657</v>
      </c>
      <c r="K219" s="33" t="s">
        <v>2665</v>
      </c>
      <c r="L219" s="33" t="s">
        <v>785</v>
      </c>
      <c r="M219" s="33" t="s">
        <v>2701</v>
      </c>
      <c r="N219" s="33" t="s">
        <v>795</v>
      </c>
      <c r="O219" s="22"/>
      <c r="P219" s="22"/>
      <c r="Q219" s="22"/>
      <c r="R219" s="22"/>
      <c r="S219" s="22"/>
      <c r="T219" s="22" t="s">
        <v>2734</v>
      </c>
      <c r="U219" s="31"/>
      <c r="V219" s="22" t="s">
        <v>2126</v>
      </c>
      <c r="W219" s="45" t="s">
        <v>2658</v>
      </c>
      <c r="X219" s="45" t="s">
        <v>2659</v>
      </c>
      <c r="Y219" s="22"/>
    </row>
    <row r="220" spans="1:26" ht="42.75">
      <c r="A220" s="22">
        <v>219</v>
      </c>
      <c r="B220" s="31" t="s">
        <v>2660</v>
      </c>
      <c r="C220" s="22" t="s">
        <v>2661</v>
      </c>
      <c r="D220" s="22" t="s">
        <v>493</v>
      </c>
      <c r="E220" s="22" t="s">
        <v>518</v>
      </c>
      <c r="F220" s="31" t="s">
        <v>2662</v>
      </c>
      <c r="G220" s="22" t="s">
        <v>755</v>
      </c>
      <c r="H220" s="35" t="s">
        <v>2655</v>
      </c>
      <c r="I220" s="31" t="s">
        <v>2663</v>
      </c>
      <c r="J220" s="22" t="s">
        <v>2664</v>
      </c>
      <c r="K220" s="33" t="s">
        <v>2665</v>
      </c>
      <c r="L220" s="33" t="s">
        <v>782</v>
      </c>
      <c r="M220" s="33" t="s">
        <v>1407</v>
      </c>
      <c r="N220" s="33" t="s">
        <v>855</v>
      </c>
      <c r="O220" s="22" t="s">
        <v>785</v>
      </c>
      <c r="P220" s="22"/>
      <c r="Q220" s="22"/>
      <c r="R220" s="22"/>
      <c r="S220" s="22" t="s">
        <v>2636</v>
      </c>
      <c r="T220" s="22" t="s">
        <v>2712</v>
      </c>
      <c r="U220" s="31"/>
      <c r="V220" s="22" t="s">
        <v>2126</v>
      </c>
      <c r="W220" s="45" t="s">
        <v>2667</v>
      </c>
      <c r="X220" s="45" t="s">
        <v>2668</v>
      </c>
      <c r="Y220" s="22"/>
    </row>
    <row r="221" spans="1:26" ht="42.75">
      <c r="A221" s="22">
        <v>220</v>
      </c>
      <c r="B221" s="22" t="s">
        <v>2669</v>
      </c>
      <c r="C221" s="22" t="s">
        <v>2672</v>
      </c>
      <c r="D221" s="22" t="s">
        <v>493</v>
      </c>
      <c r="E221" s="22" t="s">
        <v>518</v>
      </c>
      <c r="F221" s="31" t="s">
        <v>3981</v>
      </c>
      <c r="G221" s="22" t="s">
        <v>755</v>
      </c>
      <c r="H221" s="35" t="s">
        <v>2684</v>
      </c>
      <c r="I221" s="31" t="s">
        <v>1003</v>
      </c>
      <c r="J221" s="22" t="s">
        <v>2671</v>
      </c>
      <c r="K221" s="33" t="s">
        <v>91</v>
      </c>
      <c r="L221" s="33" t="s">
        <v>782</v>
      </c>
      <c r="M221" s="33" t="s">
        <v>1205</v>
      </c>
      <c r="N221" s="33" t="s">
        <v>1904</v>
      </c>
      <c r="O221" s="31" t="s">
        <v>2670</v>
      </c>
      <c r="P221" s="22"/>
      <c r="Q221" s="22"/>
      <c r="R221" s="22"/>
      <c r="S221" s="22"/>
      <c r="T221" s="22" t="s">
        <v>2674</v>
      </c>
      <c r="U221" s="31" t="s">
        <v>2673</v>
      </c>
      <c r="V221" s="22" t="s">
        <v>1201</v>
      </c>
      <c r="W221" s="45" t="s">
        <v>2675</v>
      </c>
      <c r="X221" s="45" t="s">
        <v>2676</v>
      </c>
      <c r="Y221" s="22"/>
    </row>
    <row r="222" spans="1:26" ht="28.5">
      <c r="A222" s="22">
        <v>221</v>
      </c>
      <c r="B222" s="22" t="s">
        <v>2680</v>
      </c>
      <c r="C222" s="22">
        <v>946</v>
      </c>
      <c r="D222" s="22" t="s">
        <v>493</v>
      </c>
      <c r="E222" s="22" t="s">
        <v>518</v>
      </c>
      <c r="F222" s="31" t="s">
        <v>3980</v>
      </c>
      <c r="G222" s="22" t="s">
        <v>755</v>
      </c>
      <c r="H222" s="35" t="s">
        <v>2677</v>
      </c>
      <c r="I222" s="31" t="s">
        <v>1003</v>
      </c>
      <c r="J222" s="22" t="s">
        <v>2678</v>
      </c>
      <c r="K222" s="33" t="s">
        <v>80</v>
      </c>
      <c r="L222" s="33" t="s">
        <v>782</v>
      </c>
      <c r="M222" s="33" t="s">
        <v>1213</v>
      </c>
      <c r="N222" s="33" t="s">
        <v>855</v>
      </c>
      <c r="O222" s="31" t="s">
        <v>2679</v>
      </c>
      <c r="P222" s="22"/>
      <c r="Q222" s="22"/>
      <c r="R222" s="22"/>
      <c r="S222" s="22"/>
      <c r="T222" s="22" t="s">
        <v>2711</v>
      </c>
      <c r="U222" s="31"/>
      <c r="V222" s="22" t="s">
        <v>2126</v>
      </c>
      <c r="W222" s="45" t="s">
        <v>2681</v>
      </c>
      <c r="X222" s="45" t="s">
        <v>2682</v>
      </c>
      <c r="Y222" s="22"/>
    </row>
    <row r="223" spans="1:26" ht="28.5">
      <c r="A223" s="22">
        <v>222</v>
      </c>
      <c r="B223" s="22" t="s">
        <v>2683</v>
      </c>
      <c r="C223" s="22">
        <v>673</v>
      </c>
      <c r="D223" s="22" t="s">
        <v>493</v>
      </c>
      <c r="E223" s="22" t="s">
        <v>518</v>
      </c>
      <c r="F223" s="31" t="s">
        <v>3979</v>
      </c>
      <c r="G223" s="22" t="s">
        <v>755</v>
      </c>
      <c r="H223" s="35" t="s">
        <v>2684</v>
      </c>
      <c r="I223" s="31" t="s">
        <v>1666</v>
      </c>
      <c r="J223" s="22" t="s">
        <v>2685</v>
      </c>
      <c r="K223" s="33" t="s">
        <v>165</v>
      </c>
      <c r="L223" s="33" t="s">
        <v>782</v>
      </c>
      <c r="M223" s="33" t="s">
        <v>855</v>
      </c>
      <c r="N223" s="33" t="s">
        <v>925</v>
      </c>
      <c r="O223" s="22"/>
      <c r="P223" s="22"/>
      <c r="Q223" s="22"/>
      <c r="R223" s="22" t="s">
        <v>2689</v>
      </c>
      <c r="S223" s="31" t="s">
        <v>2686</v>
      </c>
      <c r="T223" s="22"/>
      <c r="U223" s="31" t="s">
        <v>4751</v>
      </c>
      <c r="V223" s="22"/>
      <c r="W223" s="45" t="s">
        <v>2687</v>
      </c>
      <c r="X223" s="45" t="s">
        <v>2688</v>
      </c>
      <c r="Y223" s="22"/>
    </row>
    <row r="224" spans="1:26" ht="57">
      <c r="A224" s="22">
        <v>223</v>
      </c>
      <c r="B224" s="31" t="s">
        <v>2690</v>
      </c>
      <c r="C224" s="22"/>
      <c r="D224" s="22" t="s">
        <v>493</v>
      </c>
      <c r="E224" s="22" t="s">
        <v>518</v>
      </c>
      <c r="F224" s="31" t="s">
        <v>3977</v>
      </c>
      <c r="G224" s="22" t="s">
        <v>755</v>
      </c>
      <c r="H224" s="35" t="s">
        <v>3978</v>
      </c>
      <c r="I224" s="31" t="s">
        <v>2692</v>
      </c>
      <c r="J224" s="22" t="s">
        <v>2691</v>
      </c>
      <c r="K224" s="33" t="s">
        <v>127</v>
      </c>
      <c r="L224" s="33" t="s">
        <v>785</v>
      </c>
      <c r="M224" s="33" t="s">
        <v>883</v>
      </c>
      <c r="N224" s="33" t="s">
        <v>855</v>
      </c>
      <c r="O224" s="22"/>
      <c r="P224" s="22"/>
      <c r="Q224" s="22"/>
      <c r="R224" s="22"/>
      <c r="S224" s="31" t="s">
        <v>2693</v>
      </c>
      <c r="T224" s="22"/>
      <c r="U224" s="31" t="s">
        <v>2694</v>
      </c>
      <c r="V224" s="31" t="s">
        <v>2695</v>
      </c>
      <c r="W224" s="45" t="s">
        <v>2696</v>
      </c>
      <c r="X224" s="45" t="s">
        <v>2697</v>
      </c>
      <c r="Y224" s="22"/>
    </row>
    <row r="225" spans="1:28" ht="28.5">
      <c r="A225" s="22">
        <v>224</v>
      </c>
      <c r="B225" s="32" t="s">
        <v>2698</v>
      </c>
      <c r="C225" s="22"/>
      <c r="D225" s="22" t="s">
        <v>493</v>
      </c>
      <c r="E225" s="22" t="s">
        <v>522</v>
      </c>
      <c r="F225" s="31" t="s">
        <v>3976</v>
      </c>
      <c r="G225" s="22" t="s">
        <v>755</v>
      </c>
      <c r="H225" s="35" t="s">
        <v>2699</v>
      </c>
      <c r="I225" s="31" t="s">
        <v>1003</v>
      </c>
      <c r="J225" s="22" t="s">
        <v>2700</v>
      </c>
      <c r="K225" s="33" t="s">
        <v>33</v>
      </c>
      <c r="L225" s="33" t="s">
        <v>782</v>
      </c>
      <c r="M225" s="33" t="s">
        <v>1137</v>
      </c>
      <c r="N225" s="33" t="s">
        <v>2701</v>
      </c>
      <c r="O225" s="22"/>
      <c r="P225" s="22"/>
      <c r="Q225" s="22"/>
      <c r="R225" s="22"/>
      <c r="S225" s="22"/>
      <c r="T225" s="22" t="s">
        <v>2560</v>
      </c>
      <c r="U225" s="31"/>
      <c r="V225" s="22"/>
      <c r="W225" s="45" t="s">
        <v>2702</v>
      </c>
      <c r="X225" s="22"/>
    </row>
    <row r="226" spans="1:28" ht="42.75">
      <c r="A226" s="22">
        <v>225</v>
      </c>
      <c r="B226" s="31" t="s">
        <v>3196</v>
      </c>
      <c r="C226" s="22"/>
      <c r="D226" s="22" t="s">
        <v>493</v>
      </c>
      <c r="E226" s="22" t="s">
        <v>511</v>
      </c>
      <c r="F226" s="31" t="s">
        <v>3975</v>
      </c>
      <c r="G226" s="22" t="s">
        <v>756</v>
      </c>
      <c r="H226" s="35" t="s">
        <v>2732</v>
      </c>
      <c r="I226" s="31" t="s">
        <v>1003</v>
      </c>
      <c r="J226" s="22" t="s">
        <v>2705</v>
      </c>
      <c r="K226" s="33" t="s">
        <v>137</v>
      </c>
      <c r="L226" s="33" t="s">
        <v>758</v>
      </c>
      <c r="M226" s="33" t="s">
        <v>2704</v>
      </c>
      <c r="N226" s="33" t="s">
        <v>2701</v>
      </c>
      <c r="O226" s="22"/>
      <c r="P226" s="22"/>
      <c r="Q226" s="22"/>
      <c r="R226" s="31" t="s">
        <v>2708</v>
      </c>
      <c r="S226" s="31" t="s">
        <v>2703</v>
      </c>
      <c r="T226" s="22" t="s">
        <v>2733</v>
      </c>
      <c r="U226" s="31" t="s">
        <v>3197</v>
      </c>
      <c r="V226" s="22"/>
      <c r="W226" s="45" t="s">
        <v>2706</v>
      </c>
      <c r="X226" s="45" t="s">
        <v>2707</v>
      </c>
      <c r="Y226" s="22"/>
      <c r="Z226" s="22"/>
    </row>
    <row r="227" spans="1:28" ht="28.5">
      <c r="A227" s="22">
        <v>226</v>
      </c>
      <c r="B227" s="22" t="s">
        <v>2713</v>
      </c>
      <c r="C227" s="22">
        <v>969</v>
      </c>
      <c r="D227" s="22" t="s">
        <v>492</v>
      </c>
      <c r="E227" s="22" t="s">
        <v>511</v>
      </c>
      <c r="F227" s="31" t="s">
        <v>3974</v>
      </c>
      <c r="G227" s="22" t="s">
        <v>755</v>
      </c>
      <c r="H227" s="35" t="s">
        <v>2709</v>
      </c>
      <c r="I227" s="31" t="s">
        <v>1874</v>
      </c>
      <c r="J227" s="22" t="s">
        <v>2710</v>
      </c>
      <c r="K227" s="33" t="s">
        <v>99</v>
      </c>
      <c r="L227" s="33" t="s">
        <v>758</v>
      </c>
      <c r="M227" s="33" t="s">
        <v>855</v>
      </c>
      <c r="N227" s="33" t="s">
        <v>2149</v>
      </c>
      <c r="O227" s="22"/>
      <c r="P227" s="22"/>
      <c r="Q227" s="22"/>
      <c r="R227" s="31" t="s">
        <v>3840</v>
      </c>
      <c r="S227" s="22" t="s">
        <v>2731</v>
      </c>
      <c r="T227" s="31" t="s">
        <v>2725</v>
      </c>
      <c r="U227" s="31"/>
      <c r="V227" s="22"/>
      <c r="W227" s="45" t="s">
        <v>2714</v>
      </c>
      <c r="X227" s="45" t="s">
        <v>2715</v>
      </c>
      <c r="Y227" s="45" t="s">
        <v>2716</v>
      </c>
      <c r="Z227" s="22"/>
    </row>
    <row r="228" spans="1:28" ht="28.5">
      <c r="A228" s="22">
        <v>227</v>
      </c>
      <c r="B228" s="31" t="s">
        <v>2718</v>
      </c>
      <c r="C228" s="22" t="s">
        <v>2717</v>
      </c>
      <c r="D228" s="22" t="s">
        <v>493</v>
      </c>
      <c r="E228" s="22" t="s">
        <v>511</v>
      </c>
      <c r="F228" s="31" t="s">
        <v>2719</v>
      </c>
      <c r="G228" s="22" t="s">
        <v>755</v>
      </c>
      <c r="H228" s="35" t="s">
        <v>2720</v>
      </c>
      <c r="I228" s="31" t="s">
        <v>1874</v>
      </c>
      <c r="J228" s="22" t="s">
        <v>2721</v>
      </c>
      <c r="K228" s="33" t="s">
        <v>99</v>
      </c>
      <c r="L228" s="33" t="s">
        <v>758</v>
      </c>
      <c r="M228" s="33" t="s">
        <v>1213</v>
      </c>
      <c r="N228" s="33" t="s">
        <v>1188</v>
      </c>
      <c r="O228" s="22"/>
      <c r="P228" s="22"/>
      <c r="Q228" s="22"/>
      <c r="R228" s="22"/>
      <c r="S228" s="22"/>
      <c r="T228" s="22" t="s">
        <v>2724</v>
      </c>
      <c r="U228" s="31"/>
      <c r="V228" s="22"/>
      <c r="W228" s="45" t="s">
        <v>2722</v>
      </c>
      <c r="X228" s="45" t="s">
        <v>2723</v>
      </c>
      <c r="Y228" s="22"/>
      <c r="Z228" s="22"/>
    </row>
    <row r="229" spans="1:28" ht="57">
      <c r="A229" s="22">
        <v>228</v>
      </c>
      <c r="B229" s="31" t="s">
        <v>2726</v>
      </c>
      <c r="C229" s="22"/>
      <c r="D229" s="22" t="s">
        <v>493</v>
      </c>
      <c r="E229" s="22" t="s">
        <v>511</v>
      </c>
      <c r="F229" s="31" t="s">
        <v>3973</v>
      </c>
      <c r="G229" s="22" t="s">
        <v>755</v>
      </c>
      <c r="H229" s="31" t="s">
        <v>2738</v>
      </c>
      <c r="I229" s="22" t="s">
        <v>1003</v>
      </c>
      <c r="J229" s="22" t="s">
        <v>2727</v>
      </c>
      <c r="K229" s="33" t="s">
        <v>372</v>
      </c>
      <c r="L229" s="33" t="s">
        <v>782</v>
      </c>
      <c r="M229" s="33" t="s">
        <v>1205</v>
      </c>
      <c r="N229" s="33" t="s">
        <v>1188</v>
      </c>
      <c r="O229" s="22"/>
      <c r="P229" s="22"/>
      <c r="Q229" s="22"/>
      <c r="R229" s="22"/>
      <c r="S229" s="22" t="s">
        <v>1171</v>
      </c>
      <c r="T229" s="22" t="s">
        <v>2735</v>
      </c>
      <c r="U229" s="31" t="s">
        <v>2728</v>
      </c>
      <c r="V229" s="31" t="s">
        <v>2730</v>
      </c>
      <c r="W229" s="45" t="s">
        <v>2729</v>
      </c>
      <c r="X229" s="22"/>
      <c r="Y229" s="22"/>
      <c r="Z229" s="22"/>
    </row>
    <row r="230" spans="1:28" ht="57">
      <c r="A230" s="22">
        <v>229</v>
      </c>
      <c r="B230" s="22" t="s">
        <v>2736</v>
      </c>
      <c r="C230" s="22"/>
      <c r="D230" s="22" t="s">
        <v>492</v>
      </c>
      <c r="E230" s="22" t="s">
        <v>511</v>
      </c>
      <c r="F230" s="31" t="s">
        <v>3972</v>
      </c>
      <c r="G230" s="22" t="s">
        <v>755</v>
      </c>
      <c r="H230" s="31" t="s">
        <v>2737</v>
      </c>
      <c r="I230" s="31" t="s">
        <v>1003</v>
      </c>
      <c r="J230" s="22" t="s">
        <v>2739</v>
      </c>
      <c r="K230" s="33" t="s">
        <v>137</v>
      </c>
      <c r="L230" s="33" t="s">
        <v>782</v>
      </c>
      <c r="M230" s="33" t="s">
        <v>2032</v>
      </c>
      <c r="N230" s="33" t="s">
        <v>1213</v>
      </c>
      <c r="O230" s="22"/>
      <c r="P230" s="22"/>
      <c r="Q230" s="22"/>
      <c r="R230" s="22"/>
      <c r="S230" s="22" t="s">
        <v>2741</v>
      </c>
      <c r="T230" s="22" t="s">
        <v>2758</v>
      </c>
      <c r="U230" s="31" t="s">
        <v>2742</v>
      </c>
      <c r="V230" s="22" t="s">
        <v>2740</v>
      </c>
      <c r="W230" s="45" t="s">
        <v>2743</v>
      </c>
      <c r="X230" s="45" t="s">
        <v>2744</v>
      </c>
      <c r="Y230" s="22"/>
    </row>
    <row r="231" spans="1:28" ht="28.5">
      <c r="A231" s="22">
        <v>230</v>
      </c>
      <c r="B231" s="31" t="s">
        <v>2745</v>
      </c>
      <c r="C231" s="22"/>
      <c r="D231" s="22" t="s">
        <v>493</v>
      </c>
      <c r="E231" s="22" t="s">
        <v>511</v>
      </c>
      <c r="F231" s="31" t="s">
        <v>2747</v>
      </c>
      <c r="G231" s="22" t="s">
        <v>755</v>
      </c>
      <c r="H231" s="31" t="s">
        <v>2748</v>
      </c>
      <c r="I231" s="31" t="s">
        <v>1003</v>
      </c>
      <c r="J231" s="22" t="s">
        <v>2749</v>
      </c>
      <c r="K231" s="33" t="s">
        <v>2750</v>
      </c>
      <c r="L231" s="33" t="s">
        <v>785</v>
      </c>
      <c r="M231" s="33" t="s">
        <v>2746</v>
      </c>
      <c r="N231" s="33" t="s">
        <v>1137</v>
      </c>
      <c r="O231" s="22"/>
      <c r="P231" s="22"/>
      <c r="Q231" s="22"/>
      <c r="R231" s="22"/>
      <c r="S231" s="31" t="s">
        <v>2757</v>
      </c>
      <c r="T231" s="22"/>
      <c r="U231" s="31" t="s">
        <v>2753</v>
      </c>
      <c r="V231" s="22" t="s">
        <v>2754</v>
      </c>
      <c r="W231" s="45" t="s">
        <v>2755</v>
      </c>
      <c r="X231" s="45" t="s">
        <v>2756</v>
      </c>
      <c r="Y231" s="22"/>
      <c r="Z231" s="22"/>
    </row>
    <row r="232" spans="1:28" ht="42.75">
      <c r="A232" s="22">
        <v>231</v>
      </c>
      <c r="B232" s="31" t="s">
        <v>2759</v>
      </c>
      <c r="C232" s="22"/>
      <c r="D232" s="22" t="s">
        <v>489</v>
      </c>
      <c r="E232" s="22" t="s">
        <v>517</v>
      </c>
      <c r="F232" s="31" t="s">
        <v>2762</v>
      </c>
      <c r="G232" s="22" t="s">
        <v>755</v>
      </c>
      <c r="H232" s="31" t="s">
        <v>2760</v>
      </c>
      <c r="I232" s="31" t="s">
        <v>1003</v>
      </c>
      <c r="J232" s="22" t="s">
        <v>2763</v>
      </c>
      <c r="K232" s="33" t="s">
        <v>137</v>
      </c>
      <c r="L232" s="33" t="s">
        <v>758</v>
      </c>
      <c r="M232" s="33" t="s">
        <v>1413</v>
      </c>
      <c r="N232" s="33" t="s">
        <v>1188</v>
      </c>
      <c r="O232" s="22"/>
      <c r="P232" s="22"/>
      <c r="Q232" s="22"/>
      <c r="R232" s="22"/>
      <c r="S232" s="22" t="s">
        <v>1171</v>
      </c>
      <c r="T232" s="31" t="s">
        <v>2766</v>
      </c>
      <c r="U232" s="31" t="s">
        <v>2761</v>
      </c>
      <c r="V232" s="22"/>
      <c r="W232" s="45" t="s">
        <v>2764</v>
      </c>
      <c r="X232" s="45" t="s">
        <v>2765</v>
      </c>
      <c r="Y232" s="22"/>
      <c r="Z232" s="22"/>
      <c r="AA232" s="22"/>
      <c r="AB232" s="22"/>
    </row>
    <row r="233" spans="1:28" ht="42.75">
      <c r="A233" s="22">
        <v>232</v>
      </c>
      <c r="B233" s="31" t="s">
        <v>2767</v>
      </c>
      <c r="C233" s="22"/>
      <c r="D233" s="22" t="s">
        <v>493</v>
      </c>
      <c r="E233" s="22" t="s">
        <v>517</v>
      </c>
      <c r="F233" s="31" t="s">
        <v>2769</v>
      </c>
      <c r="G233" s="22" t="s">
        <v>755</v>
      </c>
      <c r="H233" s="31" t="s">
        <v>2768</v>
      </c>
      <c r="I233" s="31" t="s">
        <v>1003</v>
      </c>
      <c r="J233" s="22" t="s">
        <v>2770</v>
      </c>
      <c r="K233" s="33" t="s">
        <v>137</v>
      </c>
      <c r="L233" s="33" t="s">
        <v>782</v>
      </c>
      <c r="M233" s="33" t="s">
        <v>1413</v>
      </c>
      <c r="N233" s="33" t="s">
        <v>1188</v>
      </c>
      <c r="O233" s="22"/>
      <c r="P233" s="22">
        <v>319</v>
      </c>
      <c r="Q233" s="22" t="s">
        <v>1249</v>
      </c>
      <c r="R233" s="51">
        <v>44531</v>
      </c>
      <c r="S233" s="22" t="s">
        <v>2731</v>
      </c>
      <c r="T233" s="22" t="s">
        <v>2773</v>
      </c>
      <c r="U233" s="31" t="s">
        <v>5267</v>
      </c>
      <c r="V233" s="22"/>
      <c r="W233" s="45" t="s">
        <v>2771</v>
      </c>
      <c r="X233" s="45" t="s">
        <v>2772</v>
      </c>
      <c r="Y233" s="22"/>
    </row>
    <row r="234" spans="1:28" ht="57">
      <c r="A234" s="22">
        <v>233</v>
      </c>
      <c r="B234" s="31" t="s">
        <v>2774</v>
      </c>
      <c r="C234" s="22">
        <v>490</v>
      </c>
      <c r="D234" s="22" t="s">
        <v>489</v>
      </c>
      <c r="E234" s="22" t="s">
        <v>506</v>
      </c>
      <c r="F234" s="31" t="s">
        <v>2775</v>
      </c>
      <c r="G234" s="22" t="s">
        <v>755</v>
      </c>
      <c r="H234" s="31" t="s">
        <v>2779</v>
      </c>
      <c r="I234" s="31" t="s">
        <v>1003</v>
      </c>
      <c r="J234" s="22" t="s">
        <v>2777</v>
      </c>
      <c r="K234" s="33" t="s">
        <v>86</v>
      </c>
      <c r="L234" s="33" t="s">
        <v>782</v>
      </c>
      <c r="M234" s="33" t="s">
        <v>2776</v>
      </c>
      <c r="N234" s="33" t="s">
        <v>1213</v>
      </c>
      <c r="O234" s="22"/>
      <c r="P234" s="22"/>
      <c r="Q234" s="22"/>
      <c r="R234" s="31" t="s">
        <v>3840</v>
      </c>
      <c r="S234" s="22" t="s">
        <v>2780</v>
      </c>
      <c r="T234" s="31" t="s">
        <v>4739</v>
      </c>
      <c r="U234" s="31" t="s">
        <v>2778</v>
      </c>
      <c r="V234" s="22"/>
      <c r="W234" s="45" t="s">
        <v>2781</v>
      </c>
      <c r="X234" s="45" t="s">
        <v>2782</v>
      </c>
      <c r="Y234" s="22"/>
      <c r="Z234" s="22"/>
    </row>
    <row r="235" spans="1:28" ht="99.75">
      <c r="A235" s="22">
        <v>234</v>
      </c>
      <c r="B235" s="31" t="s">
        <v>2783</v>
      </c>
      <c r="C235" s="22">
        <v>520</v>
      </c>
      <c r="D235" s="22" t="s">
        <v>489</v>
      </c>
      <c r="E235" s="22" t="s">
        <v>506</v>
      </c>
      <c r="F235" s="31" t="s">
        <v>3971</v>
      </c>
      <c r="G235" s="22" t="s">
        <v>755</v>
      </c>
      <c r="H235" s="31" t="s">
        <v>2784</v>
      </c>
      <c r="I235" s="31" t="s">
        <v>1003</v>
      </c>
      <c r="J235" s="22" t="s">
        <v>2785</v>
      </c>
      <c r="K235" s="33" t="s">
        <v>86</v>
      </c>
      <c r="L235" s="33" t="s">
        <v>782</v>
      </c>
      <c r="M235" s="33" t="s">
        <v>2776</v>
      </c>
      <c r="N235" s="33" t="s">
        <v>1213</v>
      </c>
      <c r="O235" s="22"/>
      <c r="P235" s="22">
        <v>1200</v>
      </c>
      <c r="Q235" s="51">
        <v>44713</v>
      </c>
      <c r="R235" s="31" t="s">
        <v>3840</v>
      </c>
      <c r="S235" s="31" t="s">
        <v>2789</v>
      </c>
      <c r="T235" s="22" t="s">
        <v>4734</v>
      </c>
      <c r="U235" s="31" t="s">
        <v>2790</v>
      </c>
      <c r="V235" s="22"/>
      <c r="W235" s="45" t="s">
        <v>2786</v>
      </c>
      <c r="X235" s="45" t="s">
        <v>2787</v>
      </c>
      <c r="Y235" s="45" t="s">
        <v>2788</v>
      </c>
      <c r="Z235" s="22"/>
    </row>
    <row r="236" spans="1:28" ht="42.75">
      <c r="A236" s="22">
        <v>235</v>
      </c>
      <c r="B236" s="31" t="s">
        <v>2791</v>
      </c>
      <c r="C236" s="22">
        <v>345</v>
      </c>
      <c r="D236" s="22" t="s">
        <v>489</v>
      </c>
      <c r="E236" s="22" t="s">
        <v>506</v>
      </c>
      <c r="F236" s="31" t="s">
        <v>3970</v>
      </c>
      <c r="G236" s="22" t="s">
        <v>755</v>
      </c>
      <c r="H236" s="31" t="s">
        <v>2795</v>
      </c>
      <c r="I236" s="31" t="s">
        <v>1003</v>
      </c>
      <c r="J236" s="22" t="s">
        <v>2792</v>
      </c>
      <c r="K236" s="33" t="s">
        <v>86</v>
      </c>
      <c r="L236" s="33" t="s">
        <v>782</v>
      </c>
      <c r="M236" s="33" t="s">
        <v>2300</v>
      </c>
      <c r="N236" s="33" t="s">
        <v>1413</v>
      </c>
      <c r="O236" s="22"/>
      <c r="P236" s="22"/>
      <c r="Q236" s="22"/>
      <c r="R236" s="22" t="s">
        <v>1249</v>
      </c>
      <c r="S236" s="22" t="s">
        <v>2799</v>
      </c>
      <c r="T236" s="22" t="s">
        <v>4731</v>
      </c>
      <c r="U236" s="31" t="s">
        <v>2794</v>
      </c>
      <c r="V236" s="22" t="s">
        <v>2793</v>
      </c>
      <c r="W236" s="45" t="s">
        <v>2796</v>
      </c>
      <c r="X236" s="45" t="s">
        <v>2797</v>
      </c>
      <c r="Y236" s="22"/>
      <c r="Z236" s="22"/>
    </row>
    <row r="237" spans="1:28" ht="57">
      <c r="A237" s="22">
        <v>236</v>
      </c>
      <c r="B237" s="31" t="s">
        <v>2798</v>
      </c>
      <c r="C237" s="22">
        <v>773</v>
      </c>
      <c r="D237" s="31" t="s">
        <v>490</v>
      </c>
      <c r="E237" s="22" t="s">
        <v>506</v>
      </c>
      <c r="F237" s="31" t="s">
        <v>3969</v>
      </c>
      <c r="G237" s="22" t="s">
        <v>755</v>
      </c>
      <c r="H237" s="31" t="s">
        <v>2801</v>
      </c>
      <c r="I237" s="31" t="s">
        <v>1003</v>
      </c>
      <c r="J237" s="22" t="s">
        <v>2800</v>
      </c>
      <c r="K237" s="33" t="s">
        <v>86</v>
      </c>
      <c r="L237" s="33" t="s">
        <v>758</v>
      </c>
      <c r="M237" s="33" t="s">
        <v>1094</v>
      </c>
      <c r="N237" s="33" t="s">
        <v>1413</v>
      </c>
      <c r="O237" s="22"/>
      <c r="P237" s="22">
        <v>1850</v>
      </c>
      <c r="Q237" s="51">
        <v>44774</v>
      </c>
      <c r="R237" s="31" t="s">
        <v>3840</v>
      </c>
      <c r="S237" s="31" t="s">
        <v>2806</v>
      </c>
      <c r="T237" s="31" t="s">
        <v>4735</v>
      </c>
      <c r="U237" s="31" t="s">
        <v>2802</v>
      </c>
      <c r="V237" s="22"/>
      <c r="W237" s="45" t="s">
        <v>2803</v>
      </c>
      <c r="X237" s="45" t="s">
        <v>2804</v>
      </c>
      <c r="Y237" s="45" t="s">
        <v>2805</v>
      </c>
      <c r="Z237" s="22"/>
    </row>
    <row r="238" spans="1:28" ht="42.75">
      <c r="A238" s="22">
        <v>237</v>
      </c>
      <c r="B238" s="31" t="s">
        <v>2807</v>
      </c>
      <c r="C238" s="22">
        <v>500</v>
      </c>
      <c r="D238" s="22" t="s">
        <v>493</v>
      </c>
      <c r="E238" s="22" t="s">
        <v>508</v>
      </c>
      <c r="F238" s="31" t="s">
        <v>3968</v>
      </c>
      <c r="G238" s="22" t="s">
        <v>755</v>
      </c>
      <c r="H238" s="31" t="s">
        <v>2808</v>
      </c>
      <c r="I238" s="31" t="s">
        <v>1003</v>
      </c>
      <c r="J238" s="22" t="s">
        <v>2242</v>
      </c>
      <c r="K238" s="33" t="s">
        <v>86</v>
      </c>
      <c r="L238" s="33" t="s">
        <v>782</v>
      </c>
      <c r="M238" s="33" t="s">
        <v>2776</v>
      </c>
      <c r="N238" s="33" t="s">
        <v>2814</v>
      </c>
      <c r="O238" s="22">
        <v>800</v>
      </c>
      <c r="P238" s="22"/>
      <c r="Q238" s="22" t="s">
        <v>6071</v>
      </c>
      <c r="R238" s="31" t="s">
        <v>3840</v>
      </c>
      <c r="S238" s="22" t="s">
        <v>2813</v>
      </c>
      <c r="T238" s="22" t="s">
        <v>4732</v>
      </c>
      <c r="U238" s="31" t="s">
        <v>2809</v>
      </c>
      <c r="V238" s="22"/>
      <c r="W238" s="45" t="s">
        <v>2810</v>
      </c>
      <c r="X238" s="45" t="s">
        <v>2811</v>
      </c>
      <c r="Y238" s="45" t="s">
        <v>2812</v>
      </c>
      <c r="Z238" s="22"/>
      <c r="AA238" s="22"/>
    </row>
    <row r="239" spans="1:28" ht="57">
      <c r="A239" s="22">
        <v>238</v>
      </c>
      <c r="B239" s="31" t="s">
        <v>2815</v>
      </c>
      <c r="C239" s="22">
        <v>640</v>
      </c>
      <c r="D239" s="31" t="s">
        <v>490</v>
      </c>
      <c r="E239" s="22" t="s">
        <v>506</v>
      </c>
      <c r="F239" s="31" t="s">
        <v>3967</v>
      </c>
      <c r="G239" s="22" t="s">
        <v>755</v>
      </c>
      <c r="H239" s="31" t="s">
        <v>2822</v>
      </c>
      <c r="I239" s="31" t="s">
        <v>1003</v>
      </c>
      <c r="J239" s="22" t="s">
        <v>2816</v>
      </c>
      <c r="K239" s="33" t="s">
        <v>86</v>
      </c>
      <c r="L239" s="33" t="s">
        <v>782</v>
      </c>
      <c r="M239" s="33" t="s">
        <v>1764</v>
      </c>
      <c r="N239" s="33" t="s">
        <v>1205</v>
      </c>
      <c r="O239" s="22"/>
      <c r="P239" s="22"/>
      <c r="Q239" s="22"/>
      <c r="R239" s="31" t="s">
        <v>1249</v>
      </c>
      <c r="S239" s="31" t="s">
        <v>2821</v>
      </c>
      <c r="T239" s="22" t="s">
        <v>4743</v>
      </c>
      <c r="U239" s="31" t="s">
        <v>2817</v>
      </c>
      <c r="V239" s="22"/>
      <c r="W239" s="45" t="s">
        <v>2818</v>
      </c>
      <c r="X239" s="45" t="s">
        <v>2819</v>
      </c>
      <c r="Y239" s="45" t="s">
        <v>2820</v>
      </c>
      <c r="Z239" s="22"/>
      <c r="AA239" s="22"/>
    </row>
    <row r="240" spans="1:28" ht="42.75">
      <c r="A240" s="22">
        <v>239</v>
      </c>
      <c r="B240" s="31" t="s">
        <v>2823</v>
      </c>
      <c r="C240" s="22">
        <v>3487</v>
      </c>
      <c r="D240" s="31" t="s">
        <v>490</v>
      </c>
      <c r="E240" s="22" t="s">
        <v>506</v>
      </c>
      <c r="F240" s="31" t="s">
        <v>2824</v>
      </c>
      <c r="G240" s="22" t="s">
        <v>757</v>
      </c>
      <c r="H240" s="32" t="s">
        <v>2826</v>
      </c>
      <c r="I240" s="31" t="s">
        <v>1848</v>
      </c>
      <c r="J240" s="22" t="s">
        <v>2825</v>
      </c>
      <c r="K240" s="33" t="s">
        <v>91</v>
      </c>
      <c r="L240" s="33" t="s">
        <v>758</v>
      </c>
      <c r="M240" s="33" t="s">
        <v>1177</v>
      </c>
      <c r="N240" s="33" t="s">
        <v>1404</v>
      </c>
      <c r="O240" s="33" t="s">
        <v>782</v>
      </c>
      <c r="P240" s="22"/>
      <c r="Q240" s="22"/>
      <c r="R240" s="22"/>
      <c r="S240" s="31" t="s">
        <v>954</v>
      </c>
      <c r="T240" s="31" t="s">
        <v>2827</v>
      </c>
      <c r="U240" s="31" t="s">
        <v>2828</v>
      </c>
      <c r="V240" s="22"/>
      <c r="W240" s="42" t="s">
        <v>4969</v>
      </c>
      <c r="X240" s="42" t="s">
        <v>4970</v>
      </c>
    </row>
    <row r="241" spans="1:29" ht="185.25">
      <c r="A241" s="22">
        <v>240</v>
      </c>
      <c r="B241" s="31" t="s">
        <v>2829</v>
      </c>
      <c r="C241" s="22">
        <v>224</v>
      </c>
      <c r="D241" s="22" t="s">
        <v>493</v>
      </c>
      <c r="E241" s="22" t="s">
        <v>510</v>
      </c>
      <c r="F241" s="31" t="s">
        <v>3966</v>
      </c>
      <c r="G241" s="22" t="s">
        <v>755</v>
      </c>
      <c r="H241" s="31" t="s">
        <v>2830</v>
      </c>
      <c r="I241" s="31" t="s">
        <v>1874</v>
      </c>
      <c r="J241" s="22" t="s">
        <v>2831</v>
      </c>
      <c r="K241" s="33" t="s">
        <v>2835</v>
      </c>
      <c r="L241" s="33" t="s">
        <v>785</v>
      </c>
      <c r="M241" s="33" t="s">
        <v>1168</v>
      </c>
      <c r="N241" s="33" t="s">
        <v>2833</v>
      </c>
      <c r="O241" s="22"/>
      <c r="P241" s="33" t="s">
        <v>6072</v>
      </c>
      <c r="Q241" s="22" t="s">
        <v>6073</v>
      </c>
      <c r="R241" s="31" t="s">
        <v>2836</v>
      </c>
      <c r="S241" s="31" t="s">
        <v>2837</v>
      </c>
      <c r="T241" s="22" t="s">
        <v>2832</v>
      </c>
      <c r="U241" s="31" t="s">
        <v>4717</v>
      </c>
      <c r="V241" s="22"/>
      <c r="W241" s="45" t="s">
        <v>2838</v>
      </c>
      <c r="X241" s="45" t="s">
        <v>2839</v>
      </c>
      <c r="Y241" s="45" t="s">
        <v>2840</v>
      </c>
      <c r="Z241" s="22"/>
    </row>
    <row r="242" spans="1:29" ht="28.5">
      <c r="A242" s="22">
        <v>241</v>
      </c>
      <c r="B242" s="31" t="s">
        <v>2841</v>
      </c>
      <c r="C242" s="22"/>
      <c r="D242" s="22" t="s">
        <v>493</v>
      </c>
      <c r="E242" s="22" t="s">
        <v>506</v>
      </c>
      <c r="F242" s="31" t="s">
        <v>3965</v>
      </c>
      <c r="G242" s="22" t="s">
        <v>755</v>
      </c>
      <c r="H242" s="31" t="s">
        <v>2842</v>
      </c>
      <c r="I242" s="31" t="s">
        <v>1003</v>
      </c>
      <c r="J242" s="22" t="s">
        <v>818</v>
      </c>
      <c r="K242" s="33" t="s">
        <v>43</v>
      </c>
      <c r="L242" s="33" t="s">
        <v>782</v>
      </c>
      <c r="M242" s="33" t="s">
        <v>1952</v>
      </c>
      <c r="N242" s="33" t="s">
        <v>1409</v>
      </c>
      <c r="O242" s="22"/>
      <c r="P242" s="22"/>
      <c r="Q242" s="22"/>
      <c r="R242" s="31" t="s">
        <v>3840</v>
      </c>
      <c r="S242" s="22"/>
      <c r="T242" s="22" t="s">
        <v>2843</v>
      </c>
      <c r="U242" s="31"/>
      <c r="V242" s="22"/>
      <c r="W242" s="45" t="s">
        <v>2844</v>
      </c>
      <c r="X242" s="45" t="s">
        <v>2845</v>
      </c>
      <c r="Y242" s="22"/>
    </row>
    <row r="243" spans="1:29" ht="42.75">
      <c r="A243" s="22">
        <v>242</v>
      </c>
      <c r="B243" s="31" t="s">
        <v>2846</v>
      </c>
      <c r="C243" s="22"/>
      <c r="D243" s="22" t="s">
        <v>493</v>
      </c>
      <c r="E243" s="22" t="s">
        <v>517</v>
      </c>
      <c r="F243" s="31" t="s">
        <v>3964</v>
      </c>
      <c r="G243" s="22" t="s">
        <v>755</v>
      </c>
      <c r="H243" s="31" t="s">
        <v>2848</v>
      </c>
      <c r="I243" s="31" t="s">
        <v>1003</v>
      </c>
      <c r="J243" s="22" t="s">
        <v>2849</v>
      </c>
      <c r="K243" s="33" t="s">
        <v>137</v>
      </c>
      <c r="L243" s="33" t="s">
        <v>785</v>
      </c>
      <c r="M243" s="22">
        <v>1934</v>
      </c>
      <c r="N243" s="22">
        <v>1940</v>
      </c>
      <c r="O243" s="22"/>
      <c r="P243" s="22"/>
      <c r="Q243" s="22"/>
      <c r="R243" s="22"/>
      <c r="S243" s="31" t="s">
        <v>2851</v>
      </c>
      <c r="T243" s="22" t="s">
        <v>2850</v>
      </c>
      <c r="U243" s="31" t="s">
        <v>2854</v>
      </c>
      <c r="V243" s="22" t="s">
        <v>2847</v>
      </c>
      <c r="W243" s="45" t="s">
        <v>2852</v>
      </c>
      <c r="X243" s="45" t="s">
        <v>2853</v>
      </c>
    </row>
    <row r="244" spans="1:29" ht="28.5">
      <c r="A244" s="22">
        <v>243</v>
      </c>
      <c r="B244" s="31" t="s">
        <v>2866</v>
      </c>
      <c r="C244" s="22">
        <v>901</v>
      </c>
      <c r="D244" s="22" t="s">
        <v>493</v>
      </c>
      <c r="E244" s="22" t="s">
        <v>506</v>
      </c>
      <c r="F244" s="31" t="s">
        <v>2855</v>
      </c>
      <c r="G244" s="22" t="s">
        <v>755</v>
      </c>
      <c r="H244" s="31" t="s">
        <v>2856</v>
      </c>
      <c r="I244" s="31" t="s">
        <v>1003</v>
      </c>
      <c r="J244" s="22" t="s">
        <v>1849</v>
      </c>
      <c r="K244" s="33" t="s">
        <v>80</v>
      </c>
      <c r="L244" s="33" t="s">
        <v>782</v>
      </c>
      <c r="M244" s="22">
        <v>1949</v>
      </c>
      <c r="N244" s="22">
        <v>1960</v>
      </c>
      <c r="O244" s="22"/>
      <c r="P244" s="22">
        <v>208</v>
      </c>
      <c r="Q244" s="51">
        <v>44531</v>
      </c>
      <c r="R244" s="22" t="s">
        <v>1249</v>
      </c>
      <c r="S244" s="31" t="s">
        <v>2859</v>
      </c>
      <c r="T244" s="31" t="s">
        <v>2867</v>
      </c>
      <c r="U244" s="31"/>
      <c r="V244" s="22" t="s">
        <v>2629</v>
      </c>
      <c r="W244" s="43" t="s">
        <v>2858</v>
      </c>
      <c r="X244" s="45" t="s">
        <v>2857</v>
      </c>
      <c r="Y244" s="22"/>
      <c r="Z244" s="22"/>
      <c r="AA244" s="22"/>
      <c r="AB244" s="22"/>
      <c r="AC244" s="22"/>
    </row>
    <row r="245" spans="1:29" ht="57">
      <c r="A245" s="22">
        <v>244</v>
      </c>
      <c r="B245" s="31" t="s">
        <v>2860</v>
      </c>
      <c r="C245" s="22">
        <v>130</v>
      </c>
      <c r="D245" s="22" t="s">
        <v>493</v>
      </c>
      <c r="E245" s="22" t="s">
        <v>510</v>
      </c>
      <c r="F245" s="31" t="s">
        <v>2861</v>
      </c>
      <c r="G245" s="22" t="s">
        <v>755</v>
      </c>
      <c r="H245" s="31" t="s">
        <v>2863</v>
      </c>
      <c r="I245" s="31" t="s">
        <v>1003</v>
      </c>
      <c r="J245" s="22" t="s">
        <v>2862</v>
      </c>
      <c r="K245" s="33" t="s">
        <v>168</v>
      </c>
      <c r="L245" s="33" t="s">
        <v>758</v>
      </c>
      <c r="M245" s="22">
        <v>1912</v>
      </c>
      <c r="N245" s="22">
        <v>1932</v>
      </c>
      <c r="O245" s="22"/>
      <c r="P245" s="22"/>
      <c r="Q245" s="22"/>
      <c r="R245" s="22"/>
      <c r="S245" s="22"/>
      <c r="T245" s="22" t="s">
        <v>4744</v>
      </c>
      <c r="U245" s="31" t="s">
        <v>4697</v>
      </c>
      <c r="V245" s="22"/>
      <c r="W245" s="45" t="s">
        <v>2864</v>
      </c>
      <c r="X245" s="45" t="s">
        <v>2865</v>
      </c>
    </row>
    <row r="246" spans="1:29" ht="42.75">
      <c r="A246" s="22">
        <v>245</v>
      </c>
      <c r="B246" s="31" t="s">
        <v>2868</v>
      </c>
      <c r="C246" s="22"/>
      <c r="D246" s="22" t="s">
        <v>493</v>
      </c>
      <c r="E246" s="22" t="s">
        <v>510</v>
      </c>
      <c r="F246" s="31" t="s">
        <v>3963</v>
      </c>
      <c r="G246" s="22" t="s">
        <v>756</v>
      </c>
      <c r="H246" s="31" t="s">
        <v>2869</v>
      </c>
      <c r="I246" s="31" t="s">
        <v>1003</v>
      </c>
      <c r="J246" s="22" t="s">
        <v>2870</v>
      </c>
      <c r="K246" s="33" t="s">
        <v>43</v>
      </c>
      <c r="L246" s="33" t="s">
        <v>758</v>
      </c>
      <c r="M246" s="22">
        <v>1956</v>
      </c>
      <c r="N246" s="22">
        <v>1962</v>
      </c>
      <c r="O246" s="22"/>
      <c r="P246" s="22"/>
      <c r="Q246" s="22"/>
      <c r="R246" s="22"/>
      <c r="S246" s="22"/>
      <c r="T246" s="22" t="s">
        <v>2872</v>
      </c>
      <c r="U246" s="31" t="s">
        <v>2871</v>
      </c>
      <c r="V246" s="22"/>
      <c r="W246" s="45" t="s">
        <v>2873</v>
      </c>
      <c r="X246" s="45" t="s">
        <v>2874</v>
      </c>
    </row>
    <row r="247" spans="1:29" ht="42.75">
      <c r="A247" s="22">
        <v>246</v>
      </c>
      <c r="B247" s="31" t="s">
        <v>2875</v>
      </c>
      <c r="C247" s="22"/>
      <c r="D247" s="22" t="s">
        <v>493</v>
      </c>
      <c r="E247" s="22" t="s">
        <v>510</v>
      </c>
      <c r="F247" s="31" t="s">
        <v>3962</v>
      </c>
      <c r="G247" s="22" t="s">
        <v>756</v>
      </c>
      <c r="H247" s="31" t="s">
        <v>2869</v>
      </c>
      <c r="I247" s="31" t="s">
        <v>1003</v>
      </c>
      <c r="J247" s="22" t="s">
        <v>2496</v>
      </c>
      <c r="K247" s="33" t="s">
        <v>2878</v>
      </c>
      <c r="L247" s="33" t="s">
        <v>782</v>
      </c>
      <c r="M247" s="22">
        <v>1955</v>
      </c>
      <c r="N247" s="22">
        <v>1965</v>
      </c>
      <c r="O247" s="22"/>
      <c r="P247" s="22"/>
      <c r="Q247" s="22"/>
      <c r="R247" s="22"/>
      <c r="S247" s="22" t="s">
        <v>2876</v>
      </c>
      <c r="T247" s="22"/>
      <c r="U247" s="31" t="s">
        <v>2877</v>
      </c>
      <c r="V247" s="22"/>
      <c r="W247" s="45" t="s">
        <v>2880</v>
      </c>
      <c r="X247" s="45" t="s">
        <v>2881</v>
      </c>
      <c r="Y247" s="22"/>
    </row>
    <row r="248" spans="1:29" ht="71.25">
      <c r="A248" s="22">
        <v>247</v>
      </c>
      <c r="B248" s="31" t="s">
        <v>2882</v>
      </c>
      <c r="C248" s="22" t="s">
        <v>2885</v>
      </c>
      <c r="D248" s="22" t="s">
        <v>493</v>
      </c>
      <c r="E248" s="22" t="s">
        <v>510</v>
      </c>
      <c r="F248" s="31" t="s">
        <v>2883</v>
      </c>
      <c r="G248" s="22" t="s">
        <v>755</v>
      </c>
      <c r="H248" s="31" t="s">
        <v>2884</v>
      </c>
      <c r="I248" s="31" t="s">
        <v>2663</v>
      </c>
      <c r="J248" s="22" t="s">
        <v>2886</v>
      </c>
      <c r="K248" s="33" t="s">
        <v>56</v>
      </c>
      <c r="L248" s="33" t="s">
        <v>782</v>
      </c>
      <c r="M248" s="22">
        <v>1938</v>
      </c>
      <c r="N248" s="22">
        <v>1960</v>
      </c>
      <c r="O248" s="22"/>
      <c r="P248" s="22"/>
      <c r="Q248" s="22"/>
      <c r="R248" s="22"/>
      <c r="S248" s="22"/>
      <c r="T248" s="31" t="s">
        <v>2893</v>
      </c>
      <c r="U248" s="31" t="s">
        <v>2888</v>
      </c>
      <c r="V248" s="31" t="s">
        <v>2887</v>
      </c>
      <c r="W248" s="45" t="s">
        <v>2889</v>
      </c>
      <c r="X248" s="45" t="s">
        <v>2890</v>
      </c>
      <c r="Y248" s="45" t="s">
        <v>2891</v>
      </c>
      <c r="Z248" s="45" t="s">
        <v>2892</v>
      </c>
    </row>
    <row r="249" spans="1:29" ht="28.5">
      <c r="A249" s="22">
        <v>248</v>
      </c>
      <c r="B249" s="38" t="s">
        <v>2908</v>
      </c>
      <c r="C249" s="22">
        <v>271</v>
      </c>
      <c r="D249" s="22" t="s">
        <v>493</v>
      </c>
      <c r="E249" s="22" t="s">
        <v>506</v>
      </c>
      <c r="F249" s="31" t="s">
        <v>3961</v>
      </c>
      <c r="G249" s="22" t="s">
        <v>755</v>
      </c>
      <c r="H249" s="31" t="s">
        <v>2902</v>
      </c>
      <c r="I249" s="31" t="s">
        <v>1003</v>
      </c>
      <c r="J249" s="22" t="s">
        <v>2903</v>
      </c>
      <c r="K249" s="33" t="s">
        <v>2896</v>
      </c>
      <c r="L249" s="33" t="s">
        <v>782</v>
      </c>
      <c r="M249" s="22">
        <v>1950</v>
      </c>
      <c r="N249" s="22">
        <v>1955</v>
      </c>
      <c r="O249" s="22"/>
      <c r="P249" s="22"/>
      <c r="Q249" s="22"/>
      <c r="R249" s="22"/>
      <c r="S249" s="22" t="s">
        <v>2907</v>
      </c>
      <c r="V249" s="22"/>
      <c r="W249" s="45" t="s">
        <v>2904</v>
      </c>
      <c r="X249" s="45" t="s">
        <v>2905</v>
      </c>
      <c r="Y249" s="45" t="s">
        <v>2906</v>
      </c>
      <c r="Z249" s="22"/>
    </row>
    <row r="250" spans="1:29" ht="28.5">
      <c r="A250" s="22">
        <v>249</v>
      </c>
      <c r="B250" s="31" t="s">
        <v>2909</v>
      </c>
      <c r="C250" s="22">
        <v>733</v>
      </c>
      <c r="D250" s="22" t="s">
        <v>493</v>
      </c>
      <c r="E250" s="22" t="s">
        <v>510</v>
      </c>
      <c r="F250" s="31" t="s">
        <v>2910</v>
      </c>
      <c r="G250" s="22" t="s">
        <v>755</v>
      </c>
      <c r="H250" s="31" t="s">
        <v>2911</v>
      </c>
      <c r="I250" s="31" t="s">
        <v>1003</v>
      </c>
      <c r="J250" s="22" t="s">
        <v>2912</v>
      </c>
      <c r="K250" s="33" t="s">
        <v>86</v>
      </c>
      <c r="L250" s="33" t="s">
        <v>1024</v>
      </c>
      <c r="M250" s="22">
        <v>1924</v>
      </c>
      <c r="N250" s="22">
        <v>1938</v>
      </c>
      <c r="O250" s="22"/>
      <c r="P250" s="22"/>
      <c r="Q250" s="22"/>
      <c r="R250" s="22"/>
      <c r="S250" s="22" t="s">
        <v>2918</v>
      </c>
      <c r="T250" s="22" t="s">
        <v>2914</v>
      </c>
      <c r="U250" s="31" t="s">
        <v>2913</v>
      </c>
      <c r="V250" s="22"/>
      <c r="W250" s="45" t="s">
        <v>2915</v>
      </c>
      <c r="X250" s="45" t="s">
        <v>2916</v>
      </c>
      <c r="Y250" s="45" t="s">
        <v>2917</v>
      </c>
    </row>
    <row r="251" spans="1:29" ht="42.75">
      <c r="A251" s="22">
        <v>250</v>
      </c>
      <c r="B251" s="38" t="s">
        <v>2932</v>
      </c>
      <c r="C251" s="22">
        <v>551</v>
      </c>
      <c r="D251" s="22" t="s">
        <v>493</v>
      </c>
      <c r="E251" s="22" t="s">
        <v>510</v>
      </c>
      <c r="F251" s="31" t="s">
        <v>3960</v>
      </c>
      <c r="G251" s="22" t="s">
        <v>755</v>
      </c>
      <c r="H251" s="31" t="s">
        <v>2919</v>
      </c>
      <c r="I251" s="31" t="s">
        <v>1003</v>
      </c>
      <c r="J251" s="22" t="s">
        <v>2920</v>
      </c>
      <c r="K251" s="33" t="s">
        <v>2922</v>
      </c>
      <c r="L251" s="33" t="s">
        <v>758</v>
      </c>
      <c r="M251" s="22">
        <v>1925</v>
      </c>
      <c r="N251" s="22">
        <v>1929</v>
      </c>
      <c r="O251" s="22"/>
      <c r="P251" s="22"/>
      <c r="Q251" s="22"/>
      <c r="R251" s="31" t="s">
        <v>3840</v>
      </c>
      <c r="S251" s="31" t="s">
        <v>2927</v>
      </c>
      <c r="T251" s="22" t="s">
        <v>2925</v>
      </c>
      <c r="U251" s="31" t="s">
        <v>2926</v>
      </c>
      <c r="V251" s="22"/>
      <c r="W251" s="45" t="s">
        <v>2928</v>
      </c>
      <c r="X251" s="45" t="s">
        <v>2929</v>
      </c>
      <c r="Y251" s="45" t="s">
        <v>2930</v>
      </c>
      <c r="Z251" s="22"/>
      <c r="AA251" s="22"/>
      <c r="AB251" s="22"/>
    </row>
    <row r="252" spans="1:29" ht="57">
      <c r="A252" s="22">
        <v>251</v>
      </c>
      <c r="B252" s="31" t="s">
        <v>2937</v>
      </c>
      <c r="C252" s="22">
        <v>185</v>
      </c>
      <c r="D252" s="22" t="s">
        <v>493</v>
      </c>
      <c r="E252" s="22" t="s">
        <v>510</v>
      </c>
      <c r="F252" s="31" t="s">
        <v>2933</v>
      </c>
      <c r="G252" s="22" t="s">
        <v>755</v>
      </c>
      <c r="H252" s="31" t="s">
        <v>2934</v>
      </c>
      <c r="I252" s="31" t="s">
        <v>1003</v>
      </c>
      <c r="J252" s="22" t="s">
        <v>2931</v>
      </c>
      <c r="K252" s="33" t="s">
        <v>168</v>
      </c>
      <c r="L252" s="33" t="s">
        <v>758</v>
      </c>
      <c r="M252" s="22">
        <v>1917</v>
      </c>
      <c r="N252" s="22">
        <v>1929</v>
      </c>
      <c r="O252" s="22"/>
      <c r="P252" s="22"/>
      <c r="Q252" s="22"/>
      <c r="R252" s="22"/>
      <c r="S252" s="22" t="s">
        <v>2938</v>
      </c>
      <c r="T252" s="22" t="s">
        <v>2936</v>
      </c>
      <c r="U252" s="31" t="s">
        <v>2935</v>
      </c>
      <c r="V252" s="31" t="s">
        <v>2941</v>
      </c>
      <c r="W252" s="45" t="s">
        <v>2939</v>
      </c>
      <c r="X252" s="45" t="s">
        <v>2940</v>
      </c>
      <c r="Y252" s="22"/>
    </row>
    <row r="253" spans="1:29" ht="85.5">
      <c r="A253" s="22">
        <v>252</v>
      </c>
      <c r="B253" s="49" t="s">
        <v>2943</v>
      </c>
      <c r="C253" s="22">
        <v>3026</v>
      </c>
      <c r="D253" s="22" t="s">
        <v>493</v>
      </c>
      <c r="E253" s="22" t="s">
        <v>506</v>
      </c>
      <c r="F253" s="31" t="s">
        <v>2942</v>
      </c>
      <c r="G253" s="22" t="s">
        <v>755</v>
      </c>
      <c r="H253" s="31" t="s">
        <v>2947</v>
      </c>
      <c r="I253" s="31" t="s">
        <v>1003</v>
      </c>
      <c r="J253" s="22" t="s">
        <v>2944</v>
      </c>
      <c r="K253" s="33" t="s">
        <v>1194</v>
      </c>
      <c r="L253" s="33" t="s">
        <v>758</v>
      </c>
      <c r="M253" s="22">
        <v>1952</v>
      </c>
      <c r="N253" s="22">
        <v>1960</v>
      </c>
      <c r="O253" s="22" t="s">
        <v>782</v>
      </c>
      <c r="P253" s="22">
        <v>400</v>
      </c>
      <c r="Q253" s="51">
        <v>44166</v>
      </c>
      <c r="R253" s="31" t="s">
        <v>3840</v>
      </c>
      <c r="S253" s="31" t="s">
        <v>2949</v>
      </c>
      <c r="T253" s="31" t="s">
        <v>2946</v>
      </c>
      <c r="U253" s="31" t="s">
        <v>2945</v>
      </c>
      <c r="V253" s="22"/>
      <c r="W253" s="45" t="s">
        <v>2950</v>
      </c>
      <c r="X253" s="45" t="s">
        <v>2951</v>
      </c>
      <c r="Y253" s="45" t="s">
        <v>2952</v>
      </c>
    </row>
    <row r="254" spans="1:29" ht="57">
      <c r="A254" s="22">
        <v>253</v>
      </c>
      <c r="B254" s="22" t="s">
        <v>2953</v>
      </c>
      <c r="C254" s="22">
        <v>13</v>
      </c>
      <c r="D254" s="22" t="s">
        <v>493</v>
      </c>
      <c r="E254" s="22" t="s">
        <v>510</v>
      </c>
      <c r="F254" s="31" t="s">
        <v>2963</v>
      </c>
      <c r="G254" s="22" t="s">
        <v>755</v>
      </c>
      <c r="H254" s="31" t="s">
        <v>2954</v>
      </c>
      <c r="I254" s="31" t="s">
        <v>1158</v>
      </c>
      <c r="J254" s="22" t="s">
        <v>2955</v>
      </c>
      <c r="K254" s="33" t="s">
        <v>117</v>
      </c>
      <c r="L254" s="33" t="s">
        <v>758</v>
      </c>
      <c r="M254" s="22">
        <v>1954</v>
      </c>
      <c r="N254" s="22">
        <v>1962</v>
      </c>
      <c r="O254" s="22"/>
      <c r="P254" s="22"/>
      <c r="Q254" s="22"/>
      <c r="R254" s="22"/>
      <c r="S254" s="22"/>
      <c r="T254" s="31" t="s">
        <v>2956</v>
      </c>
      <c r="U254" s="31"/>
      <c r="V254" s="22"/>
      <c r="W254" s="45" t="s">
        <v>2957</v>
      </c>
      <c r="X254" s="45" t="s">
        <v>2958</v>
      </c>
      <c r="Y254" s="45" t="s">
        <v>2959</v>
      </c>
      <c r="Z254" s="45" t="s">
        <v>2960</v>
      </c>
      <c r="AA254" s="22"/>
    </row>
    <row r="255" spans="1:29" ht="42.75">
      <c r="A255" s="22">
        <v>254</v>
      </c>
      <c r="B255" s="57" t="s">
        <v>2961</v>
      </c>
      <c r="C255" s="22"/>
      <c r="D255" s="22" t="s">
        <v>492</v>
      </c>
      <c r="E255" s="22" t="s">
        <v>510</v>
      </c>
      <c r="F255" s="31" t="s">
        <v>2964</v>
      </c>
      <c r="G255" s="22" t="s">
        <v>755</v>
      </c>
      <c r="H255" s="31" t="s">
        <v>2965</v>
      </c>
      <c r="I255" s="31" t="s">
        <v>1848</v>
      </c>
      <c r="J255" s="22" t="s">
        <v>1046</v>
      </c>
      <c r="K255" s="36" t="s">
        <v>2962</v>
      </c>
      <c r="L255" s="33" t="s">
        <v>782</v>
      </c>
      <c r="M255" s="22">
        <v>1960</v>
      </c>
      <c r="N255" s="22">
        <v>1965</v>
      </c>
      <c r="O255" s="22"/>
      <c r="P255" s="22"/>
      <c r="Q255" s="22"/>
      <c r="R255" s="22"/>
      <c r="S255" s="31" t="s">
        <v>2966</v>
      </c>
      <c r="T255" s="22"/>
      <c r="U255" s="31" t="s">
        <v>2967</v>
      </c>
      <c r="V255" s="22"/>
      <c r="W255" s="45" t="s">
        <v>2968</v>
      </c>
      <c r="X255" s="45" t="s">
        <v>2969</v>
      </c>
      <c r="Y255" s="45" t="s">
        <v>2960</v>
      </c>
      <c r="Z255" s="22"/>
    </row>
    <row r="256" spans="1:29" ht="71.25">
      <c r="A256" s="22">
        <v>255</v>
      </c>
      <c r="B256" s="38" t="s">
        <v>2970</v>
      </c>
      <c r="C256" s="22"/>
      <c r="D256" s="22" t="s">
        <v>493</v>
      </c>
      <c r="E256" s="22" t="s">
        <v>510</v>
      </c>
      <c r="F256" s="31" t="s">
        <v>2971</v>
      </c>
      <c r="G256" s="22" t="s">
        <v>755</v>
      </c>
      <c r="H256" s="31" t="s">
        <v>2974</v>
      </c>
      <c r="I256" s="31" t="s">
        <v>1003</v>
      </c>
      <c r="J256" s="22" t="s">
        <v>2972</v>
      </c>
      <c r="K256" s="33"/>
      <c r="L256" s="33" t="s">
        <v>758</v>
      </c>
      <c r="M256" s="22">
        <v>1950</v>
      </c>
      <c r="N256" s="22">
        <v>1960</v>
      </c>
      <c r="O256" s="22"/>
      <c r="P256" s="22"/>
      <c r="Q256" s="22"/>
      <c r="R256" s="22"/>
      <c r="S256" s="22"/>
      <c r="T256" s="22"/>
      <c r="U256" s="31" t="s">
        <v>1237</v>
      </c>
      <c r="V256" s="22" t="s">
        <v>2973</v>
      </c>
      <c r="W256" s="45" t="s">
        <v>2975</v>
      </c>
      <c r="X256" s="45" t="s">
        <v>2976</v>
      </c>
      <c r="Y256" s="45" t="s">
        <v>2977</v>
      </c>
      <c r="Z256" s="22"/>
    </row>
    <row r="257" spans="1:27" ht="42.75">
      <c r="A257" s="22">
        <v>256</v>
      </c>
      <c r="B257" s="31" t="s">
        <v>2980</v>
      </c>
      <c r="C257" s="31">
        <v>308</v>
      </c>
      <c r="D257" s="31" t="s">
        <v>493</v>
      </c>
      <c r="E257" s="31" t="s">
        <v>511</v>
      </c>
      <c r="F257" s="31" t="s">
        <v>2978</v>
      </c>
      <c r="G257" s="31" t="s">
        <v>1089</v>
      </c>
      <c r="H257" s="31" t="s">
        <v>2979</v>
      </c>
      <c r="I257" s="31" t="s">
        <v>1003</v>
      </c>
      <c r="J257" s="31" t="s">
        <v>2986</v>
      </c>
      <c r="K257" s="36" t="s">
        <v>83</v>
      </c>
      <c r="L257" s="36" t="s">
        <v>782</v>
      </c>
      <c r="M257" s="31">
        <v>1926</v>
      </c>
      <c r="N257" s="31">
        <v>1930</v>
      </c>
      <c r="O257" s="31"/>
      <c r="P257" s="31"/>
      <c r="Q257" s="31"/>
      <c r="R257" s="31"/>
      <c r="S257" s="31"/>
      <c r="T257" s="31" t="s">
        <v>2981</v>
      </c>
      <c r="U257" s="31"/>
      <c r="V257" s="31"/>
      <c r="W257" s="42" t="s">
        <v>2982</v>
      </c>
      <c r="X257" s="31"/>
      <c r="Y257" s="31"/>
      <c r="Z257" s="31"/>
      <c r="AA257" s="31"/>
    </row>
    <row r="258" spans="1:27" ht="28.5">
      <c r="A258" s="22">
        <v>257</v>
      </c>
      <c r="B258" s="31" t="s">
        <v>2983</v>
      </c>
      <c r="C258" s="22"/>
      <c r="D258" s="22" t="s">
        <v>493</v>
      </c>
      <c r="E258" s="22" t="s">
        <v>511</v>
      </c>
      <c r="F258" s="31" t="s">
        <v>2984</v>
      </c>
      <c r="G258" s="22" t="s">
        <v>755</v>
      </c>
      <c r="H258" s="31" t="s">
        <v>2985</v>
      </c>
      <c r="I258" s="31" t="s">
        <v>1003</v>
      </c>
      <c r="J258" s="22" t="s">
        <v>2987</v>
      </c>
      <c r="K258" s="33" t="s">
        <v>178</v>
      </c>
      <c r="L258" s="33" t="s">
        <v>758</v>
      </c>
      <c r="M258" s="22">
        <v>1965</v>
      </c>
      <c r="N258" s="22">
        <v>1969</v>
      </c>
      <c r="O258" s="22" t="s">
        <v>782</v>
      </c>
      <c r="P258" s="22"/>
      <c r="Q258" s="22"/>
      <c r="R258" s="22"/>
      <c r="S258" s="22" t="s">
        <v>2988</v>
      </c>
      <c r="T258" s="22"/>
      <c r="U258" s="31"/>
      <c r="V258" s="22"/>
      <c r="W258" s="43" t="s">
        <v>2989</v>
      </c>
      <c r="X258" s="45" t="s">
        <v>2990</v>
      </c>
      <c r="Y258" s="22"/>
    </row>
    <row r="259" spans="1:27" ht="28.5">
      <c r="A259" s="22">
        <v>258</v>
      </c>
      <c r="B259" s="22" t="s">
        <v>2991</v>
      </c>
      <c r="C259" s="22"/>
      <c r="D259" s="22" t="s">
        <v>493</v>
      </c>
      <c r="E259" s="22" t="s">
        <v>510</v>
      </c>
      <c r="F259" s="31" t="s">
        <v>2992</v>
      </c>
      <c r="G259" s="22" t="s">
        <v>755</v>
      </c>
      <c r="H259" s="31" t="s">
        <v>2993</v>
      </c>
      <c r="I259" s="31" t="s">
        <v>1848</v>
      </c>
      <c r="J259" s="22" t="s">
        <v>2994</v>
      </c>
      <c r="K259" s="33" t="s">
        <v>137</v>
      </c>
      <c r="L259" s="33" t="s">
        <v>758</v>
      </c>
      <c r="M259" s="22">
        <v>1955</v>
      </c>
      <c r="N259" s="22">
        <v>1959</v>
      </c>
      <c r="O259" s="22" t="s">
        <v>782</v>
      </c>
      <c r="P259" s="22"/>
      <c r="Q259" s="22"/>
      <c r="R259" s="22"/>
      <c r="S259" s="31" t="s">
        <v>2995</v>
      </c>
      <c r="T259" s="22"/>
      <c r="U259" s="31" t="s">
        <v>2996</v>
      </c>
      <c r="V259" s="22"/>
      <c r="W259" s="45" t="s">
        <v>2997</v>
      </c>
      <c r="X259" s="45" t="s">
        <v>2998</v>
      </c>
      <c r="Y259" s="22"/>
    </row>
    <row r="260" spans="1:27" ht="28.5">
      <c r="A260" s="22">
        <v>259</v>
      </c>
      <c r="B260" s="22" t="s">
        <v>2999</v>
      </c>
      <c r="C260" s="22">
        <v>1775</v>
      </c>
      <c r="D260" s="31" t="s">
        <v>500</v>
      </c>
      <c r="E260" s="22" t="s">
        <v>510</v>
      </c>
      <c r="F260" s="31" t="s">
        <v>3959</v>
      </c>
      <c r="G260" s="22" t="s">
        <v>757</v>
      </c>
      <c r="H260" s="31" t="s">
        <v>3000</v>
      </c>
      <c r="I260" s="31" t="s">
        <v>1003</v>
      </c>
      <c r="J260" s="22" t="s">
        <v>3001</v>
      </c>
      <c r="K260" s="33" t="s">
        <v>91</v>
      </c>
      <c r="L260" s="33" t="s">
        <v>782</v>
      </c>
      <c r="M260" s="22">
        <v>1957</v>
      </c>
      <c r="N260" s="22">
        <v>1958</v>
      </c>
      <c r="O260" s="22"/>
      <c r="P260" s="22">
        <v>103</v>
      </c>
      <c r="Q260" s="51">
        <v>45108</v>
      </c>
      <c r="R260" s="22" t="s">
        <v>1249</v>
      </c>
      <c r="S260" s="22" t="s">
        <v>2071</v>
      </c>
      <c r="T260" s="22" t="s">
        <v>3002</v>
      </c>
      <c r="U260" s="31" t="s">
        <v>3006</v>
      </c>
      <c r="V260" s="22"/>
      <c r="W260" s="45" t="s">
        <v>3003</v>
      </c>
      <c r="X260" s="45" t="s">
        <v>3004</v>
      </c>
      <c r="Y260" s="45" t="s">
        <v>3005</v>
      </c>
      <c r="Z260" s="22"/>
    </row>
    <row r="261" spans="1:27" ht="42.75">
      <c r="A261" s="22">
        <v>260</v>
      </c>
      <c r="B261" s="22" t="s">
        <v>3007</v>
      </c>
      <c r="C261" s="22">
        <v>556</v>
      </c>
      <c r="D261" s="22" t="s">
        <v>493</v>
      </c>
      <c r="E261" s="22" t="s">
        <v>510</v>
      </c>
      <c r="F261" s="31" t="s">
        <v>3958</v>
      </c>
      <c r="G261" s="22" t="s">
        <v>1089</v>
      </c>
      <c r="H261" s="31" t="s">
        <v>3008</v>
      </c>
      <c r="I261" s="31" t="s">
        <v>1848</v>
      </c>
      <c r="J261" s="22" t="s">
        <v>3009</v>
      </c>
      <c r="K261" s="33" t="s">
        <v>56</v>
      </c>
      <c r="L261" s="33" t="s">
        <v>758</v>
      </c>
      <c r="M261" s="22">
        <v>1960</v>
      </c>
      <c r="N261" s="22">
        <v>1965</v>
      </c>
      <c r="O261" s="22"/>
      <c r="P261" s="22"/>
      <c r="Q261" s="22"/>
      <c r="R261" s="22"/>
      <c r="S261" s="31" t="s">
        <v>3012</v>
      </c>
      <c r="T261" s="31" t="s">
        <v>3013</v>
      </c>
      <c r="U261" s="31"/>
      <c r="V261" s="22"/>
      <c r="W261" s="45" t="s">
        <v>3010</v>
      </c>
      <c r="X261" s="45" t="s">
        <v>3011</v>
      </c>
      <c r="Y261" s="22"/>
    </row>
    <row r="262" spans="1:27" ht="57">
      <c r="A262" s="22">
        <v>261</v>
      </c>
      <c r="B262" s="22" t="s">
        <v>3014</v>
      </c>
      <c r="C262" s="22">
        <v>560</v>
      </c>
      <c r="D262" s="22" t="s">
        <v>493</v>
      </c>
      <c r="E262" s="22" t="s">
        <v>510</v>
      </c>
      <c r="F262" s="31" t="s">
        <v>3957</v>
      </c>
      <c r="G262" s="22" t="s">
        <v>755</v>
      </c>
      <c r="H262" s="31" t="s">
        <v>3015</v>
      </c>
      <c r="I262" s="31" t="s">
        <v>1003</v>
      </c>
      <c r="J262" s="22" t="s">
        <v>3016</v>
      </c>
      <c r="K262" s="33" t="s">
        <v>86</v>
      </c>
      <c r="L262" s="33" t="s">
        <v>782</v>
      </c>
      <c r="M262" s="22">
        <v>1907</v>
      </c>
      <c r="N262" s="22">
        <v>1945</v>
      </c>
      <c r="O262" s="22"/>
      <c r="P262" s="22"/>
      <c r="Q262" s="22"/>
      <c r="R262" s="22"/>
      <c r="S262" s="22" t="s">
        <v>3019</v>
      </c>
      <c r="T262" s="22" t="s">
        <v>3018</v>
      </c>
      <c r="U262" s="31" t="s">
        <v>3017</v>
      </c>
      <c r="V262" s="22"/>
      <c r="W262" s="45" t="s">
        <v>3020</v>
      </c>
      <c r="X262" s="45" t="s">
        <v>3021</v>
      </c>
      <c r="Y262" s="22"/>
    </row>
    <row r="263" spans="1:27" ht="114">
      <c r="A263" s="22">
        <v>262</v>
      </c>
      <c r="B263" s="35" t="s">
        <v>3022</v>
      </c>
      <c r="C263" s="35">
        <v>752</v>
      </c>
      <c r="D263" s="35" t="s">
        <v>490</v>
      </c>
      <c r="E263" s="35" t="s">
        <v>506</v>
      </c>
      <c r="F263" s="35" t="s">
        <v>3956</v>
      </c>
      <c r="G263" s="35" t="s">
        <v>755</v>
      </c>
      <c r="H263" s="57" t="s">
        <v>3032</v>
      </c>
      <c r="I263" s="35" t="s">
        <v>1003</v>
      </c>
      <c r="J263" s="35" t="s">
        <v>2090</v>
      </c>
      <c r="K263" s="59" t="s">
        <v>86</v>
      </c>
      <c r="L263" s="59" t="s">
        <v>1190</v>
      </c>
      <c r="M263" s="35">
        <v>1924</v>
      </c>
      <c r="N263" s="35">
        <v>1935</v>
      </c>
      <c r="O263" s="35"/>
      <c r="P263" s="35"/>
      <c r="Q263" s="35"/>
      <c r="R263" s="35"/>
      <c r="S263" s="35" t="s">
        <v>3026</v>
      </c>
      <c r="T263" s="35" t="s">
        <v>3041</v>
      </c>
      <c r="U263" s="37" t="s">
        <v>3033</v>
      </c>
      <c r="V263" s="35" t="s">
        <v>3025</v>
      </c>
      <c r="W263" s="42" t="s">
        <v>3028</v>
      </c>
      <c r="X263" s="42" t="s">
        <v>3029</v>
      </c>
    </row>
    <row r="264" spans="1:27" ht="28.5">
      <c r="A264" s="22">
        <v>263</v>
      </c>
      <c r="B264" s="35" t="s">
        <v>3023</v>
      </c>
      <c r="C264" s="35">
        <v>680</v>
      </c>
      <c r="D264" s="35" t="s">
        <v>490</v>
      </c>
      <c r="E264" s="35" t="s">
        <v>506</v>
      </c>
      <c r="F264" s="35" t="s">
        <v>3955</v>
      </c>
      <c r="G264" s="35" t="s">
        <v>755</v>
      </c>
      <c r="H264" s="35" t="s">
        <v>3034</v>
      </c>
      <c r="I264" s="35" t="s">
        <v>1003</v>
      </c>
      <c r="J264" s="35" t="s">
        <v>3039</v>
      </c>
      <c r="K264" s="59" t="s">
        <v>86</v>
      </c>
      <c r="L264" s="59" t="s">
        <v>785</v>
      </c>
      <c r="M264" s="35">
        <v>1917</v>
      </c>
      <c r="N264" s="35">
        <v>1938</v>
      </c>
      <c r="O264" s="35"/>
      <c r="P264" s="35"/>
      <c r="Q264" s="35"/>
      <c r="R264" s="35"/>
      <c r="S264" s="35" t="s">
        <v>3027</v>
      </c>
      <c r="T264" s="35" t="s">
        <v>3042</v>
      </c>
      <c r="U264" s="35" t="s">
        <v>3024</v>
      </c>
      <c r="V264" s="35" t="s">
        <v>4699</v>
      </c>
      <c r="W264" s="42" t="s">
        <v>3030</v>
      </c>
      <c r="X264" s="42" t="s">
        <v>3031</v>
      </c>
    </row>
    <row r="265" spans="1:27" ht="28.5">
      <c r="A265" s="22">
        <v>264</v>
      </c>
      <c r="B265" s="22" t="s">
        <v>3035</v>
      </c>
      <c r="C265" s="22" t="s">
        <v>3036</v>
      </c>
      <c r="D265" s="22" t="s">
        <v>489</v>
      </c>
      <c r="E265" s="22" t="s">
        <v>511</v>
      </c>
      <c r="F265" s="35" t="s">
        <v>3037</v>
      </c>
      <c r="G265" s="22" t="s">
        <v>756</v>
      </c>
      <c r="H265" s="35" t="s">
        <v>3038</v>
      </c>
      <c r="I265" s="35" t="s">
        <v>2663</v>
      </c>
      <c r="J265" s="22" t="s">
        <v>3040</v>
      </c>
      <c r="K265" s="33" t="s">
        <v>117</v>
      </c>
      <c r="L265" s="33" t="s">
        <v>782</v>
      </c>
      <c r="M265" s="22">
        <v>1956</v>
      </c>
      <c r="N265" s="22">
        <v>1960</v>
      </c>
      <c r="O265" s="22"/>
      <c r="P265" s="22"/>
      <c r="Q265" s="22"/>
      <c r="R265" s="22"/>
      <c r="S265" s="35" t="s">
        <v>2160</v>
      </c>
      <c r="T265" s="35" t="s">
        <v>3044</v>
      </c>
      <c r="U265" s="35" t="s">
        <v>3043</v>
      </c>
      <c r="V265" s="31" t="s">
        <v>3045</v>
      </c>
      <c r="W265" s="45" t="s">
        <v>3046</v>
      </c>
      <c r="X265" s="22"/>
    </row>
    <row r="266" spans="1:27" ht="57">
      <c r="A266" s="22">
        <v>265</v>
      </c>
      <c r="B266" s="22" t="s">
        <v>3047</v>
      </c>
      <c r="C266" s="22"/>
      <c r="D266" s="22" t="s">
        <v>493</v>
      </c>
      <c r="E266" s="22" t="s">
        <v>511</v>
      </c>
      <c r="F266" s="35" t="s">
        <v>3954</v>
      </c>
      <c r="G266" s="22" t="s">
        <v>755</v>
      </c>
      <c r="H266" s="35" t="s">
        <v>3048</v>
      </c>
      <c r="I266" s="35" t="s">
        <v>1003</v>
      </c>
      <c r="J266" s="22" t="s">
        <v>3049</v>
      </c>
      <c r="K266" s="33" t="s">
        <v>3051</v>
      </c>
      <c r="L266" s="33" t="s">
        <v>758</v>
      </c>
      <c r="M266" s="22">
        <v>1955</v>
      </c>
      <c r="N266" s="22">
        <v>1960</v>
      </c>
      <c r="O266" s="22" t="s">
        <v>782</v>
      </c>
      <c r="P266" s="22"/>
      <c r="Q266" s="22"/>
      <c r="R266" s="22"/>
      <c r="S266" s="22"/>
      <c r="T266" s="22"/>
      <c r="U266" s="31"/>
      <c r="V266" s="31" t="s">
        <v>3053</v>
      </c>
      <c r="W266" s="45" t="s">
        <v>3054</v>
      </c>
      <c r="X266" s="45" t="s">
        <v>3055</v>
      </c>
      <c r="Y266" s="22"/>
    </row>
    <row r="267" spans="1:27" ht="42.75">
      <c r="A267" s="22">
        <v>266</v>
      </c>
      <c r="B267" s="22" t="s">
        <v>3056</v>
      </c>
      <c r="C267" s="22"/>
      <c r="D267" s="22" t="s">
        <v>493</v>
      </c>
      <c r="E267" s="22" t="s">
        <v>510</v>
      </c>
      <c r="F267" s="35" t="s">
        <v>3953</v>
      </c>
      <c r="G267" s="22" t="s">
        <v>755</v>
      </c>
      <c r="H267" s="35" t="s">
        <v>3059</v>
      </c>
      <c r="I267" s="35" t="s">
        <v>1848</v>
      </c>
      <c r="J267" s="22" t="s">
        <v>3060</v>
      </c>
      <c r="K267" s="33" t="s">
        <v>2665</v>
      </c>
      <c r="L267" s="33" t="s">
        <v>758</v>
      </c>
      <c r="M267" s="22">
        <v>1960</v>
      </c>
      <c r="N267" s="22">
        <v>1965</v>
      </c>
      <c r="O267" s="22"/>
      <c r="P267" s="22"/>
      <c r="Q267" s="22"/>
      <c r="R267" s="22"/>
      <c r="S267" s="22"/>
      <c r="T267" s="35" t="s">
        <v>3057</v>
      </c>
      <c r="U267" s="35" t="s">
        <v>3058</v>
      </c>
      <c r="V267" s="22"/>
      <c r="W267" s="45" t="s">
        <v>3061</v>
      </c>
      <c r="X267" s="45" t="s">
        <v>3062</v>
      </c>
    </row>
    <row r="268" spans="1:27" ht="28.5">
      <c r="A268" s="22">
        <v>267</v>
      </c>
      <c r="B268" s="22" t="s">
        <v>3063</v>
      </c>
      <c r="C268" s="22">
        <v>51</v>
      </c>
      <c r="D268" s="22" t="s">
        <v>497</v>
      </c>
      <c r="E268" s="22" t="s">
        <v>506</v>
      </c>
      <c r="F268" s="35" t="s">
        <v>3952</v>
      </c>
      <c r="G268" s="22" t="s">
        <v>755</v>
      </c>
      <c r="H268" s="35" t="s">
        <v>3064</v>
      </c>
      <c r="I268" s="35" t="s">
        <v>1848</v>
      </c>
      <c r="J268" s="22" t="s">
        <v>2418</v>
      </c>
      <c r="K268" s="33" t="s">
        <v>2665</v>
      </c>
      <c r="L268" s="33" t="s">
        <v>758</v>
      </c>
      <c r="M268" s="22">
        <v>1955</v>
      </c>
      <c r="N268" s="22">
        <v>1962</v>
      </c>
      <c r="O268" s="22" t="s">
        <v>758</v>
      </c>
      <c r="P268" s="22"/>
      <c r="Q268" s="22"/>
      <c r="R268" s="22" t="s">
        <v>1249</v>
      </c>
      <c r="S268" s="31" t="s">
        <v>1789</v>
      </c>
      <c r="T268" s="35" t="s">
        <v>3065</v>
      </c>
      <c r="U268" s="31"/>
      <c r="V268" s="22"/>
      <c r="W268" s="45" t="s">
        <v>3066</v>
      </c>
      <c r="X268" s="45" t="s">
        <v>3067</v>
      </c>
      <c r="Y268" s="22"/>
    </row>
    <row r="269" spans="1:27" ht="28.5">
      <c r="A269" s="22">
        <v>268</v>
      </c>
      <c r="B269" s="31" t="s">
        <v>3068</v>
      </c>
      <c r="C269" s="22"/>
      <c r="D269" s="31" t="s">
        <v>490</v>
      </c>
      <c r="E269" s="22" t="s">
        <v>506</v>
      </c>
      <c r="F269" s="35" t="s">
        <v>3951</v>
      </c>
      <c r="G269" s="22" t="s">
        <v>755</v>
      </c>
      <c r="H269" s="35" t="s">
        <v>3069</v>
      </c>
      <c r="I269" s="35" t="s">
        <v>1003</v>
      </c>
      <c r="J269" s="22" t="s">
        <v>3070</v>
      </c>
      <c r="K269" s="33" t="s">
        <v>137</v>
      </c>
      <c r="L269" s="33" t="s">
        <v>758</v>
      </c>
      <c r="M269" s="22">
        <v>1950</v>
      </c>
      <c r="N269" s="22">
        <v>1959</v>
      </c>
      <c r="O269" s="22"/>
      <c r="P269" s="22"/>
      <c r="Q269" s="22"/>
      <c r="R269" s="22"/>
      <c r="S269" s="31" t="s">
        <v>3073</v>
      </c>
      <c r="T269" s="35" t="s">
        <v>3071</v>
      </c>
      <c r="U269" s="35" t="s">
        <v>3072</v>
      </c>
      <c r="V269" s="22"/>
      <c r="W269" s="45" t="s">
        <v>3074</v>
      </c>
      <c r="X269" s="45" t="s">
        <v>3075</v>
      </c>
    </row>
    <row r="270" spans="1:27" ht="28.5">
      <c r="A270" s="22">
        <v>269</v>
      </c>
      <c r="B270" s="31" t="s">
        <v>3076</v>
      </c>
      <c r="C270" s="22">
        <v>2090</v>
      </c>
      <c r="D270" s="22" t="s">
        <v>493</v>
      </c>
      <c r="E270" s="22" t="s">
        <v>518</v>
      </c>
      <c r="F270" s="35" t="s">
        <v>3950</v>
      </c>
      <c r="G270" s="22" t="s">
        <v>755</v>
      </c>
      <c r="H270" s="35" t="s">
        <v>3077</v>
      </c>
      <c r="I270" s="35" t="s">
        <v>1848</v>
      </c>
      <c r="J270" s="22" t="s">
        <v>3078</v>
      </c>
      <c r="K270" s="33" t="s">
        <v>178</v>
      </c>
      <c r="L270" s="33" t="s">
        <v>758</v>
      </c>
      <c r="M270" s="22">
        <v>1965</v>
      </c>
      <c r="N270" s="22">
        <v>1970</v>
      </c>
      <c r="O270" s="22" t="s">
        <v>782</v>
      </c>
      <c r="S270" s="31" t="s">
        <v>3083</v>
      </c>
      <c r="U270" s="31" t="s">
        <v>3079</v>
      </c>
      <c r="V270" s="1"/>
      <c r="W270" s="45" t="s">
        <v>3080</v>
      </c>
      <c r="X270" s="44" t="s">
        <v>3081</v>
      </c>
      <c r="Y270" s="44" t="s">
        <v>3082</v>
      </c>
    </row>
    <row r="271" spans="1:27" ht="42.75">
      <c r="A271" s="22">
        <v>270</v>
      </c>
      <c r="B271" s="49" t="s">
        <v>3087</v>
      </c>
      <c r="C271" s="22"/>
      <c r="D271" s="22" t="s">
        <v>493</v>
      </c>
      <c r="E271" s="22" t="s">
        <v>518</v>
      </c>
      <c r="F271" s="35" t="s">
        <v>3949</v>
      </c>
      <c r="G271" s="22" t="s">
        <v>755</v>
      </c>
      <c r="H271" s="35" t="s">
        <v>3084</v>
      </c>
      <c r="I271" s="35" t="s">
        <v>1848</v>
      </c>
      <c r="J271" s="22" t="s">
        <v>3085</v>
      </c>
      <c r="K271" s="33" t="s">
        <v>1335</v>
      </c>
      <c r="L271" s="33" t="s">
        <v>758</v>
      </c>
      <c r="M271" s="22">
        <v>1965</v>
      </c>
      <c r="N271" s="22">
        <v>1970</v>
      </c>
      <c r="O271" s="22"/>
      <c r="P271" s="22"/>
      <c r="Q271" s="22"/>
      <c r="R271" s="31" t="s">
        <v>3086</v>
      </c>
      <c r="S271" s="22"/>
      <c r="T271" s="22"/>
      <c r="U271" s="31" t="s">
        <v>3088</v>
      </c>
      <c r="V271" s="22"/>
      <c r="W271" s="45" t="s">
        <v>3097</v>
      </c>
      <c r="X271" s="22"/>
      <c r="Y271" s="22"/>
    </row>
    <row r="272" spans="1:27" ht="28.5">
      <c r="A272" s="22">
        <v>271</v>
      </c>
      <c r="B272" s="22" t="s">
        <v>3090</v>
      </c>
      <c r="C272" s="22"/>
      <c r="D272" s="31" t="s">
        <v>490</v>
      </c>
      <c r="E272" s="22" t="s">
        <v>506</v>
      </c>
      <c r="F272" s="35" t="s">
        <v>3948</v>
      </c>
      <c r="G272" s="22" t="s">
        <v>755</v>
      </c>
      <c r="H272" s="35" t="s">
        <v>3093</v>
      </c>
      <c r="I272" s="35" t="s">
        <v>1003</v>
      </c>
      <c r="J272" s="22" t="s">
        <v>3094</v>
      </c>
      <c r="K272" s="33" t="s">
        <v>1335</v>
      </c>
      <c r="L272" s="33" t="s">
        <v>758</v>
      </c>
      <c r="M272" s="22">
        <v>1970</v>
      </c>
      <c r="N272" s="22">
        <v>1975</v>
      </c>
      <c r="O272" s="22"/>
      <c r="P272" s="22"/>
      <c r="Q272" s="22"/>
      <c r="R272" s="22"/>
      <c r="S272" s="31" t="s">
        <v>3091</v>
      </c>
      <c r="T272" s="22"/>
      <c r="U272" s="31" t="s">
        <v>3089</v>
      </c>
      <c r="V272" s="22"/>
      <c r="W272" s="45" t="s">
        <v>3095</v>
      </c>
      <c r="X272" s="45" t="s">
        <v>3096</v>
      </c>
      <c r="Y272" s="22"/>
    </row>
    <row r="273" spans="1:25" ht="57">
      <c r="A273" s="22">
        <v>272</v>
      </c>
      <c r="B273" s="22" t="s">
        <v>3098</v>
      </c>
      <c r="C273" s="22">
        <v>234</v>
      </c>
      <c r="D273" s="22" t="s">
        <v>493</v>
      </c>
      <c r="E273" s="22" t="s">
        <v>512</v>
      </c>
      <c r="F273" s="35" t="s">
        <v>3947</v>
      </c>
      <c r="G273" s="22" t="s">
        <v>755</v>
      </c>
      <c r="H273" s="35" t="s">
        <v>3100</v>
      </c>
      <c r="I273" s="35" t="s">
        <v>1774</v>
      </c>
      <c r="J273" s="22" t="s">
        <v>3099</v>
      </c>
      <c r="K273" s="33" t="s">
        <v>177</v>
      </c>
      <c r="L273" s="33" t="s">
        <v>782</v>
      </c>
      <c r="M273" s="22">
        <v>1970</v>
      </c>
      <c r="N273" s="22">
        <v>1975</v>
      </c>
      <c r="O273" s="22" t="s">
        <v>782</v>
      </c>
      <c r="P273" s="22"/>
      <c r="Q273" s="22"/>
      <c r="R273" s="22"/>
      <c r="S273" s="31" t="s">
        <v>877</v>
      </c>
      <c r="T273" s="22"/>
      <c r="U273" s="31" t="s">
        <v>3101</v>
      </c>
      <c r="V273" s="22"/>
      <c r="W273" s="45" t="s">
        <v>3102</v>
      </c>
      <c r="X273" s="45" t="s">
        <v>3103</v>
      </c>
      <c r="Y273" s="22"/>
    </row>
    <row r="274" spans="1:25" ht="42.75">
      <c r="A274" s="22">
        <v>273</v>
      </c>
      <c r="B274" s="31" t="s">
        <v>3104</v>
      </c>
      <c r="C274" s="22" t="s">
        <v>3105</v>
      </c>
      <c r="D274" s="31" t="s">
        <v>500</v>
      </c>
      <c r="E274" s="31" t="s">
        <v>510</v>
      </c>
      <c r="F274" s="35" t="s">
        <v>3106</v>
      </c>
      <c r="G274" s="22" t="s">
        <v>757</v>
      </c>
      <c r="H274" s="35" t="s">
        <v>3107</v>
      </c>
      <c r="I274" s="35" t="s">
        <v>1003</v>
      </c>
      <c r="J274" s="22" t="s">
        <v>3108</v>
      </c>
      <c r="K274" s="33"/>
      <c r="L274" s="33" t="s">
        <v>782</v>
      </c>
      <c r="M274" s="22">
        <v>1965</v>
      </c>
      <c r="N274" s="22">
        <v>1970</v>
      </c>
      <c r="O274" s="22" t="s">
        <v>782</v>
      </c>
      <c r="P274" s="22"/>
      <c r="Q274" s="22"/>
      <c r="R274" s="22"/>
      <c r="S274" s="31" t="s">
        <v>3110</v>
      </c>
      <c r="T274" s="22"/>
      <c r="U274" s="31" t="s">
        <v>3109</v>
      </c>
      <c r="V274" s="31" t="s">
        <v>3247</v>
      </c>
      <c r="W274" s="45" t="s">
        <v>3111</v>
      </c>
      <c r="X274" s="45" t="s">
        <v>3112</v>
      </c>
      <c r="Y274" s="22"/>
    </row>
    <row r="275" spans="1:25" ht="28.5">
      <c r="A275" s="22">
        <v>274</v>
      </c>
      <c r="B275" s="22" t="s">
        <v>3113</v>
      </c>
      <c r="C275" s="22"/>
      <c r="D275" s="31" t="s">
        <v>500</v>
      </c>
      <c r="E275" s="22" t="s">
        <v>506</v>
      </c>
      <c r="F275" s="35" t="s">
        <v>3114</v>
      </c>
      <c r="G275" s="22" t="s">
        <v>755</v>
      </c>
      <c r="H275" s="35" t="s">
        <v>3115</v>
      </c>
      <c r="I275" s="35" t="s">
        <v>1003</v>
      </c>
      <c r="J275" s="22" t="s">
        <v>3116</v>
      </c>
      <c r="K275" s="33" t="s">
        <v>33</v>
      </c>
      <c r="L275" s="33" t="s">
        <v>782</v>
      </c>
      <c r="M275" s="22">
        <v>1955</v>
      </c>
      <c r="N275" s="22">
        <v>1965</v>
      </c>
      <c r="O275" s="22"/>
      <c r="P275" s="22"/>
      <c r="Q275" s="22"/>
      <c r="R275" s="22"/>
      <c r="S275" s="22"/>
      <c r="T275" s="22" t="s">
        <v>3119</v>
      </c>
      <c r="U275" s="31"/>
      <c r="V275" s="31" t="s">
        <v>3122</v>
      </c>
      <c r="W275" s="45" t="s">
        <v>3120</v>
      </c>
      <c r="X275" s="45" t="s">
        <v>3121</v>
      </c>
      <c r="Y275" s="22"/>
    </row>
    <row r="276" spans="1:25" ht="28.5">
      <c r="A276" s="22">
        <v>275</v>
      </c>
      <c r="B276" s="22" t="s">
        <v>3123</v>
      </c>
      <c r="C276" s="22" t="s">
        <v>3124</v>
      </c>
      <c r="D276" s="31" t="s">
        <v>500</v>
      </c>
      <c r="E276" s="22" t="s">
        <v>506</v>
      </c>
      <c r="F276" s="35" t="s">
        <v>3946</v>
      </c>
      <c r="G276" s="22" t="s">
        <v>755</v>
      </c>
      <c r="H276" s="35" t="s">
        <v>3125</v>
      </c>
      <c r="I276" s="35" t="s">
        <v>2663</v>
      </c>
      <c r="J276" s="22" t="s">
        <v>3126</v>
      </c>
      <c r="K276" s="33" t="s">
        <v>51</v>
      </c>
      <c r="L276" s="33" t="s">
        <v>782</v>
      </c>
      <c r="M276" s="22">
        <v>1955</v>
      </c>
      <c r="N276" s="22">
        <v>1959</v>
      </c>
      <c r="O276" s="22"/>
      <c r="P276" s="22"/>
      <c r="Q276" s="22"/>
      <c r="R276" s="22"/>
      <c r="S276" s="31" t="s">
        <v>2279</v>
      </c>
      <c r="T276" s="31" t="s">
        <v>3128</v>
      </c>
      <c r="U276" s="31" t="s">
        <v>3127</v>
      </c>
      <c r="V276" s="22" t="s">
        <v>3131</v>
      </c>
      <c r="W276" s="45" t="s">
        <v>3129</v>
      </c>
      <c r="X276" s="22"/>
    </row>
    <row r="277" spans="1:25" ht="42.75">
      <c r="A277" s="22">
        <v>276</v>
      </c>
      <c r="B277" s="22" t="s">
        <v>3130</v>
      </c>
      <c r="C277" s="22">
        <v>70002</v>
      </c>
      <c r="D277" s="31" t="s">
        <v>500</v>
      </c>
      <c r="E277" s="22" t="s">
        <v>510</v>
      </c>
      <c r="F277" s="35" t="s">
        <v>3945</v>
      </c>
      <c r="G277" s="22" t="s">
        <v>755</v>
      </c>
      <c r="H277" s="35" t="s">
        <v>3132</v>
      </c>
      <c r="I277" s="35" t="s">
        <v>1003</v>
      </c>
      <c r="J277" s="22" t="s">
        <v>3133</v>
      </c>
      <c r="K277" s="33" t="s">
        <v>51</v>
      </c>
      <c r="L277" s="33" t="s">
        <v>758</v>
      </c>
      <c r="M277" s="22">
        <v>1998</v>
      </c>
      <c r="N277" s="22">
        <v>1998</v>
      </c>
      <c r="O277" s="22" t="s">
        <v>758</v>
      </c>
      <c r="P277" s="22">
        <v>25</v>
      </c>
      <c r="Q277" s="22"/>
      <c r="R277" s="22"/>
      <c r="S277" s="22"/>
      <c r="T277" s="22" t="s">
        <v>3135</v>
      </c>
      <c r="U277" s="31" t="s">
        <v>3153</v>
      </c>
      <c r="V277" s="22"/>
      <c r="W277" s="45" t="s">
        <v>3134</v>
      </c>
    </row>
    <row r="278" spans="1:25" ht="28.5">
      <c r="A278" s="22">
        <v>277</v>
      </c>
      <c r="B278" s="22" t="s">
        <v>3136</v>
      </c>
      <c r="C278" s="22"/>
      <c r="D278" s="31" t="s">
        <v>500</v>
      </c>
      <c r="E278" s="22" t="s">
        <v>510</v>
      </c>
      <c r="F278" s="35" t="s">
        <v>3144</v>
      </c>
      <c r="G278" s="22" t="s">
        <v>755</v>
      </c>
      <c r="H278" s="35" t="s">
        <v>3145</v>
      </c>
      <c r="I278" s="35" t="s">
        <v>1003</v>
      </c>
      <c r="J278" s="22" t="s">
        <v>3149</v>
      </c>
      <c r="K278" s="33" t="s">
        <v>3138</v>
      </c>
      <c r="L278" s="33" t="s">
        <v>758</v>
      </c>
      <c r="M278" s="22">
        <v>1995</v>
      </c>
      <c r="N278" s="22">
        <v>2024</v>
      </c>
      <c r="O278" s="22" t="s">
        <v>758</v>
      </c>
      <c r="P278" s="22"/>
      <c r="Q278" s="22"/>
      <c r="R278" s="22"/>
      <c r="S278" s="22" t="s">
        <v>3151</v>
      </c>
      <c r="T278" s="22"/>
      <c r="U278" s="31"/>
      <c r="V278" s="22"/>
      <c r="W278" s="45" t="s">
        <v>3146</v>
      </c>
      <c r="X278" s="22"/>
    </row>
    <row r="279" spans="1:25" ht="28.5">
      <c r="A279" s="22">
        <v>278</v>
      </c>
      <c r="B279" s="22" t="s">
        <v>3147</v>
      </c>
      <c r="C279" s="22"/>
      <c r="D279" s="31" t="s">
        <v>500</v>
      </c>
      <c r="E279" s="22" t="s">
        <v>506</v>
      </c>
      <c r="F279" s="35" t="s">
        <v>3944</v>
      </c>
      <c r="G279" s="22" t="s">
        <v>755</v>
      </c>
      <c r="H279" s="35" t="s">
        <v>3148</v>
      </c>
      <c r="I279" s="35" t="s">
        <v>1003</v>
      </c>
      <c r="J279" s="22" t="s">
        <v>3150</v>
      </c>
      <c r="K279" s="33" t="s">
        <v>3138</v>
      </c>
      <c r="L279" s="33" t="s">
        <v>758</v>
      </c>
      <c r="M279" s="22">
        <v>1995</v>
      </c>
      <c r="N279" s="22">
        <v>2024</v>
      </c>
      <c r="O279" s="22" t="s">
        <v>758</v>
      </c>
      <c r="P279" s="22">
        <v>15</v>
      </c>
      <c r="Q279" s="22"/>
      <c r="R279" s="22"/>
      <c r="S279" s="22" t="s">
        <v>3152</v>
      </c>
      <c r="T279" s="22"/>
      <c r="U279" s="31"/>
      <c r="V279" s="22"/>
      <c r="W279" s="45" t="s">
        <v>4754</v>
      </c>
    </row>
    <row r="280" spans="1:25" ht="28.5">
      <c r="A280" s="22">
        <v>279</v>
      </c>
      <c r="B280" s="22" t="s">
        <v>3159</v>
      </c>
      <c r="C280" s="22">
        <v>852</v>
      </c>
      <c r="D280" s="22" t="s">
        <v>493</v>
      </c>
      <c r="E280" s="22" t="s">
        <v>506</v>
      </c>
      <c r="F280" s="35" t="s">
        <v>3943</v>
      </c>
      <c r="G280" s="22" t="s">
        <v>755</v>
      </c>
      <c r="H280" s="35" t="s">
        <v>3154</v>
      </c>
      <c r="I280" s="35" t="s">
        <v>1003</v>
      </c>
      <c r="J280" s="22" t="s">
        <v>3155</v>
      </c>
      <c r="K280" s="33" t="s">
        <v>165</v>
      </c>
      <c r="L280" s="33" t="s">
        <v>758</v>
      </c>
      <c r="M280" s="22">
        <v>1995</v>
      </c>
      <c r="N280" s="22">
        <v>2000</v>
      </c>
      <c r="O280" s="22" t="s">
        <v>758</v>
      </c>
      <c r="P280" s="22"/>
      <c r="Q280" s="22"/>
      <c r="R280" s="31" t="s">
        <v>3157</v>
      </c>
      <c r="S280" s="22" t="s">
        <v>2519</v>
      </c>
      <c r="T280" s="22"/>
      <c r="U280" s="31" t="s">
        <v>3156</v>
      </c>
      <c r="V280" s="22"/>
      <c r="W280" s="45" t="s">
        <v>3158</v>
      </c>
    </row>
    <row r="281" spans="1:25" ht="85.5">
      <c r="A281" s="22">
        <v>280</v>
      </c>
      <c r="B281" s="22" t="s">
        <v>3160</v>
      </c>
      <c r="C281" s="22" t="s">
        <v>3161</v>
      </c>
      <c r="D281" s="22" t="s">
        <v>493</v>
      </c>
      <c r="E281" s="22" t="s">
        <v>511</v>
      </c>
      <c r="F281" s="35" t="s">
        <v>3162</v>
      </c>
      <c r="G281" s="22" t="s">
        <v>755</v>
      </c>
      <c r="H281" s="35" t="s">
        <v>3163</v>
      </c>
      <c r="I281" s="35" t="s">
        <v>1003</v>
      </c>
      <c r="J281" s="22" t="s">
        <v>3164</v>
      </c>
      <c r="K281" s="33"/>
      <c r="L281" s="33" t="s">
        <v>758</v>
      </c>
      <c r="M281" s="22">
        <v>1995</v>
      </c>
      <c r="N281" s="22">
        <v>2020</v>
      </c>
      <c r="O281" s="22" t="s">
        <v>758</v>
      </c>
      <c r="P281" s="22"/>
      <c r="Q281" s="22"/>
      <c r="R281" s="22"/>
      <c r="S281" s="22" t="s">
        <v>3165</v>
      </c>
      <c r="T281" s="22"/>
      <c r="U281" s="31"/>
      <c r="V281" s="22" t="s">
        <v>1085</v>
      </c>
      <c r="W281" s="45" t="s">
        <v>3166</v>
      </c>
      <c r="X281" s="45" t="s">
        <v>3167</v>
      </c>
    </row>
    <row r="282" spans="1:25" ht="28.5">
      <c r="A282" s="22">
        <v>281</v>
      </c>
      <c r="B282" s="22" t="s">
        <v>3168</v>
      </c>
      <c r="C282" s="22" t="s">
        <v>3169</v>
      </c>
      <c r="D282" s="22" t="s">
        <v>493</v>
      </c>
      <c r="E282" s="22" t="s">
        <v>506</v>
      </c>
      <c r="F282" s="35" t="s">
        <v>3942</v>
      </c>
      <c r="G282" s="22" t="s">
        <v>755</v>
      </c>
      <c r="H282" s="35" t="s">
        <v>3170</v>
      </c>
      <c r="I282" s="35" t="s">
        <v>3171</v>
      </c>
      <c r="J282" s="22" t="s">
        <v>3172</v>
      </c>
      <c r="K282" s="33"/>
      <c r="L282" s="33" t="s">
        <v>758</v>
      </c>
      <c r="M282" s="22">
        <v>1995</v>
      </c>
      <c r="N282" s="22">
        <v>2020</v>
      </c>
      <c r="O282" s="22" t="s">
        <v>758</v>
      </c>
      <c r="P282" s="22"/>
      <c r="Q282" s="22"/>
      <c r="R282" s="22"/>
      <c r="S282" s="22" t="s">
        <v>3165</v>
      </c>
      <c r="T282" s="22"/>
      <c r="U282" s="31"/>
      <c r="V282" s="22" t="s">
        <v>1085</v>
      </c>
      <c r="W282" s="45" t="s">
        <v>3173</v>
      </c>
      <c r="X282" s="45" t="s">
        <v>3174</v>
      </c>
    </row>
    <row r="283" spans="1:25" ht="28.5">
      <c r="A283" s="22">
        <v>282</v>
      </c>
      <c r="B283" s="22" t="s">
        <v>3175</v>
      </c>
      <c r="C283" s="22" t="s">
        <v>3176</v>
      </c>
      <c r="D283" s="22" t="s">
        <v>493</v>
      </c>
      <c r="E283" s="22" t="s">
        <v>511</v>
      </c>
      <c r="F283" s="35" t="s">
        <v>3177</v>
      </c>
      <c r="G283" s="22" t="s">
        <v>755</v>
      </c>
      <c r="H283" s="35" t="s">
        <v>3178</v>
      </c>
      <c r="I283" s="35" t="s">
        <v>1003</v>
      </c>
      <c r="J283" s="22" t="s">
        <v>3179</v>
      </c>
      <c r="K283" s="33"/>
      <c r="L283" s="33" t="s">
        <v>758</v>
      </c>
      <c r="M283" s="22">
        <v>2000</v>
      </c>
      <c r="N283" s="22">
        <v>2024</v>
      </c>
      <c r="O283" s="22" t="s">
        <v>758</v>
      </c>
      <c r="P283" s="22"/>
      <c r="Q283" s="22"/>
      <c r="R283" s="22"/>
      <c r="S283" s="22" t="s">
        <v>3181</v>
      </c>
      <c r="T283" s="22"/>
      <c r="U283" s="31" t="s">
        <v>3180</v>
      </c>
      <c r="V283" s="22" t="s">
        <v>1085</v>
      </c>
      <c r="W283" s="45" t="s">
        <v>3182</v>
      </c>
    </row>
    <row r="284" spans="1:25" ht="42.75">
      <c r="A284" s="22">
        <v>283</v>
      </c>
      <c r="B284" s="31" t="s">
        <v>3183</v>
      </c>
      <c r="C284" s="22" t="s">
        <v>3184</v>
      </c>
      <c r="D284" s="31" t="s">
        <v>499</v>
      </c>
      <c r="E284" s="22" t="s">
        <v>510</v>
      </c>
      <c r="F284" s="35" t="s">
        <v>3185</v>
      </c>
      <c r="G284" s="22" t="s">
        <v>1089</v>
      </c>
      <c r="H284" s="35" t="s">
        <v>3186</v>
      </c>
      <c r="I284" s="35" t="s">
        <v>1003</v>
      </c>
      <c r="J284" s="22" t="s">
        <v>3190</v>
      </c>
      <c r="K284" s="33" t="s">
        <v>3187</v>
      </c>
      <c r="L284" s="33" t="s">
        <v>758</v>
      </c>
      <c r="M284" s="22">
        <v>1970</v>
      </c>
      <c r="N284" s="22">
        <v>2024</v>
      </c>
      <c r="O284" s="31" t="s">
        <v>3191</v>
      </c>
      <c r="P284" s="22">
        <v>18</v>
      </c>
      <c r="Q284" s="22"/>
      <c r="R284" s="22"/>
      <c r="S284" s="22" t="s">
        <v>3192</v>
      </c>
      <c r="T284" s="22"/>
      <c r="U284" s="31" t="s">
        <v>3195</v>
      </c>
      <c r="V284" s="22"/>
      <c r="W284" s="45" t="s">
        <v>3193</v>
      </c>
      <c r="X284" s="45" t="s">
        <v>3194</v>
      </c>
    </row>
    <row r="285" spans="1:25" ht="42.75">
      <c r="A285" s="22">
        <v>284</v>
      </c>
      <c r="B285" s="22" t="s">
        <v>3214</v>
      </c>
      <c r="C285" s="22"/>
      <c r="D285" s="22" t="s">
        <v>505</v>
      </c>
      <c r="E285" s="22" t="s">
        <v>510</v>
      </c>
      <c r="F285" s="35" t="s">
        <v>3206</v>
      </c>
      <c r="G285" s="22" t="s">
        <v>755</v>
      </c>
      <c r="H285" s="35" t="s">
        <v>3212</v>
      </c>
      <c r="I285" s="35" t="s">
        <v>1003</v>
      </c>
      <c r="J285" s="22" t="s">
        <v>3209</v>
      </c>
      <c r="K285" s="33" t="s">
        <v>92</v>
      </c>
      <c r="L285" s="33" t="s">
        <v>785</v>
      </c>
      <c r="M285" s="22">
        <v>1960</v>
      </c>
      <c r="N285" s="22">
        <v>1965</v>
      </c>
      <c r="O285" s="22"/>
      <c r="P285" s="22">
        <v>130</v>
      </c>
      <c r="Q285" s="22"/>
      <c r="R285" s="22" t="s">
        <v>3207</v>
      </c>
      <c r="S285" s="22" t="s">
        <v>864</v>
      </c>
      <c r="T285" s="22" t="s">
        <v>3210</v>
      </c>
      <c r="U285" s="31" t="s">
        <v>3213</v>
      </c>
      <c r="V285" s="22"/>
      <c r="W285" s="45" t="s">
        <v>3282</v>
      </c>
    </row>
    <row r="286" spans="1:25" ht="313.5">
      <c r="A286" s="22">
        <v>285</v>
      </c>
      <c r="B286" s="22" t="s">
        <v>3198</v>
      </c>
      <c r="C286" s="22" t="s">
        <v>3199</v>
      </c>
      <c r="D286" s="31" t="s">
        <v>500</v>
      </c>
      <c r="E286" s="22" t="s">
        <v>517</v>
      </c>
      <c r="F286" s="49" t="s">
        <v>3941</v>
      </c>
      <c r="G286" s="22" t="s">
        <v>755</v>
      </c>
      <c r="H286" s="37" t="s">
        <v>3200</v>
      </c>
      <c r="I286" s="35" t="s">
        <v>1003</v>
      </c>
      <c r="J286" s="22" t="s">
        <v>3208</v>
      </c>
      <c r="K286" s="33" t="s">
        <v>3201</v>
      </c>
      <c r="L286" s="33" t="s">
        <v>782</v>
      </c>
      <c r="M286" s="22">
        <v>1922</v>
      </c>
      <c r="N286" s="22">
        <v>1929</v>
      </c>
      <c r="O286" s="31" t="s">
        <v>3203</v>
      </c>
      <c r="P286" s="22">
        <v>262</v>
      </c>
      <c r="Q286" s="22" t="s">
        <v>3204</v>
      </c>
      <c r="R286" s="22" t="s">
        <v>1249</v>
      </c>
      <c r="S286" s="22" t="s">
        <v>3205</v>
      </c>
      <c r="T286" s="22" t="s">
        <v>4741</v>
      </c>
      <c r="U286" s="31" t="s">
        <v>3211</v>
      </c>
      <c r="V286" s="22"/>
      <c r="W286" s="45" t="s">
        <v>3283</v>
      </c>
      <c r="X286" s="45" t="s">
        <v>3284</v>
      </c>
      <c r="Y286" s="45" t="s">
        <v>3285</v>
      </c>
    </row>
    <row r="287" spans="1:25" ht="85.5">
      <c r="A287" s="22">
        <v>286</v>
      </c>
      <c r="B287" s="22" t="s">
        <v>3215</v>
      </c>
      <c r="C287" s="22">
        <v>204</v>
      </c>
      <c r="D287" s="31" t="s">
        <v>499</v>
      </c>
      <c r="E287" s="22" t="s">
        <v>508</v>
      </c>
      <c r="F287" s="35" t="s">
        <v>3940</v>
      </c>
      <c r="G287" s="22" t="s">
        <v>755</v>
      </c>
      <c r="H287" s="35" t="s">
        <v>3216</v>
      </c>
      <c r="I287" s="35" t="s">
        <v>1003</v>
      </c>
      <c r="J287" s="22" t="s">
        <v>3217</v>
      </c>
      <c r="K287" s="33" t="s">
        <v>2835</v>
      </c>
      <c r="L287" s="33" t="s">
        <v>782</v>
      </c>
      <c r="M287" s="22">
        <v>1906</v>
      </c>
      <c r="N287" s="22">
        <v>1912</v>
      </c>
      <c r="O287" s="22"/>
      <c r="P287" s="22">
        <v>842</v>
      </c>
      <c r="Q287" s="22" t="s">
        <v>3204</v>
      </c>
      <c r="R287" s="22" t="s">
        <v>1249</v>
      </c>
      <c r="S287" s="31" t="s">
        <v>3219</v>
      </c>
      <c r="T287" s="22" t="s">
        <v>4733</v>
      </c>
      <c r="U287" s="35" t="s">
        <v>3218</v>
      </c>
      <c r="V287" s="22"/>
      <c r="W287" s="45" t="s">
        <v>3742</v>
      </c>
      <c r="X287" s="45" t="s">
        <v>3743</v>
      </c>
    </row>
    <row r="288" spans="1:25" ht="42.75">
      <c r="A288" s="22">
        <v>287</v>
      </c>
      <c r="B288" s="31" t="s">
        <v>3220</v>
      </c>
      <c r="C288" s="22">
        <v>800</v>
      </c>
      <c r="D288" s="22" t="s">
        <v>495</v>
      </c>
      <c r="E288" s="22" t="s">
        <v>516</v>
      </c>
      <c r="F288" s="35" t="s">
        <v>3939</v>
      </c>
      <c r="G288" s="22" t="s">
        <v>757</v>
      </c>
      <c r="H288" s="32" t="s">
        <v>3221</v>
      </c>
      <c r="I288" s="35" t="s">
        <v>1848</v>
      </c>
      <c r="J288" s="22" t="s">
        <v>3222</v>
      </c>
      <c r="K288" s="33" t="s">
        <v>177</v>
      </c>
      <c r="L288" s="33" t="s">
        <v>782</v>
      </c>
      <c r="M288" s="22">
        <v>1965</v>
      </c>
      <c r="N288" s="22">
        <v>1970</v>
      </c>
      <c r="O288" s="31" t="s">
        <v>758</v>
      </c>
      <c r="P288" s="22"/>
      <c r="Q288" s="22"/>
      <c r="R288" s="22"/>
      <c r="S288" s="31" t="s">
        <v>1353</v>
      </c>
      <c r="T288" s="22" t="s">
        <v>3238</v>
      </c>
      <c r="U288" s="31" t="s">
        <v>3237</v>
      </c>
      <c r="V288" s="22" t="s">
        <v>3223</v>
      </c>
      <c r="W288" s="45" t="s">
        <v>3286</v>
      </c>
    </row>
    <row r="289" spans="1:26" ht="42.75">
      <c r="A289" s="22">
        <v>288</v>
      </c>
      <c r="B289" s="22" t="s">
        <v>3226</v>
      </c>
      <c r="C289" s="22"/>
      <c r="D289" s="22" t="s">
        <v>495</v>
      </c>
      <c r="E289" s="22" t="s">
        <v>516</v>
      </c>
      <c r="F289" s="35" t="s">
        <v>3227</v>
      </c>
      <c r="G289" s="22" t="s">
        <v>756</v>
      </c>
      <c r="H289" s="35" t="s">
        <v>3228</v>
      </c>
      <c r="I289" s="35" t="s">
        <v>1003</v>
      </c>
      <c r="J289" s="22" t="s">
        <v>3229</v>
      </c>
      <c r="K289" s="33" t="s">
        <v>2528</v>
      </c>
      <c r="L289" s="33" t="s">
        <v>758</v>
      </c>
      <c r="M289" s="22">
        <v>1990</v>
      </c>
      <c r="N289" s="22">
        <v>1999</v>
      </c>
      <c r="O289" s="22" t="s">
        <v>758</v>
      </c>
      <c r="P289" s="22"/>
      <c r="Q289" s="22"/>
      <c r="R289" s="22"/>
      <c r="S289" s="31" t="s">
        <v>986</v>
      </c>
      <c r="T289" s="22" t="s">
        <v>3231</v>
      </c>
      <c r="U289" s="35" t="s">
        <v>3230</v>
      </c>
      <c r="V289" s="22"/>
      <c r="W289" s="45" t="s">
        <v>3287</v>
      </c>
    </row>
    <row r="290" spans="1:26">
      <c r="A290" s="22">
        <v>289</v>
      </c>
      <c r="B290" s="22" t="s">
        <v>3232</v>
      </c>
      <c r="C290" s="22">
        <v>342</v>
      </c>
      <c r="D290" s="22" t="s">
        <v>495</v>
      </c>
      <c r="E290" s="22" t="s">
        <v>516</v>
      </c>
      <c r="F290" s="35" t="s">
        <v>3235</v>
      </c>
      <c r="G290" s="22" t="s">
        <v>756</v>
      </c>
      <c r="H290" s="35" t="s">
        <v>1227</v>
      </c>
      <c r="I290" s="35" t="s">
        <v>1003</v>
      </c>
      <c r="J290" s="22" t="s">
        <v>3233</v>
      </c>
      <c r="K290" s="33"/>
      <c r="L290" s="33" t="s">
        <v>758</v>
      </c>
      <c r="M290" s="22">
        <v>1965</v>
      </c>
      <c r="N290" s="22">
        <v>1975</v>
      </c>
      <c r="O290" s="22"/>
      <c r="P290" s="22"/>
      <c r="Q290" s="22"/>
      <c r="R290" s="22"/>
      <c r="S290" s="31" t="s">
        <v>3242</v>
      </c>
      <c r="T290" s="22"/>
      <c r="U290" s="31"/>
      <c r="V290" s="22" t="s">
        <v>1085</v>
      </c>
      <c r="W290" s="45" t="s">
        <v>3288</v>
      </c>
      <c r="X290" s="45" t="s">
        <v>3289</v>
      </c>
      <c r="Y290" s="22"/>
    </row>
    <row r="291" spans="1:26" ht="42.75">
      <c r="A291" s="22">
        <v>290</v>
      </c>
      <c r="B291" s="22" t="s">
        <v>3234</v>
      </c>
      <c r="C291" s="22"/>
      <c r="D291" s="22" t="s">
        <v>495</v>
      </c>
      <c r="E291" s="22" t="s">
        <v>516</v>
      </c>
      <c r="F291" s="35" t="s">
        <v>3236</v>
      </c>
      <c r="G291" s="22" t="s">
        <v>757</v>
      </c>
      <c r="H291" s="32" t="s">
        <v>3250</v>
      </c>
      <c r="I291" s="35" t="s">
        <v>1666</v>
      </c>
      <c r="J291" s="22" t="s">
        <v>3241</v>
      </c>
      <c r="K291" s="33" t="s">
        <v>174</v>
      </c>
      <c r="L291" s="33" t="s">
        <v>782</v>
      </c>
      <c r="M291" s="22">
        <v>1969</v>
      </c>
      <c r="N291" s="22">
        <v>1970</v>
      </c>
      <c r="O291" s="22"/>
      <c r="P291" s="22"/>
      <c r="Q291" s="22"/>
      <c r="R291" s="22"/>
      <c r="S291" s="31" t="s">
        <v>1126</v>
      </c>
      <c r="T291" s="22" t="s">
        <v>3239</v>
      </c>
      <c r="U291" s="35" t="s">
        <v>3240</v>
      </c>
      <c r="V291" s="22"/>
      <c r="W291" s="45" t="s">
        <v>3290</v>
      </c>
      <c r="X291" s="45" t="s">
        <v>3291</v>
      </c>
    </row>
    <row r="292" spans="1:26" ht="71.25">
      <c r="A292" s="22">
        <v>291</v>
      </c>
      <c r="B292" s="31" t="s">
        <v>3243</v>
      </c>
      <c r="C292" s="22"/>
      <c r="D292" s="22" t="s">
        <v>495</v>
      </c>
      <c r="E292" s="22" t="s">
        <v>516</v>
      </c>
      <c r="F292" s="35" t="s">
        <v>3938</v>
      </c>
      <c r="G292" s="22" t="s">
        <v>757</v>
      </c>
      <c r="H292" s="32" t="s">
        <v>3244</v>
      </c>
      <c r="I292" s="35" t="s">
        <v>1666</v>
      </c>
      <c r="J292" s="22" t="s">
        <v>3245</v>
      </c>
      <c r="K292" s="33" t="s">
        <v>174</v>
      </c>
      <c r="L292" s="33" t="s">
        <v>782</v>
      </c>
      <c r="M292" s="22">
        <v>1969</v>
      </c>
      <c r="N292" s="22">
        <v>1970</v>
      </c>
      <c r="O292" s="22" t="s">
        <v>782</v>
      </c>
      <c r="P292" s="22"/>
      <c r="Q292" s="22"/>
      <c r="R292" s="22"/>
      <c r="S292" s="31" t="s">
        <v>1279</v>
      </c>
      <c r="T292" s="22" t="s">
        <v>3246</v>
      </c>
      <c r="U292" s="31" t="s">
        <v>3240</v>
      </c>
      <c r="V292" s="22"/>
      <c r="W292" s="45" t="s">
        <v>3292</v>
      </c>
      <c r="X292" s="45" t="s">
        <v>3293</v>
      </c>
      <c r="Y292" s="22"/>
    </row>
    <row r="293" spans="1:26" ht="42.75">
      <c r="A293" s="22">
        <v>292</v>
      </c>
      <c r="B293" s="22" t="s">
        <v>3248</v>
      </c>
      <c r="C293" s="22"/>
      <c r="D293" s="22" t="s">
        <v>495</v>
      </c>
      <c r="E293" s="22" t="s">
        <v>516</v>
      </c>
      <c r="F293" s="35" t="s">
        <v>3249</v>
      </c>
      <c r="G293" s="22" t="s">
        <v>757</v>
      </c>
      <c r="H293" s="32" t="s">
        <v>3252</v>
      </c>
      <c r="I293" s="35" t="s">
        <v>1848</v>
      </c>
      <c r="J293" s="22" t="s">
        <v>3251</v>
      </c>
      <c r="K293" s="33" t="s">
        <v>174</v>
      </c>
      <c r="L293" s="33" t="s">
        <v>782</v>
      </c>
      <c r="M293" s="22">
        <v>1968</v>
      </c>
      <c r="N293" s="22">
        <v>1970</v>
      </c>
      <c r="O293" s="22"/>
      <c r="P293" s="22"/>
      <c r="Q293" s="22"/>
      <c r="R293" s="22"/>
      <c r="S293" s="31" t="s">
        <v>1126</v>
      </c>
      <c r="T293" s="22" t="s">
        <v>3257</v>
      </c>
      <c r="U293" s="35" t="s">
        <v>3256</v>
      </c>
      <c r="W293" s="45" t="s">
        <v>3294</v>
      </c>
      <c r="X293" s="45" t="s">
        <v>3295</v>
      </c>
      <c r="Y293" s="22"/>
    </row>
    <row r="294" spans="1:26" ht="28.5">
      <c r="A294" s="22">
        <v>293</v>
      </c>
      <c r="B294" s="22" t="s">
        <v>3253</v>
      </c>
      <c r="C294" s="22">
        <v>5758</v>
      </c>
      <c r="D294" s="22" t="s">
        <v>495</v>
      </c>
      <c r="E294" s="22" t="s">
        <v>516</v>
      </c>
      <c r="F294" s="35" t="s">
        <v>3937</v>
      </c>
      <c r="G294" s="22" t="s">
        <v>757</v>
      </c>
      <c r="H294" s="32" t="s">
        <v>3254</v>
      </c>
      <c r="I294" s="35" t="s">
        <v>1848</v>
      </c>
      <c r="J294" s="22" t="s">
        <v>3255</v>
      </c>
      <c r="K294" s="33" t="s">
        <v>127</v>
      </c>
      <c r="L294" s="33" t="s">
        <v>782</v>
      </c>
      <c r="M294" s="22">
        <v>1965</v>
      </c>
      <c r="N294" s="22">
        <v>1970</v>
      </c>
      <c r="O294" s="22" t="s">
        <v>782</v>
      </c>
      <c r="P294" s="22"/>
      <c r="Q294" s="22"/>
      <c r="R294" s="22"/>
      <c r="S294" s="22"/>
      <c r="T294" s="22"/>
      <c r="U294" s="31" t="s">
        <v>3258</v>
      </c>
      <c r="W294" s="45" t="s">
        <v>3296</v>
      </c>
      <c r="X294" s="45" t="s">
        <v>3297</v>
      </c>
      <c r="Y294" s="45" t="s">
        <v>3298</v>
      </c>
      <c r="Z294" s="22"/>
    </row>
    <row r="295" spans="1:26" ht="28.5">
      <c r="A295" s="22">
        <v>294</v>
      </c>
      <c r="B295" s="22" t="s">
        <v>3299</v>
      </c>
      <c r="C295" s="22" t="s">
        <v>3301</v>
      </c>
      <c r="D295" s="22" t="s">
        <v>495</v>
      </c>
      <c r="E295" s="22" t="s">
        <v>516</v>
      </c>
      <c r="F295" s="35" t="s">
        <v>3300</v>
      </c>
      <c r="G295" s="22" t="s">
        <v>756</v>
      </c>
      <c r="H295" s="35" t="s">
        <v>3302</v>
      </c>
      <c r="I295" s="35" t="s">
        <v>1003</v>
      </c>
      <c r="J295" s="22" t="s">
        <v>3303</v>
      </c>
      <c r="K295" s="33" t="s">
        <v>3304</v>
      </c>
      <c r="L295" s="33" t="s">
        <v>782</v>
      </c>
      <c r="M295" s="22">
        <v>1965</v>
      </c>
      <c r="N295" s="22">
        <v>1970</v>
      </c>
      <c r="O295" s="22"/>
      <c r="P295" s="22"/>
      <c r="Q295" s="22"/>
      <c r="R295" s="22"/>
      <c r="S295" s="31" t="s">
        <v>939</v>
      </c>
      <c r="T295" s="22" t="s">
        <v>3309</v>
      </c>
      <c r="U295" s="31" t="s">
        <v>3315</v>
      </c>
      <c r="V295" s="22"/>
      <c r="W295" s="45" t="s">
        <v>3307</v>
      </c>
      <c r="X295" s="45" t="s">
        <v>3308</v>
      </c>
    </row>
    <row r="296" spans="1:26" ht="71.25">
      <c r="A296" s="22">
        <v>295</v>
      </c>
      <c r="B296" s="22" t="s">
        <v>3310</v>
      </c>
      <c r="C296" s="22">
        <v>150</v>
      </c>
      <c r="D296" s="22" t="s">
        <v>494</v>
      </c>
      <c r="E296" s="22" t="s">
        <v>516</v>
      </c>
      <c r="F296" s="35" t="s">
        <v>3314</v>
      </c>
      <c r="G296" s="22" t="s">
        <v>757</v>
      </c>
      <c r="H296" s="35" t="s">
        <v>3313</v>
      </c>
      <c r="I296" s="35" t="s">
        <v>1666</v>
      </c>
      <c r="J296" s="22" t="s">
        <v>3311</v>
      </c>
      <c r="K296" s="33" t="s">
        <v>138</v>
      </c>
      <c r="L296" s="33" t="s">
        <v>758</v>
      </c>
      <c r="M296" s="22">
        <v>1959</v>
      </c>
      <c r="N296" s="22">
        <v>1965</v>
      </c>
      <c r="O296" s="31" t="s">
        <v>3312</v>
      </c>
      <c r="P296" s="22"/>
      <c r="Q296" s="22"/>
      <c r="R296" s="22"/>
      <c r="S296" s="31" t="s">
        <v>3319</v>
      </c>
      <c r="T296" s="22" t="s">
        <v>3374</v>
      </c>
      <c r="U296" s="35" t="s">
        <v>3373</v>
      </c>
      <c r="V296" s="31" t="s">
        <v>3316</v>
      </c>
      <c r="W296" s="45" t="s">
        <v>3317</v>
      </c>
      <c r="X296" s="45" t="s">
        <v>3318</v>
      </c>
    </row>
    <row r="297" spans="1:26" ht="57">
      <c r="A297" s="22">
        <v>296</v>
      </c>
      <c r="B297" s="31" t="s">
        <v>3320</v>
      </c>
      <c r="C297" s="22"/>
      <c r="D297" s="22" t="s">
        <v>494</v>
      </c>
      <c r="E297" s="22" t="s">
        <v>516</v>
      </c>
      <c r="F297" s="35" t="s">
        <v>3936</v>
      </c>
      <c r="G297" s="22" t="s">
        <v>757</v>
      </c>
      <c r="H297" s="32" t="s">
        <v>3324</v>
      </c>
      <c r="I297" s="35" t="s">
        <v>1003</v>
      </c>
      <c r="J297" s="22" t="s">
        <v>3323</v>
      </c>
      <c r="K297" s="33" t="s">
        <v>150</v>
      </c>
      <c r="L297" s="33" t="s">
        <v>758</v>
      </c>
      <c r="M297" s="22">
        <v>1970</v>
      </c>
      <c r="N297" s="22">
        <v>1972</v>
      </c>
      <c r="O297" s="22" t="s">
        <v>758</v>
      </c>
      <c r="P297" s="22"/>
      <c r="Q297" s="22"/>
      <c r="R297" s="22"/>
      <c r="S297" s="31" t="s">
        <v>1260</v>
      </c>
      <c r="T297" s="22" t="s">
        <v>3322</v>
      </c>
      <c r="U297" s="31" t="s">
        <v>3321</v>
      </c>
      <c r="V297" s="22"/>
      <c r="W297" s="45" t="s">
        <v>3332</v>
      </c>
      <c r="X297" s="45" t="s">
        <v>3325</v>
      </c>
    </row>
    <row r="298" spans="1:26" ht="28.5">
      <c r="A298" s="22">
        <v>297</v>
      </c>
      <c r="B298" s="22" t="s">
        <v>3326</v>
      </c>
      <c r="C298" s="22"/>
      <c r="D298" s="22" t="s">
        <v>494</v>
      </c>
      <c r="E298" s="22" t="s">
        <v>516</v>
      </c>
      <c r="F298" s="35" t="s">
        <v>3935</v>
      </c>
      <c r="G298" s="22" t="s">
        <v>757</v>
      </c>
      <c r="H298" s="32" t="s">
        <v>3327</v>
      </c>
      <c r="I298" s="35" t="s">
        <v>1666</v>
      </c>
      <c r="J298" s="22" t="s">
        <v>3330</v>
      </c>
      <c r="K298" s="33" t="s">
        <v>3328</v>
      </c>
      <c r="L298" s="33" t="s">
        <v>782</v>
      </c>
      <c r="M298" s="22">
        <v>1980</v>
      </c>
      <c r="N298" s="22">
        <v>1990</v>
      </c>
      <c r="O298" s="22" t="s">
        <v>782</v>
      </c>
      <c r="P298" s="22"/>
      <c r="Q298" s="22"/>
      <c r="R298" s="22"/>
      <c r="S298" s="31" t="s">
        <v>1053</v>
      </c>
      <c r="T298" s="22"/>
      <c r="U298" s="31"/>
      <c r="V298" s="22" t="s">
        <v>3331</v>
      </c>
      <c r="W298" s="45" t="s">
        <v>3333</v>
      </c>
      <c r="X298" s="45" t="s">
        <v>3334</v>
      </c>
      <c r="Y298" s="22"/>
    </row>
    <row r="299" spans="1:26" ht="42.75">
      <c r="A299" s="22">
        <v>298</v>
      </c>
      <c r="B299" s="22" t="s">
        <v>3335</v>
      </c>
      <c r="C299" s="22">
        <v>1981</v>
      </c>
      <c r="D299" s="22" t="s">
        <v>494</v>
      </c>
      <c r="E299" s="22" t="s">
        <v>516</v>
      </c>
      <c r="F299" s="35" t="s">
        <v>3934</v>
      </c>
      <c r="G299" s="22" t="s">
        <v>757</v>
      </c>
      <c r="H299" s="32" t="s">
        <v>3340</v>
      </c>
      <c r="I299" s="35" t="s">
        <v>1666</v>
      </c>
      <c r="J299" s="22" t="s">
        <v>3341</v>
      </c>
      <c r="K299" s="33" t="s">
        <v>3337</v>
      </c>
      <c r="L299" s="33" t="s">
        <v>758</v>
      </c>
      <c r="M299" s="22">
        <v>1984</v>
      </c>
      <c r="N299" s="22">
        <v>1990</v>
      </c>
      <c r="O299" s="22" t="s">
        <v>782</v>
      </c>
      <c r="P299" s="22"/>
      <c r="Q299" s="22"/>
      <c r="R299" s="22"/>
      <c r="S299" s="31" t="s">
        <v>3339</v>
      </c>
      <c r="T299" s="22"/>
      <c r="U299" s="31"/>
      <c r="V299" s="22"/>
      <c r="W299" s="45" t="s">
        <v>3342</v>
      </c>
      <c r="X299" s="45" t="s">
        <v>3343</v>
      </c>
      <c r="Y299" s="22"/>
    </row>
    <row r="300" spans="1:26" ht="57">
      <c r="A300" s="22">
        <v>299</v>
      </c>
      <c r="B300" s="22" t="s">
        <v>3344</v>
      </c>
      <c r="C300" s="22"/>
      <c r="D300" s="22" t="s">
        <v>494</v>
      </c>
      <c r="E300" s="22" t="s">
        <v>516</v>
      </c>
      <c r="F300" s="35" t="s">
        <v>3933</v>
      </c>
      <c r="G300" s="22" t="s">
        <v>755</v>
      </c>
      <c r="H300" s="35" t="s">
        <v>3345</v>
      </c>
      <c r="I300" s="35" t="s">
        <v>1848</v>
      </c>
      <c r="J300" s="22" t="s">
        <v>3346</v>
      </c>
      <c r="K300" s="33" t="s">
        <v>127</v>
      </c>
      <c r="L300" s="33" t="s">
        <v>758</v>
      </c>
      <c r="M300" s="22">
        <v>1965</v>
      </c>
      <c r="N300" s="22">
        <v>1970</v>
      </c>
      <c r="O300" s="22" t="s">
        <v>758</v>
      </c>
      <c r="P300" s="22">
        <v>366</v>
      </c>
      <c r="Q300" s="22" t="s">
        <v>5268</v>
      </c>
      <c r="R300" s="22" t="s">
        <v>1249</v>
      </c>
      <c r="S300" s="31" t="s">
        <v>3347</v>
      </c>
      <c r="T300" s="22" t="s">
        <v>3375</v>
      </c>
      <c r="U300" s="31" t="s">
        <v>3376</v>
      </c>
      <c r="V300" s="22"/>
      <c r="W300" s="45" t="s">
        <v>3348</v>
      </c>
      <c r="X300" s="45" t="s">
        <v>3349</v>
      </c>
      <c r="Y300" s="22"/>
    </row>
    <row r="301" spans="1:26" ht="28.5">
      <c r="A301" s="22">
        <v>300</v>
      </c>
      <c r="B301" s="31" t="s">
        <v>3350</v>
      </c>
      <c r="C301" s="22"/>
      <c r="D301" s="22" t="s">
        <v>494</v>
      </c>
      <c r="E301" s="22" t="s">
        <v>516</v>
      </c>
      <c r="F301" s="35" t="s">
        <v>3932</v>
      </c>
      <c r="G301" s="22" t="s">
        <v>755</v>
      </c>
      <c r="H301" s="35" t="s">
        <v>3351</v>
      </c>
      <c r="I301" s="35" t="s">
        <v>1003</v>
      </c>
      <c r="J301" s="22" t="s">
        <v>3352</v>
      </c>
      <c r="K301" s="33" t="s">
        <v>3353</v>
      </c>
      <c r="L301" s="33" t="s">
        <v>758</v>
      </c>
      <c r="M301" s="22"/>
      <c r="N301" s="22"/>
      <c r="O301" s="22" t="s">
        <v>3354</v>
      </c>
      <c r="P301" s="22">
        <v>298</v>
      </c>
      <c r="Q301" s="51">
        <v>45474</v>
      </c>
      <c r="R301" s="22" t="s">
        <v>1249</v>
      </c>
      <c r="S301" s="31" t="s">
        <v>3356</v>
      </c>
      <c r="T301" s="22" t="s">
        <v>3371</v>
      </c>
      <c r="U301" s="93" t="s">
        <v>3372</v>
      </c>
      <c r="V301" s="22"/>
      <c r="W301" s="45" t="s">
        <v>3358</v>
      </c>
      <c r="X301" s="45" t="s">
        <v>3357</v>
      </c>
      <c r="Y301" s="22"/>
    </row>
    <row r="302" spans="1:26" ht="28.5">
      <c r="A302" s="22">
        <v>301</v>
      </c>
      <c r="B302" s="22" t="s">
        <v>3359</v>
      </c>
      <c r="C302" s="22"/>
      <c r="D302" s="22" t="s">
        <v>494</v>
      </c>
      <c r="E302" s="22" t="s">
        <v>516</v>
      </c>
      <c r="F302" s="35" t="s">
        <v>3360</v>
      </c>
      <c r="G302" s="22" t="s">
        <v>755</v>
      </c>
      <c r="H302" s="35" t="s">
        <v>3361</v>
      </c>
      <c r="I302" s="35" t="s">
        <v>1003</v>
      </c>
      <c r="J302" s="22" t="s">
        <v>3362</v>
      </c>
      <c r="K302" s="33" t="s">
        <v>104</v>
      </c>
      <c r="L302" s="33" t="s">
        <v>758</v>
      </c>
      <c r="M302" s="22">
        <v>1956</v>
      </c>
      <c r="N302" s="22">
        <v>1960</v>
      </c>
      <c r="O302" s="22"/>
      <c r="P302" s="22"/>
      <c r="Q302" s="22"/>
      <c r="R302" s="22"/>
      <c r="S302" s="31" t="s">
        <v>3363</v>
      </c>
      <c r="T302" s="31" t="s">
        <v>3369</v>
      </c>
      <c r="U302" s="31" t="s">
        <v>3370</v>
      </c>
      <c r="V302" s="22"/>
      <c r="W302" s="45" t="s">
        <v>3364</v>
      </c>
      <c r="X302" s="45" t="s">
        <v>3365</v>
      </c>
      <c r="Y302" s="22"/>
    </row>
    <row r="303" spans="1:26" ht="185.25">
      <c r="A303" s="22">
        <v>302</v>
      </c>
      <c r="B303" s="22" t="s">
        <v>3344</v>
      </c>
      <c r="C303" s="22">
        <v>5235</v>
      </c>
      <c r="D303" s="22" t="s">
        <v>494</v>
      </c>
      <c r="E303" s="22" t="s">
        <v>516</v>
      </c>
      <c r="F303" s="35" t="s">
        <v>3931</v>
      </c>
      <c r="G303" s="22" t="s">
        <v>757</v>
      </c>
      <c r="H303" s="32" t="s">
        <v>3367</v>
      </c>
      <c r="I303" s="35" t="s">
        <v>1848</v>
      </c>
      <c r="J303" s="22" t="s">
        <v>3366</v>
      </c>
      <c r="K303" s="33" t="s">
        <v>127</v>
      </c>
      <c r="L303" s="33" t="s">
        <v>758</v>
      </c>
      <c r="M303" s="22">
        <v>1961</v>
      </c>
      <c r="N303" s="22">
        <v>1969</v>
      </c>
      <c r="O303" s="22" t="s">
        <v>785</v>
      </c>
      <c r="P303" s="22"/>
      <c r="Q303" s="22"/>
      <c r="R303" s="31" t="s">
        <v>3840</v>
      </c>
      <c r="S303" s="31" t="s">
        <v>3378</v>
      </c>
      <c r="T303" s="31" t="s">
        <v>3368</v>
      </c>
      <c r="U303" s="31" t="s">
        <v>3377</v>
      </c>
      <c r="V303" s="22"/>
      <c r="W303" s="45" t="s">
        <v>3379</v>
      </c>
      <c r="X303" s="45" t="s">
        <v>3380</v>
      </c>
      <c r="Y303" s="45" t="s">
        <v>3381</v>
      </c>
      <c r="Z303" s="22"/>
    </row>
    <row r="304" spans="1:26" ht="28.5">
      <c r="A304" s="22">
        <v>303</v>
      </c>
      <c r="B304" s="22" t="s">
        <v>3382</v>
      </c>
      <c r="C304" s="22" t="s">
        <v>3386</v>
      </c>
      <c r="D304" s="22" t="s">
        <v>495</v>
      </c>
      <c r="E304" s="22" t="s">
        <v>516</v>
      </c>
      <c r="F304" s="35" t="s">
        <v>3383</v>
      </c>
      <c r="G304" s="22" t="s">
        <v>756</v>
      </c>
      <c r="H304" s="35" t="s">
        <v>3385</v>
      </c>
      <c r="I304" s="35" t="s">
        <v>1003</v>
      </c>
      <c r="J304" s="22" t="s">
        <v>3384</v>
      </c>
      <c r="K304" s="33"/>
      <c r="L304" s="33" t="s">
        <v>782</v>
      </c>
      <c r="M304" s="22">
        <v>1965</v>
      </c>
      <c r="N304" s="22">
        <v>1970</v>
      </c>
      <c r="O304" s="22"/>
      <c r="P304" s="22"/>
      <c r="Q304" s="22"/>
      <c r="R304" s="22"/>
      <c r="S304" s="31" t="s">
        <v>1053</v>
      </c>
      <c r="T304" s="22" t="s">
        <v>3231</v>
      </c>
      <c r="U304" s="31" t="s">
        <v>3387</v>
      </c>
      <c r="V304" s="22" t="s">
        <v>1085</v>
      </c>
      <c r="W304" s="45" t="s">
        <v>3288</v>
      </c>
      <c r="X304" s="45" t="s">
        <v>3289</v>
      </c>
      <c r="Y304" s="22"/>
    </row>
    <row r="305" spans="1:27" ht="99.75">
      <c r="A305" s="22">
        <v>304</v>
      </c>
      <c r="B305" s="22" t="s">
        <v>3388</v>
      </c>
      <c r="C305" s="22" t="s">
        <v>3389</v>
      </c>
      <c r="D305" s="22" t="s">
        <v>496</v>
      </c>
      <c r="E305" s="22" t="s">
        <v>506</v>
      </c>
      <c r="F305" s="35" t="s">
        <v>3390</v>
      </c>
      <c r="G305" s="22" t="s">
        <v>757</v>
      </c>
      <c r="H305" s="35" t="s">
        <v>3391</v>
      </c>
      <c r="I305" s="35" t="s">
        <v>1848</v>
      </c>
      <c r="J305" s="31" t="s">
        <v>3392</v>
      </c>
      <c r="K305" s="33" t="s">
        <v>268</v>
      </c>
      <c r="L305" s="33" t="s">
        <v>758</v>
      </c>
      <c r="M305" s="22">
        <v>1962</v>
      </c>
      <c r="N305" s="22">
        <v>1970</v>
      </c>
      <c r="O305" s="22"/>
      <c r="P305" s="22"/>
      <c r="Q305" s="22"/>
      <c r="R305" s="22"/>
      <c r="S305" s="31" t="s">
        <v>3393</v>
      </c>
      <c r="T305" s="22" t="s">
        <v>3564</v>
      </c>
      <c r="U305" s="31" t="s">
        <v>3394</v>
      </c>
      <c r="V305" s="22"/>
      <c r="W305" s="45" t="s">
        <v>3395</v>
      </c>
      <c r="X305" s="45" t="s">
        <v>3396</v>
      </c>
      <c r="Y305" s="22"/>
    </row>
    <row r="306" spans="1:27" ht="213.75">
      <c r="A306" s="22">
        <v>305</v>
      </c>
      <c r="B306" s="22" t="s">
        <v>3398</v>
      </c>
      <c r="C306" s="22">
        <v>5600</v>
      </c>
      <c r="D306" s="22" t="s">
        <v>496</v>
      </c>
      <c r="E306" s="22" t="s">
        <v>506</v>
      </c>
      <c r="F306" s="31" t="s">
        <v>3930</v>
      </c>
      <c r="G306" s="22" t="s">
        <v>757</v>
      </c>
      <c r="H306" s="62" t="s">
        <v>3400</v>
      </c>
      <c r="I306" s="35" t="s">
        <v>1848</v>
      </c>
      <c r="J306" s="22" t="s">
        <v>3403</v>
      </c>
      <c r="K306" s="33" t="s">
        <v>99</v>
      </c>
      <c r="L306" s="22" t="s">
        <v>782</v>
      </c>
      <c r="M306" s="22">
        <v>1957</v>
      </c>
      <c r="N306" s="22">
        <v>1968</v>
      </c>
      <c r="O306" s="22"/>
      <c r="P306" s="22">
        <v>200</v>
      </c>
      <c r="Q306" s="22" t="s">
        <v>1360</v>
      </c>
      <c r="R306" s="31" t="s">
        <v>3399</v>
      </c>
      <c r="S306" s="31" t="s">
        <v>3401</v>
      </c>
      <c r="T306" s="31" t="s">
        <v>3563</v>
      </c>
      <c r="U306" s="31" t="s">
        <v>3404</v>
      </c>
      <c r="V306" s="31" t="s">
        <v>3402</v>
      </c>
      <c r="W306" s="45" t="s">
        <v>3397</v>
      </c>
      <c r="X306" s="22"/>
    </row>
    <row r="307" spans="1:27" ht="57">
      <c r="A307" s="22">
        <v>306</v>
      </c>
      <c r="B307" s="22" t="s">
        <v>3405</v>
      </c>
      <c r="C307" s="22"/>
      <c r="D307" s="22" t="s">
        <v>496</v>
      </c>
      <c r="E307" s="22" t="s">
        <v>506</v>
      </c>
      <c r="F307" s="31" t="s">
        <v>3406</v>
      </c>
      <c r="G307" s="22" t="s">
        <v>757</v>
      </c>
      <c r="H307" s="32" t="s">
        <v>3413</v>
      </c>
      <c r="I307" s="35" t="s">
        <v>1848</v>
      </c>
      <c r="J307" s="22" t="s">
        <v>3407</v>
      </c>
      <c r="K307" s="33" t="s">
        <v>174</v>
      </c>
      <c r="L307" s="33" t="s">
        <v>782</v>
      </c>
      <c r="M307" s="22">
        <v>1966</v>
      </c>
      <c r="N307" s="22">
        <v>1970</v>
      </c>
      <c r="O307" s="22"/>
      <c r="P307" s="22"/>
      <c r="Q307" s="22"/>
      <c r="R307" s="22"/>
      <c r="S307" s="31" t="s">
        <v>1702</v>
      </c>
      <c r="T307" s="22"/>
      <c r="U307" s="94" t="s">
        <v>3415</v>
      </c>
      <c r="V307" s="22"/>
      <c r="W307" s="45" t="s">
        <v>3408</v>
      </c>
      <c r="X307" s="45" t="s">
        <v>3417</v>
      </c>
      <c r="Y307" s="45" t="s">
        <v>3409</v>
      </c>
      <c r="Z307" s="22"/>
      <c r="AA307" s="22"/>
    </row>
    <row r="308" spans="1:27" ht="57">
      <c r="A308" s="22">
        <v>307</v>
      </c>
      <c r="B308" s="38" t="s">
        <v>3410</v>
      </c>
      <c r="C308" s="22"/>
      <c r="D308" s="22" t="s">
        <v>496</v>
      </c>
      <c r="E308" s="22" t="s">
        <v>506</v>
      </c>
      <c r="F308" s="31" t="s">
        <v>3411</v>
      </c>
      <c r="G308" s="22" t="s">
        <v>757</v>
      </c>
      <c r="H308" s="32" t="s">
        <v>3412</v>
      </c>
      <c r="I308" s="35" t="s">
        <v>1848</v>
      </c>
      <c r="J308" s="22" t="s">
        <v>3414</v>
      </c>
      <c r="K308" s="33" t="s">
        <v>174</v>
      </c>
      <c r="L308" s="33" t="s">
        <v>785</v>
      </c>
      <c r="M308" s="22">
        <v>1972</v>
      </c>
      <c r="N308" s="22">
        <v>1975</v>
      </c>
      <c r="O308" s="22"/>
      <c r="P308" s="22"/>
      <c r="Q308" s="22"/>
      <c r="R308" s="22"/>
      <c r="S308" s="22"/>
      <c r="T308" s="22" t="s">
        <v>3565</v>
      </c>
      <c r="U308" s="95" t="s">
        <v>3416</v>
      </c>
      <c r="V308" s="22"/>
      <c r="W308" s="45" t="s">
        <v>3418</v>
      </c>
      <c r="X308" s="45" t="s">
        <v>3419</v>
      </c>
      <c r="Y308" s="45" t="s">
        <v>3420</v>
      </c>
    </row>
    <row r="309" spans="1:27" ht="42.75">
      <c r="A309" s="22">
        <v>308</v>
      </c>
      <c r="B309" s="31" t="s">
        <v>3421</v>
      </c>
      <c r="C309" s="22"/>
      <c r="D309" s="22" t="s">
        <v>496</v>
      </c>
      <c r="E309" s="22" t="s">
        <v>506</v>
      </c>
      <c r="F309" s="31" t="s">
        <v>3422</v>
      </c>
      <c r="G309" s="22" t="s">
        <v>757</v>
      </c>
      <c r="H309" s="32" t="s">
        <v>3423</v>
      </c>
      <c r="I309" s="35" t="s">
        <v>1848</v>
      </c>
      <c r="J309" s="22" t="s">
        <v>3424</v>
      </c>
      <c r="K309" s="33" t="s">
        <v>3426</v>
      </c>
      <c r="L309" s="33" t="s">
        <v>782</v>
      </c>
      <c r="M309" s="22">
        <v>1985</v>
      </c>
      <c r="N309" s="22">
        <v>1990</v>
      </c>
      <c r="O309" s="22"/>
      <c r="P309" s="22"/>
      <c r="Q309" s="22"/>
      <c r="R309" s="22"/>
      <c r="S309" s="31" t="s">
        <v>901</v>
      </c>
      <c r="T309" s="22"/>
      <c r="U309" s="95" t="s">
        <v>3428</v>
      </c>
      <c r="V309" s="22"/>
      <c r="W309" s="45" t="s">
        <v>3429</v>
      </c>
      <c r="X309" s="22"/>
    </row>
    <row r="310" spans="1:27" ht="85.5">
      <c r="A310" s="22">
        <v>309</v>
      </c>
      <c r="B310" s="22" t="s">
        <v>3432</v>
      </c>
      <c r="C310" s="22" t="s">
        <v>3436</v>
      </c>
      <c r="D310" s="22" t="s">
        <v>496</v>
      </c>
      <c r="E310" s="22" t="s">
        <v>506</v>
      </c>
      <c r="F310" s="31" t="s">
        <v>3433</v>
      </c>
      <c r="G310" s="22" t="s">
        <v>757</v>
      </c>
      <c r="H310" s="35" t="s">
        <v>3434</v>
      </c>
      <c r="I310" s="35" t="s">
        <v>1666</v>
      </c>
      <c r="J310" s="22" t="s">
        <v>3435</v>
      </c>
      <c r="K310" s="33"/>
      <c r="L310" s="33" t="s">
        <v>758</v>
      </c>
      <c r="M310" s="22">
        <v>2000</v>
      </c>
      <c r="N310" s="22">
        <v>2005</v>
      </c>
      <c r="O310" s="22" t="s">
        <v>758</v>
      </c>
      <c r="P310" s="22">
        <v>7</v>
      </c>
      <c r="Q310" s="22" t="s">
        <v>3437</v>
      </c>
      <c r="R310" s="22" t="s">
        <v>3438</v>
      </c>
      <c r="S310" s="22"/>
      <c r="T310" s="22"/>
      <c r="U310" s="31" t="s">
        <v>3442</v>
      </c>
      <c r="V310" s="22" t="s">
        <v>1085</v>
      </c>
      <c r="W310" s="45" t="s">
        <v>3439</v>
      </c>
      <c r="X310" s="45" t="s">
        <v>3440</v>
      </c>
    </row>
    <row r="311" spans="1:27" ht="71.25">
      <c r="A311" s="22">
        <v>310</v>
      </c>
      <c r="B311" s="22" t="s">
        <v>3443</v>
      </c>
      <c r="C311" s="22">
        <v>1105</v>
      </c>
      <c r="D311" s="22" t="s">
        <v>496</v>
      </c>
      <c r="E311" s="22" t="s">
        <v>506</v>
      </c>
      <c r="F311" s="31" t="s">
        <v>3444</v>
      </c>
      <c r="G311" s="22" t="s">
        <v>756</v>
      </c>
      <c r="H311" s="35" t="s">
        <v>3445</v>
      </c>
      <c r="I311" s="35" t="s">
        <v>1848</v>
      </c>
      <c r="J311" s="22" t="s">
        <v>3446</v>
      </c>
      <c r="K311" s="33" t="s">
        <v>51</v>
      </c>
      <c r="L311" s="33" t="s">
        <v>785</v>
      </c>
      <c r="M311" s="22">
        <v>1968</v>
      </c>
      <c r="N311" s="22">
        <v>1970</v>
      </c>
      <c r="O311" s="22" t="s">
        <v>782</v>
      </c>
      <c r="P311" s="22"/>
      <c r="Q311" s="22"/>
      <c r="R311" s="22"/>
      <c r="S311" s="22"/>
      <c r="T311" s="31" t="s">
        <v>3479</v>
      </c>
      <c r="U311" s="95" t="s">
        <v>3441</v>
      </c>
      <c r="V311" s="22"/>
      <c r="W311" s="45" t="s">
        <v>3447</v>
      </c>
      <c r="X311" s="45" t="s">
        <v>3448</v>
      </c>
      <c r="Y311" s="45" t="s">
        <v>3449</v>
      </c>
    </row>
    <row r="312" spans="1:27" ht="99.75">
      <c r="A312" s="22">
        <v>311</v>
      </c>
      <c r="B312" s="22" t="s">
        <v>3450</v>
      </c>
      <c r="C312" s="22"/>
      <c r="D312" s="22" t="s">
        <v>496</v>
      </c>
      <c r="E312" s="22" t="s">
        <v>506</v>
      </c>
      <c r="F312" s="31" t="s">
        <v>3451</v>
      </c>
      <c r="G312" s="22" t="s">
        <v>757</v>
      </c>
      <c r="H312" s="32" t="s">
        <v>3452</v>
      </c>
      <c r="I312" s="35" t="s">
        <v>3453</v>
      </c>
      <c r="J312" s="22" t="s">
        <v>3454</v>
      </c>
      <c r="K312" s="33" t="s">
        <v>186</v>
      </c>
      <c r="L312" s="33" t="s">
        <v>782</v>
      </c>
      <c r="M312" s="22">
        <v>1967</v>
      </c>
      <c r="N312" s="22">
        <v>1980</v>
      </c>
      <c r="O312" s="31" t="s">
        <v>3455</v>
      </c>
      <c r="P312" s="22"/>
      <c r="Q312" s="22"/>
      <c r="R312" s="22"/>
      <c r="S312" s="22"/>
      <c r="T312" s="22" t="s">
        <v>3568</v>
      </c>
      <c r="U312" s="95" t="s">
        <v>3567</v>
      </c>
      <c r="V312" s="22"/>
      <c r="W312" s="45" t="s">
        <v>3456</v>
      </c>
      <c r="X312" s="45" t="s">
        <v>3457</v>
      </c>
    </row>
    <row r="313" spans="1:27" ht="85.5">
      <c r="A313" s="22">
        <v>312</v>
      </c>
      <c r="B313" s="22" t="s">
        <v>3461</v>
      </c>
      <c r="C313" s="22"/>
      <c r="D313" s="22" t="s">
        <v>496</v>
      </c>
      <c r="E313" s="22" t="s">
        <v>506</v>
      </c>
      <c r="F313" s="31" t="s">
        <v>3462</v>
      </c>
      <c r="G313" s="22" t="s">
        <v>757</v>
      </c>
      <c r="H313" s="31" t="s">
        <v>3452</v>
      </c>
      <c r="I313" s="35" t="s">
        <v>1666</v>
      </c>
      <c r="J313" s="22" t="s">
        <v>3464</v>
      </c>
      <c r="K313" s="33" t="s">
        <v>3328</v>
      </c>
      <c r="L313" s="33" t="s">
        <v>758</v>
      </c>
      <c r="M313" s="22">
        <v>1977</v>
      </c>
      <c r="N313" s="22">
        <v>1980</v>
      </c>
      <c r="O313" s="22"/>
      <c r="P313" s="22"/>
      <c r="Q313" s="22"/>
      <c r="R313" s="22"/>
      <c r="S313" s="22"/>
      <c r="T313" s="22"/>
      <c r="U313" s="96" t="s">
        <v>3460</v>
      </c>
      <c r="V313" s="31" t="s">
        <v>3463</v>
      </c>
      <c r="W313" s="45" t="s">
        <v>3465</v>
      </c>
      <c r="X313" s="45" t="s">
        <v>3466</v>
      </c>
    </row>
    <row r="314" spans="1:27" ht="85.5">
      <c r="A314" s="22">
        <v>313</v>
      </c>
      <c r="B314" s="22" t="s">
        <v>3443</v>
      </c>
      <c r="C314" s="22">
        <v>2894</v>
      </c>
      <c r="D314" s="22" t="s">
        <v>496</v>
      </c>
      <c r="E314" s="22" t="s">
        <v>506</v>
      </c>
      <c r="F314" s="31" t="s">
        <v>3929</v>
      </c>
      <c r="G314" s="22" t="s">
        <v>757</v>
      </c>
      <c r="H314" s="32" t="s">
        <v>3467</v>
      </c>
      <c r="I314" s="35" t="s">
        <v>1848</v>
      </c>
      <c r="J314" s="22" t="s">
        <v>3468</v>
      </c>
      <c r="K314" s="33" t="s">
        <v>154</v>
      </c>
      <c r="L314" s="33" t="s">
        <v>785</v>
      </c>
      <c r="M314" s="22">
        <v>1970</v>
      </c>
      <c r="N314" s="22">
        <v>1976</v>
      </c>
      <c r="O314" s="22"/>
      <c r="P314" s="22"/>
      <c r="Q314" s="22"/>
      <c r="R314" s="22"/>
      <c r="S314" s="22" t="s">
        <v>1223</v>
      </c>
      <c r="T314" s="22" t="s">
        <v>3566</v>
      </c>
      <c r="U314" s="95" t="s">
        <v>3470</v>
      </c>
      <c r="V314" s="22"/>
      <c r="W314" s="45" t="s">
        <v>3469</v>
      </c>
      <c r="X314" s="22"/>
    </row>
    <row r="315" spans="1:27" ht="57">
      <c r="A315" s="22">
        <v>314</v>
      </c>
      <c r="B315" s="22" t="s">
        <v>3472</v>
      </c>
      <c r="C315" s="64" t="s">
        <v>3473</v>
      </c>
      <c r="D315" s="22" t="s">
        <v>496</v>
      </c>
      <c r="E315" s="22" t="s">
        <v>506</v>
      </c>
      <c r="F315" s="31" t="s">
        <v>3471</v>
      </c>
      <c r="G315" s="22" t="s">
        <v>755</v>
      </c>
      <c r="H315" s="31" t="s">
        <v>3474</v>
      </c>
      <c r="I315" s="35" t="s">
        <v>1003</v>
      </c>
      <c r="J315" s="22" t="s">
        <v>3475</v>
      </c>
      <c r="K315" s="33" t="s">
        <v>75</v>
      </c>
      <c r="L315" s="33" t="s">
        <v>758</v>
      </c>
      <c r="M315" s="22">
        <v>1960</v>
      </c>
      <c r="N315" s="22">
        <v>1965</v>
      </c>
      <c r="O315" s="22"/>
      <c r="P315" s="22">
        <v>158</v>
      </c>
      <c r="Q315" s="51">
        <v>44531</v>
      </c>
      <c r="R315" s="22" t="s">
        <v>1249</v>
      </c>
      <c r="S315" s="31" t="s">
        <v>3480</v>
      </c>
      <c r="T315" s="22" t="s">
        <v>3571</v>
      </c>
      <c r="U315" s="95" t="s">
        <v>3481</v>
      </c>
      <c r="V315" s="22"/>
      <c r="W315" s="45" t="s">
        <v>3476</v>
      </c>
      <c r="X315" s="45" t="s">
        <v>3477</v>
      </c>
      <c r="Y315" s="45" t="s">
        <v>3478</v>
      </c>
    </row>
    <row r="316" spans="1:27" ht="71.25">
      <c r="A316" s="22">
        <v>315</v>
      </c>
      <c r="B316" s="31" t="s">
        <v>3484</v>
      </c>
      <c r="C316" s="22">
        <v>349</v>
      </c>
      <c r="D316" s="22" t="s">
        <v>496</v>
      </c>
      <c r="E316" s="22" t="s">
        <v>512</v>
      </c>
      <c r="F316" s="31" t="s">
        <v>3570</v>
      </c>
      <c r="G316" s="22" t="s">
        <v>755</v>
      </c>
      <c r="H316" s="31" t="s">
        <v>3488</v>
      </c>
      <c r="I316" s="35" t="s">
        <v>1003</v>
      </c>
      <c r="J316" s="22" t="s">
        <v>3483</v>
      </c>
      <c r="K316" s="33" t="s">
        <v>83</v>
      </c>
      <c r="L316" s="33" t="s">
        <v>782</v>
      </c>
      <c r="M316" s="22">
        <v>1936</v>
      </c>
      <c r="N316" s="22">
        <v>1942</v>
      </c>
      <c r="O316" s="22"/>
      <c r="P316" s="22"/>
      <c r="Q316" s="22"/>
      <c r="R316" s="22"/>
      <c r="S316" s="22" t="s">
        <v>3496</v>
      </c>
      <c r="T316" s="22" t="s">
        <v>3486</v>
      </c>
      <c r="U316" s="95" t="s">
        <v>3485</v>
      </c>
      <c r="V316" s="22"/>
      <c r="W316" s="45" t="s">
        <v>3492</v>
      </c>
      <c r="X316" s="45" t="s">
        <v>3493</v>
      </c>
      <c r="Y316" s="22"/>
    </row>
    <row r="317" spans="1:27" ht="28.5">
      <c r="A317" s="22">
        <v>316</v>
      </c>
      <c r="B317" s="22" t="s">
        <v>3482</v>
      </c>
      <c r="C317" s="22">
        <v>366</v>
      </c>
      <c r="D317" s="22" t="s">
        <v>496</v>
      </c>
      <c r="E317" s="22" t="s">
        <v>506</v>
      </c>
      <c r="F317" s="31" t="s">
        <v>3489</v>
      </c>
      <c r="G317" s="22" t="s">
        <v>755</v>
      </c>
      <c r="H317" s="31" t="s">
        <v>3487</v>
      </c>
      <c r="I317" s="35" t="s">
        <v>1003</v>
      </c>
      <c r="J317" s="22" t="s">
        <v>3490</v>
      </c>
      <c r="K317" s="33" t="s">
        <v>83</v>
      </c>
      <c r="L317" s="33" t="s">
        <v>785</v>
      </c>
      <c r="M317" s="22">
        <v>1948</v>
      </c>
      <c r="N317" s="22">
        <v>1955</v>
      </c>
      <c r="O317" s="22"/>
      <c r="P317" s="22"/>
      <c r="Q317" s="22"/>
      <c r="R317" s="22"/>
      <c r="S317" s="22" t="s">
        <v>1011</v>
      </c>
      <c r="T317" s="31" t="s">
        <v>3569</v>
      </c>
      <c r="U317" s="95" t="s">
        <v>3491</v>
      </c>
      <c r="V317" s="22" t="s">
        <v>2126</v>
      </c>
      <c r="W317" s="45" t="s">
        <v>3494</v>
      </c>
      <c r="X317" s="45" t="s">
        <v>3495</v>
      </c>
      <c r="Y317" s="22"/>
    </row>
    <row r="318" spans="1:27" ht="57">
      <c r="A318" s="22">
        <v>317</v>
      </c>
      <c r="B318" s="22" t="s">
        <v>3498</v>
      </c>
      <c r="C318" s="22">
        <v>546</v>
      </c>
      <c r="D318" s="22" t="s">
        <v>496</v>
      </c>
      <c r="E318" s="22" t="s">
        <v>506</v>
      </c>
      <c r="F318" s="31" t="s">
        <v>3501</v>
      </c>
      <c r="G318" s="22" t="s">
        <v>755</v>
      </c>
      <c r="H318" s="31" t="s">
        <v>3500</v>
      </c>
      <c r="I318" s="35" t="s">
        <v>1003</v>
      </c>
      <c r="J318" s="22" t="s">
        <v>3499</v>
      </c>
      <c r="K318" s="33" t="s">
        <v>97</v>
      </c>
      <c r="L318" s="33" t="s">
        <v>782</v>
      </c>
      <c r="M318" s="22">
        <v>1960</v>
      </c>
      <c r="N318" s="22">
        <v>1965</v>
      </c>
      <c r="O318" s="22"/>
      <c r="P318" s="22"/>
      <c r="Q318" s="22"/>
      <c r="R318" s="22"/>
      <c r="S318" s="22" t="s">
        <v>3502</v>
      </c>
      <c r="T318" s="22"/>
      <c r="U318" s="31"/>
      <c r="V318" s="31" t="s">
        <v>4700</v>
      </c>
      <c r="W318" s="45" t="s">
        <v>3505</v>
      </c>
      <c r="X318" s="45" t="s">
        <v>3506</v>
      </c>
    </row>
    <row r="319" spans="1:27" ht="28.5">
      <c r="A319" s="22">
        <v>318</v>
      </c>
      <c r="B319" s="32" t="s">
        <v>3509</v>
      </c>
      <c r="C319" s="22"/>
      <c r="D319" s="22" t="s">
        <v>496</v>
      </c>
      <c r="E319" s="22" t="s">
        <v>506</v>
      </c>
      <c r="F319" s="31" t="s">
        <v>3928</v>
      </c>
      <c r="G319" s="22" t="s">
        <v>755</v>
      </c>
      <c r="H319" s="22" t="s">
        <v>3510</v>
      </c>
      <c r="I319" s="35" t="s">
        <v>1003</v>
      </c>
      <c r="J319" s="22" t="s">
        <v>3511</v>
      </c>
      <c r="K319" s="33"/>
      <c r="L319" s="22" t="s">
        <v>782</v>
      </c>
      <c r="M319" s="22">
        <v>1940</v>
      </c>
      <c r="N319" s="22">
        <v>1950</v>
      </c>
      <c r="O319" s="22"/>
      <c r="P319" s="22"/>
      <c r="Q319" s="22"/>
      <c r="R319" s="22"/>
      <c r="S319" s="22" t="s">
        <v>1104</v>
      </c>
      <c r="T319" s="22"/>
      <c r="U319" s="31"/>
      <c r="V319" s="31" t="s">
        <v>3533</v>
      </c>
      <c r="W319" s="45" t="s">
        <v>3507</v>
      </c>
      <c r="X319" s="45" t="s">
        <v>3508</v>
      </c>
    </row>
    <row r="320" spans="1:27" ht="71.25">
      <c r="A320" s="22">
        <v>319</v>
      </c>
      <c r="B320" s="22" t="s">
        <v>3512</v>
      </c>
      <c r="C320" s="22">
        <v>5022</v>
      </c>
      <c r="D320" s="22" t="s">
        <v>496</v>
      </c>
      <c r="E320" s="22" t="s">
        <v>512</v>
      </c>
      <c r="F320" s="31" t="s">
        <v>3513</v>
      </c>
      <c r="G320" s="22" t="s">
        <v>757</v>
      </c>
      <c r="H320" s="31" t="s">
        <v>3545</v>
      </c>
      <c r="I320" s="35" t="s">
        <v>3453</v>
      </c>
      <c r="J320" s="22" t="s">
        <v>3515</v>
      </c>
      <c r="K320" s="33" t="s">
        <v>2235</v>
      </c>
      <c r="L320" s="33" t="s">
        <v>758</v>
      </c>
      <c r="M320" s="22">
        <v>1965</v>
      </c>
      <c r="N320" s="22">
        <v>1970</v>
      </c>
      <c r="O320" s="22" t="s">
        <v>782</v>
      </c>
      <c r="P320" s="22"/>
      <c r="Q320" s="22"/>
      <c r="R320" s="22"/>
      <c r="S320" s="31" t="s">
        <v>3514</v>
      </c>
      <c r="T320" s="31" t="s">
        <v>3562</v>
      </c>
      <c r="U320" s="95" t="s">
        <v>3521</v>
      </c>
      <c r="V320" s="22"/>
      <c r="W320" s="45" t="s">
        <v>3516</v>
      </c>
      <c r="X320" s="45" t="s">
        <v>3517</v>
      </c>
      <c r="Y320" s="45" t="s">
        <v>3518</v>
      </c>
    </row>
    <row r="321" spans="1:25" ht="28.5">
      <c r="A321" s="22">
        <v>320</v>
      </c>
      <c r="B321" s="22" t="s">
        <v>3520</v>
      </c>
      <c r="C321" s="22"/>
      <c r="D321" s="22" t="s">
        <v>496</v>
      </c>
      <c r="E321" s="22" t="s">
        <v>512</v>
      </c>
      <c r="F321" s="31" t="s">
        <v>3519</v>
      </c>
      <c r="G321" s="22" t="s">
        <v>757</v>
      </c>
      <c r="H321" s="32" t="s">
        <v>3524</v>
      </c>
      <c r="I321" s="35" t="s">
        <v>1003</v>
      </c>
      <c r="J321" s="22" t="s">
        <v>3525</v>
      </c>
      <c r="K321" s="33" t="s">
        <v>174</v>
      </c>
      <c r="L321" s="33" t="s">
        <v>758</v>
      </c>
      <c r="M321" s="22">
        <v>1965</v>
      </c>
      <c r="N321" s="22">
        <v>1970</v>
      </c>
      <c r="O321" s="22"/>
      <c r="P321" s="22"/>
      <c r="Q321" s="22"/>
      <c r="R321" s="22"/>
      <c r="S321" s="22" t="s">
        <v>3523</v>
      </c>
      <c r="T321" s="31" t="s">
        <v>3665</v>
      </c>
      <c r="U321" s="95" t="s">
        <v>3522</v>
      </c>
      <c r="V321" s="22"/>
      <c r="W321" s="45" t="s">
        <v>3526</v>
      </c>
      <c r="X321" s="45" t="s">
        <v>3527</v>
      </c>
      <c r="Y321" s="45" t="s">
        <v>3528</v>
      </c>
    </row>
    <row r="322" spans="1:25" ht="42.75">
      <c r="A322" s="22">
        <v>321</v>
      </c>
      <c r="B322" s="22" t="s">
        <v>3529</v>
      </c>
      <c r="C322" s="22"/>
      <c r="D322" s="22" t="s">
        <v>496</v>
      </c>
      <c r="E322" s="22" t="s">
        <v>506</v>
      </c>
      <c r="F322" s="31" t="s">
        <v>3530</v>
      </c>
      <c r="G322" s="22" t="s">
        <v>757</v>
      </c>
      <c r="H322" s="31" t="s">
        <v>3531</v>
      </c>
      <c r="I322" s="35" t="s">
        <v>1848</v>
      </c>
      <c r="J322" s="22" t="s">
        <v>3539</v>
      </c>
      <c r="K322" s="33" t="s">
        <v>175</v>
      </c>
      <c r="L322" s="33" t="s">
        <v>758</v>
      </c>
      <c r="M322" s="22">
        <v>1975</v>
      </c>
      <c r="N322" s="22">
        <v>1979</v>
      </c>
      <c r="O322" s="22" t="s">
        <v>782</v>
      </c>
      <c r="P322" s="22"/>
      <c r="Q322" s="22"/>
      <c r="R322" s="22"/>
      <c r="S322" s="22"/>
      <c r="T322" s="22" t="s">
        <v>3532</v>
      </c>
      <c r="U322" s="95" t="s">
        <v>2045</v>
      </c>
      <c r="V322" s="22"/>
      <c r="W322" s="45" t="s">
        <v>3534</v>
      </c>
      <c r="X322" s="45" t="s">
        <v>3535</v>
      </c>
      <c r="Y322" s="45" t="s">
        <v>3536</v>
      </c>
    </row>
    <row r="323" spans="1:25" ht="42.75">
      <c r="A323" s="22">
        <v>322</v>
      </c>
      <c r="B323" s="22" t="s">
        <v>3537</v>
      </c>
      <c r="C323" s="22">
        <v>231</v>
      </c>
      <c r="D323" s="22" t="s">
        <v>496</v>
      </c>
      <c r="E323" s="22" t="s">
        <v>506</v>
      </c>
      <c r="F323" s="31" t="s">
        <v>3927</v>
      </c>
      <c r="G323" s="22" t="s">
        <v>755</v>
      </c>
      <c r="H323" s="31" t="s">
        <v>3538</v>
      </c>
      <c r="I323" s="35" t="s">
        <v>1003</v>
      </c>
      <c r="J323" s="22" t="s">
        <v>3540</v>
      </c>
      <c r="K323" s="33" t="s">
        <v>1236</v>
      </c>
      <c r="L323" s="33" t="s">
        <v>782</v>
      </c>
      <c r="M323" s="22">
        <v>1935</v>
      </c>
      <c r="N323" s="22">
        <v>1939</v>
      </c>
      <c r="O323" s="22"/>
      <c r="P323" s="22"/>
      <c r="Q323" s="22"/>
      <c r="R323" s="22"/>
      <c r="S323" s="22" t="s">
        <v>3544</v>
      </c>
      <c r="T323" s="22" t="s">
        <v>3541</v>
      </c>
      <c r="U323" s="31"/>
      <c r="V323" s="22"/>
      <c r="W323" s="45" t="s">
        <v>3542</v>
      </c>
      <c r="X323" s="45" t="s">
        <v>3543</v>
      </c>
    </row>
    <row r="324" spans="1:25" ht="42.75">
      <c r="A324" s="22">
        <v>323</v>
      </c>
      <c r="B324" s="32" t="s">
        <v>3546</v>
      </c>
      <c r="C324" s="22"/>
      <c r="D324" s="22" t="s">
        <v>496</v>
      </c>
      <c r="E324" s="22" t="s">
        <v>512</v>
      </c>
      <c r="F324" s="22" t="s">
        <v>3548</v>
      </c>
      <c r="G324" s="22" t="s">
        <v>755</v>
      </c>
      <c r="H324" s="31" t="s">
        <v>3549</v>
      </c>
      <c r="I324" s="22" t="s">
        <v>1848</v>
      </c>
      <c r="J324" s="22" t="s">
        <v>3094</v>
      </c>
      <c r="K324" s="33"/>
      <c r="L324" s="22" t="s">
        <v>782</v>
      </c>
      <c r="M324" s="22">
        <v>1955</v>
      </c>
      <c r="N324" s="22">
        <v>1965</v>
      </c>
      <c r="O324" s="22"/>
      <c r="P324" s="22"/>
      <c r="Q324" s="22"/>
      <c r="R324" s="22"/>
      <c r="S324" s="22"/>
      <c r="T324" s="22"/>
      <c r="U324" s="31" t="s">
        <v>3547</v>
      </c>
      <c r="V324" s="22"/>
      <c r="W324" s="45" t="s">
        <v>3550</v>
      </c>
      <c r="X324" s="45" t="s">
        <v>3551</v>
      </c>
    </row>
    <row r="325" spans="1:25" ht="42.75">
      <c r="A325" s="22">
        <v>324</v>
      </c>
      <c r="B325" s="38" t="s">
        <v>3552</v>
      </c>
      <c r="C325" s="22"/>
      <c r="D325" s="22" t="s">
        <v>496</v>
      </c>
      <c r="E325" s="22" t="s">
        <v>506</v>
      </c>
      <c r="F325" s="31" t="s">
        <v>3554</v>
      </c>
      <c r="G325" s="22" t="s">
        <v>755</v>
      </c>
      <c r="H325" s="31" t="s">
        <v>3549</v>
      </c>
      <c r="I325" s="35" t="s">
        <v>1848</v>
      </c>
      <c r="J325" s="22" t="s">
        <v>3553</v>
      </c>
      <c r="K325" s="33"/>
      <c r="L325" s="33" t="s">
        <v>785</v>
      </c>
      <c r="M325" s="22">
        <v>1955</v>
      </c>
      <c r="N325" s="22">
        <v>1965</v>
      </c>
      <c r="O325" s="22"/>
      <c r="P325" s="22"/>
      <c r="Q325" s="22"/>
      <c r="R325" s="22"/>
      <c r="S325" s="22" t="s">
        <v>901</v>
      </c>
      <c r="T325" s="22"/>
      <c r="U325" s="95" t="s">
        <v>1996</v>
      </c>
      <c r="V325" s="22"/>
      <c r="W325" s="45" t="s">
        <v>3555</v>
      </c>
      <c r="X325" s="45" t="s">
        <v>3556</v>
      </c>
    </row>
    <row r="326" spans="1:25" ht="85.5">
      <c r="A326" s="22">
        <v>325</v>
      </c>
      <c r="B326" s="22" t="s">
        <v>3559</v>
      </c>
      <c r="C326" s="22">
        <v>2002</v>
      </c>
      <c r="D326" s="22" t="s">
        <v>496</v>
      </c>
      <c r="E326" s="22" t="s">
        <v>506</v>
      </c>
      <c r="F326" s="31" t="s">
        <v>3926</v>
      </c>
      <c r="G326" s="22" t="s">
        <v>755</v>
      </c>
      <c r="H326" s="31" t="s">
        <v>3646</v>
      </c>
      <c r="I326" s="35" t="s">
        <v>3557</v>
      </c>
      <c r="J326" s="22" t="s">
        <v>3558</v>
      </c>
      <c r="K326" s="33" t="s">
        <v>56</v>
      </c>
      <c r="L326" s="33" t="s">
        <v>758</v>
      </c>
      <c r="M326" s="22">
        <v>1960</v>
      </c>
      <c r="N326" s="22">
        <v>1964</v>
      </c>
      <c r="O326" s="22" t="s">
        <v>782</v>
      </c>
      <c r="P326" s="22"/>
      <c r="Q326" s="22"/>
      <c r="R326" s="22"/>
      <c r="S326" s="22" t="s">
        <v>3574</v>
      </c>
      <c r="T326" s="22" t="s">
        <v>3561</v>
      </c>
      <c r="U326" s="95" t="s">
        <v>3560</v>
      </c>
      <c r="V326" s="22"/>
      <c r="W326" s="45" t="s">
        <v>3572</v>
      </c>
      <c r="X326" s="45" t="s">
        <v>3573</v>
      </c>
    </row>
    <row r="327" spans="1:25" ht="42.75">
      <c r="A327" s="22">
        <v>326</v>
      </c>
      <c r="B327" s="22" t="s">
        <v>3576</v>
      </c>
      <c r="C327" s="22">
        <v>190</v>
      </c>
      <c r="D327" s="22" t="s">
        <v>496</v>
      </c>
      <c r="E327" s="22" t="s">
        <v>506</v>
      </c>
      <c r="F327" s="31" t="s">
        <v>3925</v>
      </c>
      <c r="G327" s="22" t="s">
        <v>755</v>
      </c>
      <c r="H327" s="31" t="s">
        <v>3581</v>
      </c>
      <c r="I327" s="35" t="s">
        <v>1003</v>
      </c>
      <c r="J327" s="22" t="s">
        <v>3577</v>
      </c>
      <c r="K327" s="33" t="s">
        <v>36</v>
      </c>
      <c r="L327" s="33" t="s">
        <v>782</v>
      </c>
      <c r="M327" s="22">
        <v>1959</v>
      </c>
      <c r="N327" s="22">
        <v>1965</v>
      </c>
      <c r="O327" s="22"/>
      <c r="P327" s="22"/>
      <c r="Q327" s="22"/>
      <c r="R327" s="22"/>
      <c r="S327" s="22" t="s">
        <v>939</v>
      </c>
      <c r="T327" s="22" t="s">
        <v>3591</v>
      </c>
      <c r="U327" s="31"/>
      <c r="V327" s="22"/>
      <c r="W327" s="45" t="s">
        <v>3578</v>
      </c>
    </row>
    <row r="328" spans="1:25" ht="42.75">
      <c r="A328" s="22">
        <v>327</v>
      </c>
      <c r="B328" s="31" t="s">
        <v>3604</v>
      </c>
      <c r="C328" s="22">
        <v>90</v>
      </c>
      <c r="D328" s="22" t="s">
        <v>496</v>
      </c>
      <c r="E328" s="22" t="s">
        <v>506</v>
      </c>
      <c r="F328" s="31" t="s">
        <v>3924</v>
      </c>
      <c r="G328" s="22" t="s">
        <v>755</v>
      </c>
      <c r="H328" s="31" t="s">
        <v>3582</v>
      </c>
      <c r="I328" s="35" t="s">
        <v>1003</v>
      </c>
      <c r="J328" s="22" t="s">
        <v>3580</v>
      </c>
      <c r="K328" s="33" t="s">
        <v>36</v>
      </c>
      <c r="L328" s="33" t="s">
        <v>782</v>
      </c>
      <c r="M328" s="22">
        <v>1953</v>
      </c>
      <c r="N328" s="22">
        <v>1965</v>
      </c>
      <c r="O328" s="22" t="s">
        <v>782</v>
      </c>
      <c r="P328" s="22"/>
      <c r="Q328" s="22"/>
      <c r="R328" s="22"/>
      <c r="S328" s="22" t="s">
        <v>3584</v>
      </c>
      <c r="T328" s="22" t="s">
        <v>3579</v>
      </c>
      <c r="U328" s="31" t="s">
        <v>3583</v>
      </c>
      <c r="V328" s="22"/>
      <c r="W328" s="45" t="s">
        <v>3585</v>
      </c>
      <c r="X328" s="45" t="s">
        <v>3586</v>
      </c>
    </row>
    <row r="329" spans="1:25" ht="42.75">
      <c r="A329" s="22">
        <v>328</v>
      </c>
      <c r="B329" s="22" t="s">
        <v>3587</v>
      </c>
      <c r="C329" s="22">
        <v>100</v>
      </c>
      <c r="D329" s="22" t="s">
        <v>496</v>
      </c>
      <c r="E329" s="22" t="s">
        <v>506</v>
      </c>
      <c r="F329" s="31" t="s">
        <v>3594</v>
      </c>
      <c r="G329" s="22" t="s">
        <v>755</v>
      </c>
      <c r="H329" s="31" t="s">
        <v>3588</v>
      </c>
      <c r="I329" s="35" t="s">
        <v>1003</v>
      </c>
      <c r="J329" s="22" t="s">
        <v>3592</v>
      </c>
      <c r="K329" s="33" t="s">
        <v>36</v>
      </c>
      <c r="L329" s="33" t="s">
        <v>758</v>
      </c>
      <c r="M329" s="22">
        <v>1955</v>
      </c>
      <c r="N329" s="22">
        <v>1965</v>
      </c>
      <c r="O329" s="31" t="s">
        <v>3589</v>
      </c>
      <c r="P329" s="22"/>
      <c r="Q329" s="22"/>
      <c r="R329" s="31" t="s">
        <v>3840</v>
      </c>
      <c r="S329" s="31" t="s">
        <v>3596</v>
      </c>
      <c r="T329" s="31" t="s">
        <v>3590</v>
      </c>
      <c r="U329" s="31" t="s">
        <v>3595</v>
      </c>
      <c r="V329" s="22"/>
      <c r="W329" s="45" t="s">
        <v>3597</v>
      </c>
    </row>
    <row r="330" spans="1:25" ht="42.75">
      <c r="A330" s="22">
        <v>329</v>
      </c>
      <c r="B330" s="31" t="s">
        <v>3593</v>
      </c>
      <c r="C330" s="22">
        <v>110</v>
      </c>
      <c r="D330" s="22" t="s">
        <v>496</v>
      </c>
      <c r="E330" s="22" t="s">
        <v>506</v>
      </c>
      <c r="F330" s="31" t="s">
        <v>3594</v>
      </c>
      <c r="G330" s="22" t="s">
        <v>755</v>
      </c>
      <c r="H330" s="31" t="s">
        <v>3575</v>
      </c>
      <c r="I330" s="35" t="s">
        <v>1003</v>
      </c>
      <c r="J330" s="22" t="s">
        <v>3592</v>
      </c>
      <c r="K330" s="33" t="s">
        <v>36</v>
      </c>
      <c r="L330" s="33" t="s">
        <v>785</v>
      </c>
      <c r="M330" s="22">
        <v>1956</v>
      </c>
      <c r="N330" s="22">
        <v>1965</v>
      </c>
      <c r="O330" s="22"/>
      <c r="P330" s="22"/>
      <c r="Q330" s="22"/>
      <c r="R330" s="22"/>
      <c r="S330" s="22"/>
      <c r="T330" s="22" t="s">
        <v>3631</v>
      </c>
      <c r="U330" s="31" t="s">
        <v>3630</v>
      </c>
      <c r="V330" s="31" t="s">
        <v>3643</v>
      </c>
      <c r="W330" s="45" t="s">
        <v>3719</v>
      </c>
      <c r="X330" s="45" t="s">
        <v>3720</v>
      </c>
      <c r="Y330" s="45" t="s">
        <v>3721</v>
      </c>
    </row>
    <row r="331" spans="1:25" ht="42.75">
      <c r="A331" s="22">
        <v>330</v>
      </c>
      <c r="B331" s="22" t="s">
        <v>3598</v>
      </c>
      <c r="C331" s="22"/>
      <c r="D331" s="22" t="s">
        <v>496</v>
      </c>
      <c r="E331" s="22" t="s">
        <v>506</v>
      </c>
      <c r="F331" s="31" t="s">
        <v>3923</v>
      </c>
      <c r="G331" s="22" t="s">
        <v>755</v>
      </c>
      <c r="H331" s="31" t="s">
        <v>3599</v>
      </c>
      <c r="I331" s="35" t="s">
        <v>1666</v>
      </c>
      <c r="J331" s="22" t="s">
        <v>3600</v>
      </c>
      <c r="K331" s="33" t="s">
        <v>2665</v>
      </c>
      <c r="L331" s="33" t="s">
        <v>782</v>
      </c>
      <c r="M331" s="22">
        <v>1958</v>
      </c>
      <c r="N331" s="22">
        <v>1958</v>
      </c>
      <c r="O331" s="22" t="s">
        <v>1219</v>
      </c>
      <c r="P331" s="22"/>
      <c r="Q331" s="22"/>
      <c r="R331" s="22"/>
      <c r="S331" s="22" t="s">
        <v>3601</v>
      </c>
      <c r="T331" s="22"/>
      <c r="U331" s="95" t="s">
        <v>3644</v>
      </c>
      <c r="V331" s="22"/>
      <c r="W331" s="45" t="s">
        <v>3602</v>
      </c>
      <c r="X331" s="45" t="s">
        <v>3603</v>
      </c>
    </row>
    <row r="332" spans="1:25" ht="57">
      <c r="A332" s="22">
        <v>331</v>
      </c>
      <c r="B332" s="31" t="s">
        <v>3605</v>
      </c>
      <c r="C332" s="22" t="s">
        <v>3606</v>
      </c>
      <c r="D332" s="22" t="s">
        <v>496</v>
      </c>
      <c r="E332" s="22" t="s">
        <v>506</v>
      </c>
      <c r="F332" s="31" t="s">
        <v>3922</v>
      </c>
      <c r="G332" s="22" t="s">
        <v>755</v>
      </c>
      <c r="H332" s="31" t="s">
        <v>3607</v>
      </c>
      <c r="I332" s="35" t="s">
        <v>1848</v>
      </c>
      <c r="J332" s="22" t="s">
        <v>3608</v>
      </c>
      <c r="K332" s="33"/>
      <c r="L332" s="33" t="s">
        <v>758</v>
      </c>
      <c r="M332" s="22">
        <v>1965</v>
      </c>
      <c r="N332" s="22">
        <v>1970</v>
      </c>
      <c r="O332" s="22"/>
      <c r="P332" s="22"/>
      <c r="Q332" s="22"/>
      <c r="R332" s="22"/>
      <c r="S332" s="22" t="s">
        <v>3612</v>
      </c>
      <c r="T332" s="22" t="s">
        <v>3611</v>
      </c>
      <c r="U332" s="31" t="s">
        <v>3610</v>
      </c>
      <c r="V332" s="31" t="s">
        <v>3609</v>
      </c>
      <c r="W332" s="45" t="s">
        <v>3613</v>
      </c>
      <c r="X332" s="45" t="s">
        <v>3614</v>
      </c>
    </row>
    <row r="333" spans="1:25">
      <c r="A333" s="22">
        <v>332</v>
      </c>
      <c r="B333" s="22" t="s">
        <v>3615</v>
      </c>
      <c r="C333" s="22">
        <v>570</v>
      </c>
      <c r="D333" s="22" t="s">
        <v>496</v>
      </c>
      <c r="E333" s="22" t="s">
        <v>506</v>
      </c>
      <c r="F333" s="31" t="s">
        <v>3616</v>
      </c>
      <c r="G333" s="22" t="s">
        <v>756</v>
      </c>
      <c r="H333" s="31" t="s">
        <v>3538</v>
      </c>
      <c r="I333" s="35" t="s">
        <v>1003</v>
      </c>
      <c r="J333" s="22" t="s">
        <v>3617</v>
      </c>
      <c r="K333" s="33" t="s">
        <v>39</v>
      </c>
      <c r="L333" s="33" t="s">
        <v>758</v>
      </c>
      <c r="M333" s="22">
        <v>1960</v>
      </c>
      <c r="N333" s="22">
        <v>1965</v>
      </c>
      <c r="O333" s="22"/>
      <c r="P333" s="22"/>
      <c r="Q333" s="22"/>
      <c r="R333" s="22"/>
      <c r="S333" s="22"/>
      <c r="T333" s="22" t="s">
        <v>3618</v>
      </c>
      <c r="U333" s="31" t="s">
        <v>3619</v>
      </c>
      <c r="V333" s="22"/>
      <c r="W333" s="45" t="s">
        <v>3636</v>
      </c>
      <c r="X333" s="45" t="s">
        <v>3637</v>
      </c>
      <c r="Y333" s="45" t="s">
        <v>3638</v>
      </c>
    </row>
    <row r="334" spans="1:25">
      <c r="A334" s="22">
        <v>333</v>
      </c>
      <c r="B334" s="31" t="s">
        <v>3620</v>
      </c>
      <c r="C334" s="22">
        <v>560</v>
      </c>
      <c r="D334" s="22" t="s">
        <v>496</v>
      </c>
      <c r="E334" s="22" t="s">
        <v>506</v>
      </c>
      <c r="F334" s="31" t="s">
        <v>3622</v>
      </c>
      <c r="G334" s="22" t="s">
        <v>756</v>
      </c>
      <c r="H334" s="31" t="s">
        <v>3538</v>
      </c>
      <c r="I334" s="35" t="s">
        <v>1003</v>
      </c>
      <c r="J334" s="22" t="s">
        <v>3627</v>
      </c>
      <c r="K334" s="33" t="s">
        <v>39</v>
      </c>
      <c r="L334" s="33" t="s">
        <v>785</v>
      </c>
      <c r="M334" s="22">
        <v>1954</v>
      </c>
      <c r="N334" s="22">
        <v>1960</v>
      </c>
      <c r="O334" s="22"/>
      <c r="P334" s="22"/>
      <c r="Q334" s="22"/>
      <c r="R334" s="22"/>
      <c r="S334" s="22"/>
      <c r="T334" s="22" t="s">
        <v>3628</v>
      </c>
      <c r="U334" s="31"/>
      <c r="V334" s="22"/>
      <c r="W334" s="45" t="s">
        <v>3639</v>
      </c>
      <c r="X334" s="45" t="s">
        <v>3640</v>
      </c>
      <c r="Y334" s="22"/>
    </row>
    <row r="335" spans="1:25" ht="28.5">
      <c r="A335" s="22">
        <v>334</v>
      </c>
      <c r="B335" s="22" t="s">
        <v>3621</v>
      </c>
      <c r="C335" s="22">
        <v>567</v>
      </c>
      <c r="D335" s="22" t="s">
        <v>496</v>
      </c>
      <c r="E335" s="22" t="s">
        <v>506</v>
      </c>
      <c r="F335" s="31" t="s">
        <v>3623</v>
      </c>
      <c r="G335" s="22" t="s">
        <v>756</v>
      </c>
      <c r="H335" s="31" t="s">
        <v>3624</v>
      </c>
      <c r="I335" s="35" t="s">
        <v>1003</v>
      </c>
      <c r="J335" s="22" t="s">
        <v>3632</v>
      </c>
      <c r="K335" s="33" t="s">
        <v>39</v>
      </c>
      <c r="L335" s="33" t="s">
        <v>782</v>
      </c>
      <c r="M335" s="22">
        <v>1960</v>
      </c>
      <c r="N335" s="22">
        <v>1965</v>
      </c>
      <c r="O335" s="22" t="s">
        <v>1190</v>
      </c>
      <c r="P335" s="22"/>
      <c r="Q335" s="22"/>
      <c r="R335" s="22"/>
      <c r="S335" s="22" t="s">
        <v>3634</v>
      </c>
      <c r="T335" s="22" t="s">
        <v>3628</v>
      </c>
      <c r="U335" s="31"/>
      <c r="V335" s="22"/>
      <c r="W335" s="45" t="s">
        <v>3722</v>
      </c>
      <c r="X335" s="45" t="s">
        <v>3723</v>
      </c>
      <c r="Y335" s="22"/>
    </row>
    <row r="336" spans="1:25" ht="28.5">
      <c r="A336" s="22">
        <v>335</v>
      </c>
      <c r="B336" s="32" t="s">
        <v>3645</v>
      </c>
      <c r="C336" s="22">
        <v>566</v>
      </c>
      <c r="D336" s="22" t="s">
        <v>496</v>
      </c>
      <c r="E336" s="22" t="s">
        <v>512</v>
      </c>
      <c r="F336" s="31" t="s">
        <v>3625</v>
      </c>
      <c r="G336" s="22" t="s">
        <v>756</v>
      </c>
      <c r="H336" s="31" t="s">
        <v>3626</v>
      </c>
      <c r="I336" s="35" t="s">
        <v>1848</v>
      </c>
      <c r="J336" s="22" t="s">
        <v>3633</v>
      </c>
      <c r="K336" s="33" t="s">
        <v>39</v>
      </c>
      <c r="L336" s="33" t="s">
        <v>782</v>
      </c>
      <c r="M336" s="22">
        <v>1960</v>
      </c>
      <c r="N336" s="22">
        <v>1965</v>
      </c>
      <c r="O336" s="22"/>
      <c r="P336" s="22"/>
      <c r="Q336" s="22"/>
      <c r="R336" s="22"/>
      <c r="S336" s="31" t="s">
        <v>3635</v>
      </c>
      <c r="T336" s="22" t="s">
        <v>3629</v>
      </c>
      <c r="U336" s="31" t="s">
        <v>3630</v>
      </c>
      <c r="V336" s="22"/>
      <c r="W336" s="45" t="s">
        <v>3641</v>
      </c>
      <c r="X336" s="45" t="s">
        <v>3642</v>
      </c>
    </row>
    <row r="337" spans="1:25" ht="28.5">
      <c r="A337" s="22">
        <v>336</v>
      </c>
      <c r="B337" s="22" t="s">
        <v>3621</v>
      </c>
      <c r="C337" s="22">
        <v>15</v>
      </c>
      <c r="D337" s="22" t="s">
        <v>496</v>
      </c>
      <c r="E337" s="22" t="s">
        <v>506</v>
      </c>
      <c r="F337" s="31" t="s">
        <v>3921</v>
      </c>
      <c r="G337" s="22" t="s">
        <v>756</v>
      </c>
      <c r="H337" s="31" t="s">
        <v>3624</v>
      </c>
      <c r="I337" s="35" t="s">
        <v>1848</v>
      </c>
      <c r="J337" s="22" t="s">
        <v>3647</v>
      </c>
      <c r="K337" s="33" t="s">
        <v>51</v>
      </c>
      <c r="L337" s="33" t="s">
        <v>782</v>
      </c>
      <c r="M337" s="22">
        <v>1950</v>
      </c>
      <c r="N337" s="22">
        <v>1955</v>
      </c>
      <c r="O337" s="22"/>
      <c r="P337" s="22"/>
      <c r="Q337" s="22"/>
      <c r="R337" s="22"/>
      <c r="S337" s="22" t="s">
        <v>939</v>
      </c>
      <c r="T337" s="22" t="s">
        <v>3650</v>
      </c>
      <c r="U337" s="31" t="s">
        <v>3649</v>
      </c>
      <c r="V337" s="22" t="s">
        <v>3648</v>
      </c>
      <c r="W337" s="45" t="s">
        <v>3651</v>
      </c>
      <c r="X337" s="45" t="s">
        <v>3652</v>
      </c>
    </row>
    <row r="338" spans="1:25" ht="42.75">
      <c r="A338" s="22">
        <v>337</v>
      </c>
      <c r="B338" s="31" t="s">
        <v>3653</v>
      </c>
      <c r="C338" s="22">
        <v>5049</v>
      </c>
      <c r="D338" s="22" t="s">
        <v>496</v>
      </c>
      <c r="E338" s="22" t="s">
        <v>506</v>
      </c>
      <c r="F338" s="31" t="s">
        <v>3654</v>
      </c>
      <c r="G338" s="22" t="s">
        <v>756</v>
      </c>
      <c r="H338" s="31" t="s">
        <v>3686</v>
      </c>
      <c r="I338" s="35" t="s">
        <v>1848</v>
      </c>
      <c r="J338" s="22" t="s">
        <v>3656</v>
      </c>
      <c r="K338" s="33" t="s">
        <v>33</v>
      </c>
      <c r="L338" s="33" t="s">
        <v>758</v>
      </c>
      <c r="M338" s="22">
        <v>1959</v>
      </c>
      <c r="N338" s="22">
        <v>1965</v>
      </c>
      <c r="O338" s="31" t="s">
        <v>3655</v>
      </c>
      <c r="P338" s="22"/>
      <c r="Q338" s="22"/>
      <c r="R338" s="22"/>
      <c r="S338" s="31" t="s">
        <v>1053</v>
      </c>
      <c r="T338" s="31" t="s">
        <v>3874</v>
      </c>
      <c r="U338" s="31" t="s">
        <v>3657</v>
      </c>
      <c r="V338" s="22"/>
      <c r="W338" s="45" t="s">
        <v>3658</v>
      </c>
      <c r="X338" s="45" t="s">
        <v>3659</v>
      </c>
    </row>
    <row r="339" spans="1:25" ht="28.5">
      <c r="A339" s="22">
        <v>338</v>
      </c>
      <c r="B339" s="22" t="s">
        <v>3660</v>
      </c>
      <c r="C339" s="22">
        <v>110735</v>
      </c>
      <c r="D339" s="22" t="s">
        <v>496</v>
      </c>
      <c r="E339" s="22" t="s">
        <v>512</v>
      </c>
      <c r="F339" s="31" t="s">
        <v>3661</v>
      </c>
      <c r="G339" s="22" t="s">
        <v>757</v>
      </c>
      <c r="H339" s="32" t="s">
        <v>3662</v>
      </c>
      <c r="I339" s="35" t="s">
        <v>1158</v>
      </c>
      <c r="J339" s="22" t="s">
        <v>3663</v>
      </c>
      <c r="K339" s="33" t="s">
        <v>127</v>
      </c>
      <c r="L339" s="33" t="s">
        <v>758</v>
      </c>
      <c r="M339" s="22">
        <v>1965</v>
      </c>
      <c r="N339" s="22">
        <v>1970</v>
      </c>
      <c r="O339" s="22"/>
      <c r="P339" s="22"/>
      <c r="Q339" s="22"/>
      <c r="R339" s="22"/>
      <c r="S339" s="22" t="s">
        <v>3574</v>
      </c>
      <c r="T339" s="22" t="s">
        <v>3664</v>
      </c>
      <c r="U339" s="31"/>
      <c r="V339" s="22"/>
      <c r="W339" s="45" t="s">
        <v>3714</v>
      </c>
      <c r="X339" s="45" t="s">
        <v>3715</v>
      </c>
      <c r="Y339" s="45" t="s">
        <v>3716</v>
      </c>
    </row>
    <row r="340" spans="1:25" ht="28.5">
      <c r="A340" s="22">
        <v>339</v>
      </c>
      <c r="B340" s="22" t="s">
        <v>3666</v>
      </c>
      <c r="C340" s="22">
        <v>3344</v>
      </c>
      <c r="D340" s="22" t="s">
        <v>496</v>
      </c>
      <c r="E340" s="22" t="s">
        <v>506</v>
      </c>
      <c r="F340" s="31" t="s">
        <v>3667</v>
      </c>
      <c r="G340" s="22" t="s">
        <v>757</v>
      </c>
      <c r="H340" s="32" t="s">
        <v>3668</v>
      </c>
      <c r="I340" s="35" t="s">
        <v>1848</v>
      </c>
      <c r="J340" s="22" t="s">
        <v>3669</v>
      </c>
      <c r="K340" s="33" t="s">
        <v>1335</v>
      </c>
      <c r="L340" s="33" t="s">
        <v>782</v>
      </c>
      <c r="M340" s="22">
        <v>1965</v>
      </c>
      <c r="N340" s="22">
        <v>1970</v>
      </c>
      <c r="O340" s="22" t="s">
        <v>785</v>
      </c>
      <c r="P340" s="22"/>
      <c r="Q340" s="22"/>
      <c r="R340" s="22"/>
      <c r="S340" s="31" t="s">
        <v>3673</v>
      </c>
      <c r="T340" s="22" t="s">
        <v>3671</v>
      </c>
      <c r="U340" s="31" t="s">
        <v>3672</v>
      </c>
      <c r="V340" s="22" t="s">
        <v>3670</v>
      </c>
      <c r="W340" s="45" t="s">
        <v>3712</v>
      </c>
      <c r="X340" s="45" t="s">
        <v>3713</v>
      </c>
    </row>
    <row r="341" spans="1:25" ht="28.5">
      <c r="A341" s="22">
        <v>340</v>
      </c>
      <c r="B341" s="38" t="s">
        <v>3674</v>
      </c>
      <c r="C341" s="22"/>
      <c r="D341" s="22" t="s">
        <v>496</v>
      </c>
      <c r="E341" s="22" t="s">
        <v>512</v>
      </c>
      <c r="F341" s="31" t="s">
        <v>3675</v>
      </c>
      <c r="G341" s="22" t="s">
        <v>757</v>
      </c>
      <c r="H341" s="32" t="s">
        <v>3676</v>
      </c>
      <c r="I341" s="35" t="s">
        <v>1848</v>
      </c>
      <c r="J341" s="22" t="s">
        <v>3677</v>
      </c>
      <c r="K341" s="33" t="s">
        <v>177</v>
      </c>
      <c r="L341" s="33" t="s">
        <v>782</v>
      </c>
      <c r="M341" s="22">
        <v>1965</v>
      </c>
      <c r="N341" s="22">
        <v>1970</v>
      </c>
      <c r="O341" s="22"/>
      <c r="P341" s="22"/>
      <c r="Q341" s="22"/>
      <c r="R341" s="22"/>
      <c r="S341" s="22"/>
      <c r="T341" s="22"/>
      <c r="U341" s="31"/>
      <c r="V341" s="22"/>
      <c r="W341" s="45" t="s">
        <v>3718</v>
      </c>
      <c r="X341" s="45" t="s">
        <v>3717</v>
      </c>
    </row>
    <row r="342" spans="1:25" ht="28.5">
      <c r="A342" s="22">
        <v>341</v>
      </c>
      <c r="B342" s="22" t="s">
        <v>3678</v>
      </c>
      <c r="C342" s="22">
        <v>201</v>
      </c>
      <c r="D342" s="22" t="s">
        <v>496</v>
      </c>
      <c r="E342" s="22" t="s">
        <v>506</v>
      </c>
      <c r="F342" s="31" t="s">
        <v>3679</v>
      </c>
      <c r="G342" s="22" t="s">
        <v>756</v>
      </c>
      <c r="H342" s="35" t="s">
        <v>3680</v>
      </c>
      <c r="I342" s="35" t="s">
        <v>1666</v>
      </c>
      <c r="J342" s="22" t="s">
        <v>3681</v>
      </c>
      <c r="K342" s="33" t="s">
        <v>138</v>
      </c>
      <c r="L342" s="33" t="s">
        <v>758</v>
      </c>
      <c r="M342" s="22">
        <v>1960</v>
      </c>
      <c r="N342" s="22">
        <v>1965</v>
      </c>
      <c r="O342" s="31" t="s">
        <v>3682</v>
      </c>
      <c r="P342" s="22"/>
      <c r="Q342" s="22"/>
      <c r="R342" s="22"/>
      <c r="S342" s="31" t="s">
        <v>3684</v>
      </c>
      <c r="T342" s="22"/>
      <c r="U342" s="31" t="s">
        <v>3683</v>
      </c>
      <c r="W342" s="45" t="s">
        <v>3711</v>
      </c>
    </row>
    <row r="343" spans="1:25" ht="114">
      <c r="A343" s="22">
        <v>342</v>
      </c>
      <c r="B343" s="22" t="s">
        <v>3685</v>
      </c>
      <c r="C343" s="22">
        <v>5350</v>
      </c>
      <c r="D343" s="22" t="s">
        <v>496</v>
      </c>
      <c r="E343" s="22" t="s">
        <v>506</v>
      </c>
      <c r="F343" s="31" t="s">
        <v>3920</v>
      </c>
      <c r="G343" s="22" t="s">
        <v>756</v>
      </c>
      <c r="H343" s="35" t="s">
        <v>3687</v>
      </c>
      <c r="I343" s="35" t="s">
        <v>3688</v>
      </c>
      <c r="J343" s="22" t="s">
        <v>3689</v>
      </c>
      <c r="K343" s="33" t="s">
        <v>33</v>
      </c>
      <c r="L343" s="33" t="s">
        <v>782</v>
      </c>
      <c r="M343" s="22">
        <v>1956</v>
      </c>
      <c r="N343" s="22">
        <v>1960</v>
      </c>
      <c r="O343" s="22"/>
      <c r="P343" s="22"/>
      <c r="Q343" s="22"/>
      <c r="R343" s="22"/>
      <c r="S343" s="22"/>
      <c r="T343" s="22" t="s">
        <v>3691</v>
      </c>
      <c r="U343" s="31" t="s">
        <v>3690</v>
      </c>
      <c r="V343" s="22"/>
      <c r="W343" s="45" t="s">
        <v>3708</v>
      </c>
      <c r="X343" s="45" t="s">
        <v>3709</v>
      </c>
      <c r="Y343" s="45" t="s">
        <v>3710</v>
      </c>
    </row>
    <row r="344" spans="1:25" ht="42.75">
      <c r="A344" s="22">
        <v>343</v>
      </c>
      <c r="B344" s="22" t="s">
        <v>3692</v>
      </c>
      <c r="C344" s="22">
        <v>1006</v>
      </c>
      <c r="D344" s="22" t="s">
        <v>496</v>
      </c>
      <c r="E344" s="22" t="s">
        <v>506</v>
      </c>
      <c r="F344" s="31" t="s">
        <v>3693</v>
      </c>
      <c r="G344" s="22" t="s">
        <v>756</v>
      </c>
      <c r="H344" s="32" t="s">
        <v>1227</v>
      </c>
      <c r="I344" s="35" t="s">
        <v>1003</v>
      </c>
      <c r="J344" s="22" t="s">
        <v>3694</v>
      </c>
      <c r="K344" s="33" t="s">
        <v>51</v>
      </c>
      <c r="L344" s="33" t="s">
        <v>785</v>
      </c>
      <c r="M344" s="22">
        <v>1965</v>
      </c>
      <c r="N344" s="22">
        <v>1970</v>
      </c>
      <c r="O344" s="22"/>
      <c r="P344" s="22"/>
      <c r="Q344" s="22"/>
      <c r="R344" s="22"/>
      <c r="S344" s="22"/>
      <c r="T344" s="22" t="s">
        <v>3696</v>
      </c>
      <c r="U344" s="95" t="s">
        <v>3695</v>
      </c>
      <c r="V344" s="22"/>
      <c r="W344" s="45" t="s">
        <v>3706</v>
      </c>
      <c r="X344" s="45" t="s">
        <v>3707</v>
      </c>
    </row>
    <row r="345" spans="1:25" ht="28.5">
      <c r="A345" s="22">
        <v>344</v>
      </c>
      <c r="B345" s="22" t="s">
        <v>3697</v>
      </c>
      <c r="C345" s="22" t="s">
        <v>3698</v>
      </c>
      <c r="D345" s="22" t="s">
        <v>496</v>
      </c>
      <c r="E345" s="22" t="s">
        <v>506</v>
      </c>
      <c r="F345" s="31" t="s">
        <v>3699</v>
      </c>
      <c r="G345" s="22" t="s">
        <v>755</v>
      </c>
      <c r="H345" s="35" t="s">
        <v>3700</v>
      </c>
      <c r="I345" s="35" t="s">
        <v>1003</v>
      </c>
      <c r="J345" s="22" t="s">
        <v>3701</v>
      </c>
      <c r="K345" s="33"/>
      <c r="L345" s="33" t="s">
        <v>758</v>
      </c>
      <c r="M345" s="22">
        <v>1980</v>
      </c>
      <c r="N345" s="22">
        <v>2020</v>
      </c>
      <c r="O345" s="22"/>
      <c r="P345" s="22"/>
      <c r="Q345" s="22"/>
      <c r="R345" s="22"/>
      <c r="S345" s="22" t="s">
        <v>3181</v>
      </c>
      <c r="T345" s="22" t="s">
        <v>3703</v>
      </c>
      <c r="U345" s="31" t="s">
        <v>3702</v>
      </c>
      <c r="W345" s="45" t="s">
        <v>3704</v>
      </c>
      <c r="X345" s="45" t="s">
        <v>3705</v>
      </c>
    </row>
    <row r="346" spans="1:25" ht="85.5">
      <c r="A346" s="22">
        <v>345</v>
      </c>
      <c r="B346" s="22" t="s">
        <v>3728</v>
      </c>
      <c r="C346" s="22">
        <v>3304</v>
      </c>
      <c r="D346" s="22" t="s">
        <v>495</v>
      </c>
      <c r="E346" s="22" t="s">
        <v>516</v>
      </c>
      <c r="F346" s="31" t="s">
        <v>3919</v>
      </c>
      <c r="G346" s="22" t="s">
        <v>757</v>
      </c>
      <c r="H346" s="32" t="s">
        <v>3730</v>
      </c>
      <c r="I346" s="35" t="s">
        <v>1848</v>
      </c>
      <c r="J346" s="22" t="s">
        <v>3727</v>
      </c>
      <c r="K346" s="33" t="s">
        <v>91</v>
      </c>
      <c r="L346" s="33" t="s">
        <v>785</v>
      </c>
      <c r="M346" s="22">
        <v>1964</v>
      </c>
      <c r="N346" s="22">
        <v>1972</v>
      </c>
      <c r="O346" s="22"/>
      <c r="P346" s="22"/>
      <c r="Q346" s="22"/>
      <c r="R346" s="22"/>
      <c r="S346" s="31" t="s">
        <v>3731</v>
      </c>
      <c r="T346" s="31" t="s">
        <v>3760</v>
      </c>
      <c r="U346" s="31" t="s">
        <v>3759</v>
      </c>
      <c r="V346" s="31" t="s">
        <v>3729</v>
      </c>
      <c r="W346" s="45" t="s">
        <v>3732</v>
      </c>
      <c r="X346" s="45" t="s">
        <v>3733</v>
      </c>
      <c r="Y346" s="45" t="s">
        <v>3734</v>
      </c>
    </row>
    <row r="347" spans="1:25" ht="42.75">
      <c r="A347" s="22">
        <v>346</v>
      </c>
      <c r="B347" s="31" t="s">
        <v>3735</v>
      </c>
      <c r="C347" s="22">
        <v>3841</v>
      </c>
      <c r="D347" s="22" t="s">
        <v>495</v>
      </c>
      <c r="E347" s="22" t="s">
        <v>516</v>
      </c>
      <c r="F347" s="31" t="s">
        <v>3918</v>
      </c>
      <c r="G347" s="22" t="s">
        <v>757</v>
      </c>
      <c r="H347" s="32" t="s">
        <v>3737</v>
      </c>
      <c r="I347" s="35" t="s">
        <v>3736</v>
      </c>
      <c r="J347" s="22" t="s">
        <v>3746</v>
      </c>
      <c r="K347" s="33" t="s">
        <v>91</v>
      </c>
      <c r="L347" s="33" t="s">
        <v>785</v>
      </c>
      <c r="M347" s="22">
        <v>1970</v>
      </c>
      <c r="N347" s="22">
        <v>1974</v>
      </c>
      <c r="O347" s="22"/>
      <c r="P347" s="22"/>
      <c r="Q347" s="22"/>
      <c r="R347" s="22"/>
      <c r="S347" s="31" t="s">
        <v>3739</v>
      </c>
      <c r="T347" s="31" t="s">
        <v>3761</v>
      </c>
      <c r="U347" s="31" t="s">
        <v>3738</v>
      </c>
      <c r="W347" s="45" t="s">
        <v>3740</v>
      </c>
      <c r="X347" s="45" t="s">
        <v>3741</v>
      </c>
    </row>
    <row r="348" spans="1:25" ht="57">
      <c r="A348" s="22">
        <v>347</v>
      </c>
      <c r="B348" s="22" t="s">
        <v>3744</v>
      </c>
      <c r="C348" s="22"/>
      <c r="D348" s="22" t="s">
        <v>495</v>
      </c>
      <c r="E348" s="22" t="s">
        <v>516</v>
      </c>
      <c r="F348" s="31" t="s">
        <v>3750</v>
      </c>
      <c r="G348" s="22" t="s">
        <v>757</v>
      </c>
      <c r="H348" s="65" t="s">
        <v>3751</v>
      </c>
      <c r="I348" s="35" t="s">
        <v>1848</v>
      </c>
      <c r="J348" s="22" t="s">
        <v>3747</v>
      </c>
      <c r="K348" s="33" t="s">
        <v>174</v>
      </c>
      <c r="L348" s="33" t="s">
        <v>1024</v>
      </c>
      <c r="M348" s="22">
        <v>1969</v>
      </c>
      <c r="N348" s="22">
        <v>1975</v>
      </c>
      <c r="O348" s="22"/>
      <c r="P348" s="22"/>
      <c r="Q348" s="22"/>
      <c r="R348" s="22"/>
      <c r="S348" s="22" t="s">
        <v>901</v>
      </c>
      <c r="T348" s="22" t="s">
        <v>3763</v>
      </c>
      <c r="U348" s="31" t="s">
        <v>3762</v>
      </c>
      <c r="V348" s="31" t="s">
        <v>3745</v>
      </c>
      <c r="W348" s="45" t="s">
        <v>3748</v>
      </c>
      <c r="X348" s="45" t="s">
        <v>3749</v>
      </c>
      <c r="Y348" s="22"/>
    </row>
    <row r="349" spans="1:25" ht="28.5">
      <c r="A349" s="22">
        <v>348</v>
      </c>
      <c r="B349" s="22" t="s">
        <v>3752</v>
      </c>
      <c r="C349" s="22">
        <v>3791</v>
      </c>
      <c r="D349" s="22" t="s">
        <v>495</v>
      </c>
      <c r="E349" s="22" t="s">
        <v>516</v>
      </c>
      <c r="F349" s="31" t="s">
        <v>3917</v>
      </c>
      <c r="G349" s="22" t="s">
        <v>757</v>
      </c>
      <c r="H349" s="65" t="s">
        <v>3754</v>
      </c>
      <c r="I349" s="35" t="s">
        <v>3753</v>
      </c>
      <c r="J349" s="22" t="s">
        <v>3764</v>
      </c>
      <c r="K349" s="33" t="s">
        <v>91</v>
      </c>
      <c r="L349" s="22" t="s">
        <v>758</v>
      </c>
      <c r="M349" s="22">
        <v>1970</v>
      </c>
      <c r="N349" s="22">
        <v>1972</v>
      </c>
      <c r="O349" s="22" t="s">
        <v>782</v>
      </c>
      <c r="P349" s="22"/>
      <c r="Q349" s="22"/>
      <c r="R349" s="22"/>
      <c r="S349" s="22"/>
      <c r="T349" s="22" t="s">
        <v>3755</v>
      </c>
      <c r="U349" s="31" t="s">
        <v>3756</v>
      </c>
      <c r="V349" s="22"/>
      <c r="W349" s="45" t="s">
        <v>3757</v>
      </c>
      <c r="X349" s="45" t="s">
        <v>3758</v>
      </c>
    </row>
    <row r="350" spans="1:25" ht="42.75">
      <c r="A350" s="22">
        <v>349</v>
      </c>
      <c r="B350" s="22" t="s">
        <v>3765</v>
      </c>
      <c r="C350" s="22" t="s">
        <v>3766</v>
      </c>
      <c r="D350" s="22" t="s">
        <v>495</v>
      </c>
      <c r="E350" s="22" t="s">
        <v>516</v>
      </c>
      <c r="F350" s="31" t="s">
        <v>3916</v>
      </c>
      <c r="G350" s="22" t="s">
        <v>757</v>
      </c>
      <c r="H350" s="65" t="s">
        <v>3772</v>
      </c>
      <c r="I350" s="35" t="s">
        <v>3753</v>
      </c>
      <c r="J350" s="22" t="s">
        <v>3767</v>
      </c>
      <c r="K350" s="33"/>
      <c r="L350" s="33" t="s">
        <v>758</v>
      </c>
      <c r="M350" s="22">
        <v>1965</v>
      </c>
      <c r="N350" s="22">
        <v>1975</v>
      </c>
      <c r="O350" s="22" t="s">
        <v>782</v>
      </c>
      <c r="P350" s="22"/>
      <c r="Q350" s="22"/>
      <c r="R350" s="22"/>
      <c r="S350" s="31" t="s">
        <v>2995</v>
      </c>
      <c r="T350" s="22"/>
      <c r="U350" s="31" t="s">
        <v>3768</v>
      </c>
      <c r="V350" s="22" t="s">
        <v>3769</v>
      </c>
      <c r="W350" s="45" t="s">
        <v>3770</v>
      </c>
      <c r="X350" s="45" t="s">
        <v>3771</v>
      </c>
    </row>
    <row r="351" spans="1:25" ht="42.75">
      <c r="A351" s="22">
        <v>350</v>
      </c>
      <c r="B351" s="22" t="s">
        <v>3773</v>
      </c>
      <c r="C351" s="22">
        <v>3784</v>
      </c>
      <c r="D351" s="22" t="s">
        <v>495</v>
      </c>
      <c r="E351" s="22" t="s">
        <v>516</v>
      </c>
      <c r="F351" s="31" t="s">
        <v>3915</v>
      </c>
      <c r="G351" s="22" t="s">
        <v>757</v>
      </c>
      <c r="H351" s="65" t="s">
        <v>3774</v>
      </c>
      <c r="I351" s="35" t="s">
        <v>1848</v>
      </c>
      <c r="J351" s="22" t="s">
        <v>3775</v>
      </c>
      <c r="K351" s="33" t="s">
        <v>91</v>
      </c>
      <c r="L351" s="33" t="s">
        <v>782</v>
      </c>
      <c r="M351" s="22">
        <v>1970</v>
      </c>
      <c r="N351" s="22">
        <v>1973</v>
      </c>
      <c r="O351" s="22"/>
      <c r="P351" s="22"/>
      <c r="Q351" s="22"/>
      <c r="R351" s="22"/>
      <c r="S351" s="31" t="s">
        <v>3777</v>
      </c>
      <c r="T351" s="31" t="s">
        <v>3776</v>
      </c>
      <c r="U351" s="31" t="s">
        <v>3793</v>
      </c>
      <c r="V351" s="22"/>
      <c r="W351" s="45" t="s">
        <v>3778</v>
      </c>
      <c r="X351" s="45" t="s">
        <v>3780</v>
      </c>
      <c r="Y351" s="45" t="s">
        <v>3779</v>
      </c>
    </row>
    <row r="352" spans="1:25" ht="42.75">
      <c r="A352" s="22">
        <v>351</v>
      </c>
      <c r="B352" s="22" t="s">
        <v>3781</v>
      </c>
      <c r="C352" s="22">
        <v>352</v>
      </c>
      <c r="D352" s="22" t="s">
        <v>494</v>
      </c>
      <c r="E352" s="22" t="s">
        <v>516</v>
      </c>
      <c r="F352" s="31" t="s">
        <v>3782</v>
      </c>
      <c r="G352" s="22" t="s">
        <v>755</v>
      </c>
      <c r="H352" s="65" t="s">
        <v>3783</v>
      </c>
      <c r="I352" s="35" t="s">
        <v>1003</v>
      </c>
      <c r="J352" s="22" t="s">
        <v>3784</v>
      </c>
      <c r="K352" s="33"/>
      <c r="L352" s="33" t="s">
        <v>758</v>
      </c>
      <c r="M352" s="22">
        <v>1995</v>
      </c>
      <c r="N352" s="22">
        <v>2020</v>
      </c>
      <c r="O352" s="22"/>
      <c r="P352" s="22">
        <v>40</v>
      </c>
      <c r="Q352" s="22">
        <v>2015</v>
      </c>
      <c r="R352" s="31" t="s">
        <v>3785</v>
      </c>
      <c r="S352" s="31" t="s">
        <v>3787</v>
      </c>
      <c r="T352" s="22" t="s">
        <v>3786</v>
      </c>
      <c r="U352" s="31" t="s">
        <v>3788</v>
      </c>
      <c r="V352" s="22" t="s">
        <v>3789</v>
      </c>
      <c r="W352" s="45" t="s">
        <v>3790</v>
      </c>
      <c r="X352" s="45" t="s">
        <v>3791</v>
      </c>
      <c r="Y352" s="22"/>
    </row>
    <row r="353" spans="1:25" ht="57">
      <c r="A353" s="22">
        <v>352</v>
      </c>
      <c r="B353" s="31" t="s">
        <v>3792</v>
      </c>
      <c r="C353" s="22">
        <v>7020</v>
      </c>
      <c r="D353" s="22" t="s">
        <v>495</v>
      </c>
      <c r="E353" s="22" t="s">
        <v>516</v>
      </c>
      <c r="F353" s="31" t="s">
        <v>3794</v>
      </c>
      <c r="G353" s="22" t="s">
        <v>757</v>
      </c>
      <c r="H353" s="65" t="s">
        <v>3800</v>
      </c>
      <c r="I353" s="35" t="s">
        <v>1848</v>
      </c>
      <c r="J353" s="22" t="s">
        <v>3799</v>
      </c>
      <c r="K353" s="33" t="s">
        <v>3796</v>
      </c>
      <c r="L353" s="33" t="s">
        <v>758</v>
      </c>
      <c r="M353" s="22">
        <v>1969</v>
      </c>
      <c r="N353" s="22">
        <v>1975</v>
      </c>
      <c r="O353" s="22" t="s">
        <v>782</v>
      </c>
      <c r="P353" s="22"/>
      <c r="Q353" s="22"/>
      <c r="R353" s="22"/>
      <c r="S353" s="31" t="s">
        <v>3803</v>
      </c>
      <c r="T353" s="31" t="s">
        <v>3802</v>
      </c>
      <c r="U353" s="31" t="s">
        <v>3801</v>
      </c>
      <c r="V353" s="22"/>
      <c r="W353" s="45" t="s">
        <v>3804</v>
      </c>
      <c r="X353" s="45" t="s">
        <v>3805</v>
      </c>
    </row>
    <row r="354" spans="1:25" ht="28.5">
      <c r="A354" s="22">
        <v>353</v>
      </c>
      <c r="B354" s="22" t="s">
        <v>3807</v>
      </c>
      <c r="C354" s="22"/>
      <c r="D354" s="22" t="s">
        <v>494</v>
      </c>
      <c r="E354" s="22" t="s">
        <v>516</v>
      </c>
      <c r="F354" s="31" t="s">
        <v>3808</v>
      </c>
      <c r="G354" s="22" t="s">
        <v>757</v>
      </c>
      <c r="H354" s="65" t="s">
        <v>3809</v>
      </c>
      <c r="I354" s="35" t="s">
        <v>1848</v>
      </c>
      <c r="J354" s="22" t="s">
        <v>3810</v>
      </c>
      <c r="K354" s="33" t="s">
        <v>174</v>
      </c>
      <c r="L354" s="33" t="s">
        <v>782</v>
      </c>
      <c r="M354" s="22">
        <v>1965</v>
      </c>
      <c r="N354" s="22">
        <v>1970</v>
      </c>
      <c r="O354" s="22" t="s">
        <v>3815</v>
      </c>
      <c r="P354" s="22"/>
      <c r="Q354" s="22"/>
      <c r="R354" s="22"/>
      <c r="S354" s="31" t="s">
        <v>1260</v>
      </c>
      <c r="T354" s="22" t="s">
        <v>3811</v>
      </c>
      <c r="U354" s="31" t="s">
        <v>3812</v>
      </c>
      <c r="V354" s="31" t="s">
        <v>3806</v>
      </c>
      <c r="W354" s="45" t="s">
        <v>3813</v>
      </c>
      <c r="X354" s="45" t="s">
        <v>3814</v>
      </c>
    </row>
    <row r="355" spans="1:25" ht="57">
      <c r="A355" s="22">
        <v>354</v>
      </c>
      <c r="B355" s="22" t="s">
        <v>3816</v>
      </c>
      <c r="C355" s="22"/>
      <c r="D355" s="22" t="s">
        <v>495</v>
      </c>
      <c r="E355" s="22" t="s">
        <v>516</v>
      </c>
      <c r="F355" s="31" t="s">
        <v>3817</v>
      </c>
      <c r="G355" s="22" t="s">
        <v>757</v>
      </c>
      <c r="H355" s="65" t="s">
        <v>3818</v>
      </c>
      <c r="I355" s="35" t="s">
        <v>1848</v>
      </c>
      <c r="J355" s="22" t="s">
        <v>3819</v>
      </c>
      <c r="K355" s="33" t="s">
        <v>150</v>
      </c>
      <c r="L355" s="33" t="s">
        <v>758</v>
      </c>
      <c r="M355" s="22">
        <v>1964</v>
      </c>
      <c r="N355" s="22">
        <v>1970</v>
      </c>
      <c r="O355" s="22" t="s">
        <v>758</v>
      </c>
      <c r="P355" s="22"/>
      <c r="Q355" s="22"/>
      <c r="R355" s="22"/>
      <c r="S355" s="31" t="s">
        <v>3826</v>
      </c>
      <c r="T355" s="31" t="s">
        <v>3820</v>
      </c>
      <c r="U355" s="31" t="s">
        <v>3825</v>
      </c>
      <c r="V355" s="22"/>
      <c r="W355" s="45" t="s">
        <v>3821</v>
      </c>
      <c r="X355" s="45" t="s">
        <v>3822</v>
      </c>
      <c r="Y355" s="45" t="s">
        <v>3823</v>
      </c>
    </row>
    <row r="356" spans="1:25" ht="42.75">
      <c r="A356" s="22">
        <v>355</v>
      </c>
      <c r="B356" s="22" t="s">
        <v>3824</v>
      </c>
      <c r="C356" s="22"/>
      <c r="D356" s="22" t="s">
        <v>495</v>
      </c>
      <c r="E356" s="22" t="s">
        <v>516</v>
      </c>
      <c r="F356" s="31" t="s">
        <v>3827</v>
      </c>
      <c r="G356" s="22" t="s">
        <v>757</v>
      </c>
      <c r="H356" s="32" t="s">
        <v>3828</v>
      </c>
      <c r="I356" s="35" t="s">
        <v>1848</v>
      </c>
      <c r="J356" s="22" t="s">
        <v>3829</v>
      </c>
      <c r="K356" s="33" t="s">
        <v>150</v>
      </c>
      <c r="L356" s="33" t="s">
        <v>782</v>
      </c>
      <c r="M356" s="22">
        <v>1968</v>
      </c>
      <c r="N356" s="22">
        <v>1975</v>
      </c>
      <c r="O356" s="22" t="s">
        <v>782</v>
      </c>
      <c r="P356" s="22">
        <v>15</v>
      </c>
      <c r="Q356" s="22">
        <v>1985</v>
      </c>
      <c r="R356" s="31" t="s">
        <v>3830</v>
      </c>
      <c r="S356" s="31" t="s">
        <v>3514</v>
      </c>
      <c r="T356" s="22" t="s">
        <v>3833</v>
      </c>
      <c r="U356" s="31" t="s">
        <v>3832</v>
      </c>
      <c r="V356" s="31" t="s">
        <v>3831</v>
      </c>
      <c r="W356" s="45" t="s">
        <v>3834</v>
      </c>
      <c r="X356" s="45" t="s">
        <v>3835</v>
      </c>
      <c r="Y356" s="45" t="s">
        <v>3836</v>
      </c>
    </row>
    <row r="357" spans="1:25" ht="42.75">
      <c r="A357" s="22">
        <v>356</v>
      </c>
      <c r="B357" s="22" t="s">
        <v>3837</v>
      </c>
      <c r="C357" s="22">
        <v>3560</v>
      </c>
      <c r="D357" s="22" t="s">
        <v>495</v>
      </c>
      <c r="E357" s="22" t="s">
        <v>516</v>
      </c>
      <c r="F357" s="31" t="s">
        <v>3914</v>
      </c>
      <c r="G357" s="22" t="s">
        <v>757</v>
      </c>
      <c r="H357" s="65" t="s">
        <v>3838</v>
      </c>
      <c r="I357" s="35" t="s">
        <v>1666</v>
      </c>
      <c r="J357" s="22" t="s">
        <v>3839</v>
      </c>
      <c r="K357" s="33" t="s">
        <v>51</v>
      </c>
      <c r="L357" s="33" t="s">
        <v>758</v>
      </c>
      <c r="M357" s="22">
        <v>1969</v>
      </c>
      <c r="N357" s="22">
        <v>1975</v>
      </c>
      <c r="O357" s="22" t="s">
        <v>758</v>
      </c>
      <c r="P357" s="22"/>
      <c r="Q357" s="22"/>
      <c r="R357" s="22"/>
      <c r="S357" s="31" t="s">
        <v>1181</v>
      </c>
      <c r="T357" s="31" t="s">
        <v>3842</v>
      </c>
      <c r="U357" s="31"/>
      <c r="V357" s="22"/>
      <c r="W357" s="45" t="s">
        <v>3843</v>
      </c>
      <c r="X357" s="45" t="s">
        <v>3844</v>
      </c>
    </row>
    <row r="358" spans="1:25" ht="71.25">
      <c r="A358" s="22">
        <v>357</v>
      </c>
      <c r="B358" s="22" t="s">
        <v>3847</v>
      </c>
      <c r="C358" s="22">
        <v>3580</v>
      </c>
      <c r="D358" s="22" t="s">
        <v>495</v>
      </c>
      <c r="E358" s="22" t="s">
        <v>516</v>
      </c>
      <c r="F358" s="31" t="s">
        <v>3913</v>
      </c>
      <c r="G358" s="22" t="s">
        <v>757</v>
      </c>
      <c r="H358" s="65" t="s">
        <v>3845</v>
      </c>
      <c r="I358" s="35" t="s">
        <v>1666</v>
      </c>
      <c r="J358" s="22" t="s">
        <v>3846</v>
      </c>
      <c r="K358" s="33" t="s">
        <v>51</v>
      </c>
      <c r="L358" s="33" t="s">
        <v>782</v>
      </c>
      <c r="M358" s="22">
        <v>1969</v>
      </c>
      <c r="N358" s="22">
        <v>1975</v>
      </c>
      <c r="O358" s="22"/>
      <c r="P358" s="22"/>
      <c r="Q358" s="22"/>
      <c r="R358" s="22"/>
      <c r="S358" s="31" t="s">
        <v>2995</v>
      </c>
      <c r="T358" s="22" t="s">
        <v>3842</v>
      </c>
      <c r="U358" s="31"/>
      <c r="V358" s="22"/>
      <c r="W358" s="45" t="s">
        <v>3848</v>
      </c>
      <c r="X358" s="45" t="s">
        <v>3849</v>
      </c>
    </row>
    <row r="359" spans="1:25" ht="42.75">
      <c r="A359" s="22">
        <v>358</v>
      </c>
      <c r="B359" s="31" t="s">
        <v>3850</v>
      </c>
      <c r="C359" s="22"/>
      <c r="D359" s="22" t="s">
        <v>495</v>
      </c>
      <c r="E359" s="22" t="s">
        <v>516</v>
      </c>
      <c r="F359" s="31" t="s">
        <v>3851</v>
      </c>
      <c r="G359" s="22" t="s">
        <v>757</v>
      </c>
      <c r="H359" s="65" t="s">
        <v>3858</v>
      </c>
      <c r="I359" s="35" t="s">
        <v>1848</v>
      </c>
      <c r="J359" s="22" t="s">
        <v>3852</v>
      </c>
      <c r="K359" s="33" t="s">
        <v>175</v>
      </c>
      <c r="L359" s="33" t="s">
        <v>758</v>
      </c>
      <c r="M359" s="22">
        <v>1970</v>
      </c>
      <c r="N359" s="22">
        <v>1975</v>
      </c>
      <c r="O359" s="22" t="s">
        <v>782</v>
      </c>
      <c r="P359" s="22"/>
      <c r="Q359" s="22"/>
      <c r="R359" s="22"/>
      <c r="S359" s="22"/>
      <c r="T359" s="31" t="s">
        <v>3854</v>
      </c>
      <c r="U359" s="31" t="s">
        <v>3853</v>
      </c>
      <c r="V359" s="22"/>
      <c r="W359" s="45" t="s">
        <v>3855</v>
      </c>
      <c r="X359" s="45" t="s">
        <v>3856</v>
      </c>
    </row>
    <row r="360" spans="1:25" ht="42.75">
      <c r="A360" s="22">
        <v>359</v>
      </c>
      <c r="B360" s="22" t="s">
        <v>3857</v>
      </c>
      <c r="C360" s="22"/>
      <c r="D360" s="22" t="s">
        <v>495</v>
      </c>
      <c r="E360" s="22" t="s">
        <v>516</v>
      </c>
      <c r="F360" s="31" t="s">
        <v>3912</v>
      </c>
      <c r="G360" s="22" t="s">
        <v>757</v>
      </c>
      <c r="H360" s="65" t="s">
        <v>3859</v>
      </c>
      <c r="I360" s="35" t="s">
        <v>1848</v>
      </c>
      <c r="J360" s="22" t="s">
        <v>3860</v>
      </c>
      <c r="K360" s="33" t="s">
        <v>127</v>
      </c>
      <c r="L360" s="33" t="s">
        <v>782</v>
      </c>
      <c r="M360" s="22">
        <v>1962</v>
      </c>
      <c r="N360" s="22">
        <v>1965</v>
      </c>
      <c r="O360" s="22"/>
      <c r="P360" s="22"/>
      <c r="Q360" s="22"/>
      <c r="R360" s="22"/>
      <c r="S360" s="31" t="s">
        <v>3863</v>
      </c>
      <c r="T360" s="22" t="s">
        <v>3861</v>
      </c>
      <c r="U360" s="31" t="s">
        <v>3862</v>
      </c>
      <c r="V360" s="22"/>
      <c r="W360" s="45" t="s">
        <v>3864</v>
      </c>
      <c r="X360" s="45" t="s">
        <v>3865</v>
      </c>
    </row>
    <row r="361" spans="1:25" ht="42.75">
      <c r="A361" s="22">
        <v>360</v>
      </c>
      <c r="B361" s="31" t="s">
        <v>3866</v>
      </c>
      <c r="C361" s="31" t="s">
        <v>3867</v>
      </c>
      <c r="D361" s="22" t="s">
        <v>495</v>
      </c>
      <c r="E361" s="22" t="s">
        <v>516</v>
      </c>
      <c r="F361" s="31" t="s">
        <v>3868</v>
      </c>
      <c r="G361" s="22" t="s">
        <v>756</v>
      </c>
      <c r="H361" s="57" t="s">
        <v>3869</v>
      </c>
      <c r="I361" s="35" t="s">
        <v>3870</v>
      </c>
      <c r="J361" s="22" t="s">
        <v>3871</v>
      </c>
      <c r="K361" s="33" t="s">
        <v>33</v>
      </c>
      <c r="L361" s="33" t="s">
        <v>758</v>
      </c>
      <c r="M361" s="22">
        <v>1957</v>
      </c>
      <c r="N361" s="22">
        <v>1965</v>
      </c>
      <c r="O361" s="31" t="s">
        <v>3682</v>
      </c>
      <c r="P361" s="22"/>
      <c r="Q361" s="22"/>
      <c r="R361" s="22"/>
      <c r="S361" s="31" t="s">
        <v>986</v>
      </c>
      <c r="T361" s="31" t="s">
        <v>3873</v>
      </c>
      <c r="U361" s="31" t="s">
        <v>3872</v>
      </c>
      <c r="V361" s="22"/>
      <c r="W361" s="45" t="s">
        <v>3875</v>
      </c>
      <c r="X361" s="45" t="s">
        <v>3876</v>
      </c>
    </row>
    <row r="362" spans="1:25" ht="42.75">
      <c r="A362" s="22">
        <v>361</v>
      </c>
      <c r="B362" s="22" t="s">
        <v>3877</v>
      </c>
      <c r="C362" s="22"/>
      <c r="D362" s="22" t="s">
        <v>494</v>
      </c>
      <c r="E362" s="22" t="s">
        <v>516</v>
      </c>
      <c r="F362" s="31" t="s">
        <v>3911</v>
      </c>
      <c r="G362" s="22" t="s">
        <v>755</v>
      </c>
      <c r="H362" s="57" t="s">
        <v>3908</v>
      </c>
      <c r="I362" s="35" t="s">
        <v>1003</v>
      </c>
      <c r="J362" s="22" t="s">
        <v>3881</v>
      </c>
      <c r="K362" s="33" t="s">
        <v>178</v>
      </c>
      <c r="L362" s="33" t="s">
        <v>758</v>
      </c>
      <c r="M362" s="22">
        <v>1960</v>
      </c>
      <c r="N362" s="22">
        <v>1964</v>
      </c>
      <c r="O362" s="22" t="s">
        <v>758</v>
      </c>
      <c r="P362" s="22"/>
      <c r="Q362" s="22"/>
      <c r="R362" s="22"/>
      <c r="S362" s="31" t="s">
        <v>3882</v>
      </c>
      <c r="T362" s="22" t="s">
        <v>4623</v>
      </c>
      <c r="U362" s="31" t="s">
        <v>3878</v>
      </c>
      <c r="V362" s="22"/>
      <c r="W362" s="45" t="s">
        <v>3883</v>
      </c>
      <c r="X362" s="45" t="s">
        <v>3884</v>
      </c>
      <c r="Y362" s="45" t="s">
        <v>3885</v>
      </c>
    </row>
    <row r="363" spans="1:25" ht="28.5">
      <c r="A363" s="22">
        <v>362</v>
      </c>
      <c r="B363" s="22" t="s">
        <v>3886</v>
      </c>
      <c r="C363" s="22">
        <v>3386</v>
      </c>
      <c r="D363" s="22" t="s">
        <v>495</v>
      </c>
      <c r="E363" s="22" t="s">
        <v>516</v>
      </c>
      <c r="F363" s="31" t="s">
        <v>3890</v>
      </c>
      <c r="G363" s="22" t="s">
        <v>757</v>
      </c>
      <c r="H363" s="65" t="s">
        <v>3887</v>
      </c>
      <c r="I363" s="35" t="s">
        <v>1848</v>
      </c>
      <c r="J363" s="22" t="s">
        <v>3888</v>
      </c>
      <c r="K363" s="33" t="s">
        <v>91</v>
      </c>
      <c r="L363" s="33" t="s">
        <v>758</v>
      </c>
      <c r="M363" s="22">
        <v>1966</v>
      </c>
      <c r="N363" s="22">
        <v>1967</v>
      </c>
      <c r="O363" s="22"/>
      <c r="P363" s="22"/>
      <c r="Q363" s="22"/>
      <c r="R363" s="22"/>
      <c r="S363" s="22" t="s">
        <v>1241</v>
      </c>
      <c r="T363" s="31" t="s">
        <v>4023</v>
      </c>
      <c r="U363" s="31" t="s">
        <v>4024</v>
      </c>
      <c r="V363" s="22"/>
      <c r="W363" s="45" t="s">
        <v>3893</v>
      </c>
      <c r="X363" s="45" t="s">
        <v>3894</v>
      </c>
    </row>
    <row r="364" spans="1:25" ht="42.75">
      <c r="A364" s="22">
        <v>363</v>
      </c>
      <c r="B364" s="22" t="s">
        <v>3889</v>
      </c>
      <c r="C364" s="22">
        <v>3441</v>
      </c>
      <c r="D364" s="22" t="s">
        <v>495</v>
      </c>
      <c r="E364" s="22" t="s">
        <v>516</v>
      </c>
      <c r="F364" s="31" t="s">
        <v>3891</v>
      </c>
      <c r="G364" s="22" t="s">
        <v>757</v>
      </c>
      <c r="H364" s="65" t="s">
        <v>3900</v>
      </c>
      <c r="I364" s="35" t="s">
        <v>1848</v>
      </c>
      <c r="J364" s="22" t="s">
        <v>3892</v>
      </c>
      <c r="K364" s="33" t="s">
        <v>91</v>
      </c>
      <c r="L364" s="33" t="s">
        <v>758</v>
      </c>
      <c r="M364" s="22">
        <v>1966</v>
      </c>
      <c r="N364" s="22">
        <v>1970</v>
      </c>
      <c r="O364" s="22"/>
      <c r="P364" s="22"/>
      <c r="Q364" s="22"/>
      <c r="R364" s="22"/>
      <c r="S364" s="22" t="s">
        <v>3863</v>
      </c>
      <c r="T364" s="31" t="s">
        <v>4053</v>
      </c>
      <c r="U364" s="31" t="s">
        <v>4025</v>
      </c>
      <c r="V364" s="22"/>
      <c r="W364" s="45" t="s">
        <v>3895</v>
      </c>
      <c r="X364" s="45" t="s">
        <v>3896</v>
      </c>
    </row>
    <row r="365" spans="1:25" ht="42.75">
      <c r="A365" s="22">
        <v>364</v>
      </c>
      <c r="B365" s="22" t="s">
        <v>3897</v>
      </c>
      <c r="C365" s="22">
        <v>9940</v>
      </c>
      <c r="D365" s="22" t="s">
        <v>495</v>
      </c>
      <c r="E365" s="22" t="s">
        <v>516</v>
      </c>
      <c r="F365" s="31" t="s">
        <v>3910</v>
      </c>
      <c r="G365" s="22" t="s">
        <v>757</v>
      </c>
      <c r="H365" s="32" t="s">
        <v>3901</v>
      </c>
      <c r="I365" s="35" t="s">
        <v>1848</v>
      </c>
      <c r="J365" s="22" t="s">
        <v>3899</v>
      </c>
      <c r="K365" s="33" t="s">
        <v>51</v>
      </c>
      <c r="L365" s="33" t="s">
        <v>758</v>
      </c>
      <c r="M365" s="22">
        <v>1965</v>
      </c>
      <c r="N365" s="22">
        <v>1970</v>
      </c>
      <c r="S365" s="31" t="s">
        <v>1053</v>
      </c>
      <c r="T365" s="31" t="s">
        <v>3898</v>
      </c>
      <c r="U365" s="31"/>
      <c r="V365" s="22"/>
      <c r="W365" s="45" t="s">
        <v>3903</v>
      </c>
      <c r="X365" s="45" t="s">
        <v>3904</v>
      </c>
      <c r="Y365" s="45" t="s">
        <v>3905</v>
      </c>
    </row>
    <row r="366" spans="1:25" ht="42.75">
      <c r="A366" s="22">
        <v>365</v>
      </c>
      <c r="B366" s="22" t="s">
        <v>3897</v>
      </c>
      <c r="C366" s="22">
        <v>9945</v>
      </c>
      <c r="D366" s="22" t="s">
        <v>495</v>
      </c>
      <c r="E366" s="22" t="s">
        <v>516</v>
      </c>
      <c r="F366" s="31" t="s">
        <v>3909</v>
      </c>
      <c r="G366" s="22" t="s">
        <v>757</v>
      </c>
      <c r="H366" s="32" t="s">
        <v>3902</v>
      </c>
      <c r="I366" s="35" t="s">
        <v>1848</v>
      </c>
      <c r="J366" s="22" t="s">
        <v>3899</v>
      </c>
      <c r="K366" s="33" t="s">
        <v>51</v>
      </c>
      <c r="L366" s="33" t="s">
        <v>758</v>
      </c>
      <c r="M366" s="22">
        <v>1965</v>
      </c>
      <c r="N366" s="22">
        <v>1970</v>
      </c>
      <c r="S366" s="31" t="s">
        <v>1365</v>
      </c>
      <c r="T366" s="22" t="s">
        <v>3898</v>
      </c>
      <c r="U366" s="31"/>
      <c r="V366" s="22"/>
      <c r="W366" s="45" t="s">
        <v>3906</v>
      </c>
      <c r="X366" s="45" t="s">
        <v>3907</v>
      </c>
      <c r="Y366" s="22"/>
    </row>
    <row r="367" spans="1:25" ht="42.75">
      <c r="A367" s="22">
        <v>366</v>
      </c>
      <c r="B367" s="22" t="s">
        <v>4026</v>
      </c>
      <c r="C367" s="22"/>
      <c r="D367" s="22" t="s">
        <v>505</v>
      </c>
      <c r="E367" s="22" t="s">
        <v>516</v>
      </c>
      <c r="F367" s="31" t="s">
        <v>4027</v>
      </c>
      <c r="G367" s="22" t="s">
        <v>755</v>
      </c>
      <c r="H367" s="31" t="s">
        <v>4028</v>
      </c>
      <c r="I367" s="35" t="s">
        <v>1003</v>
      </c>
      <c r="J367" s="22" t="s">
        <v>4029</v>
      </c>
      <c r="K367" s="33" t="s">
        <v>137</v>
      </c>
      <c r="L367" s="33" t="s">
        <v>785</v>
      </c>
      <c r="M367" s="22">
        <v>1968</v>
      </c>
      <c r="N367" s="22">
        <v>1970</v>
      </c>
      <c r="O367" s="22"/>
      <c r="P367" s="22"/>
      <c r="Q367" s="22"/>
      <c r="R367" s="22"/>
      <c r="S367" s="31" t="s">
        <v>901</v>
      </c>
      <c r="T367" s="31" t="s">
        <v>4031</v>
      </c>
      <c r="U367" s="31" t="s">
        <v>4030</v>
      </c>
      <c r="V367" s="22"/>
      <c r="W367" s="45" t="s">
        <v>4032</v>
      </c>
      <c r="X367" s="45" t="s">
        <v>4033</v>
      </c>
      <c r="Y367" s="45" t="s">
        <v>4034</v>
      </c>
    </row>
    <row r="368" spans="1:25" ht="42.75">
      <c r="A368" s="22">
        <v>367</v>
      </c>
      <c r="B368" s="22" t="s">
        <v>4035</v>
      </c>
      <c r="C368" s="22">
        <v>2078</v>
      </c>
      <c r="D368" s="22" t="s">
        <v>495</v>
      </c>
      <c r="E368" s="22" t="s">
        <v>516</v>
      </c>
      <c r="F368" s="31" t="s">
        <v>4036</v>
      </c>
      <c r="G368" s="22" t="s">
        <v>755</v>
      </c>
      <c r="H368" s="31" t="s">
        <v>4037</v>
      </c>
      <c r="I368" s="35" t="s">
        <v>1848</v>
      </c>
      <c r="J368" s="22" t="s">
        <v>4038</v>
      </c>
      <c r="K368" s="33" t="s">
        <v>178</v>
      </c>
      <c r="L368" s="33" t="s">
        <v>785</v>
      </c>
      <c r="M368" s="22">
        <v>1965</v>
      </c>
      <c r="N368" s="22">
        <v>1970</v>
      </c>
      <c r="O368" s="22"/>
      <c r="P368" s="22"/>
      <c r="Q368" s="22"/>
      <c r="R368" s="22"/>
      <c r="S368" s="22"/>
      <c r="T368" s="22"/>
      <c r="U368" s="31" t="s">
        <v>4040</v>
      </c>
      <c r="V368" s="22"/>
      <c r="W368" s="45" t="s">
        <v>4039</v>
      </c>
    </row>
    <row r="369" spans="1:25" ht="28.5">
      <c r="A369" s="22">
        <v>368</v>
      </c>
      <c r="B369" s="22" t="s">
        <v>5192</v>
      </c>
      <c r="C369" s="22"/>
      <c r="D369" s="22"/>
      <c r="E369" s="22" t="s">
        <v>516</v>
      </c>
      <c r="F369" s="31" t="s">
        <v>4043</v>
      </c>
      <c r="G369" s="22" t="s">
        <v>756</v>
      </c>
      <c r="H369" s="31" t="s">
        <v>4041</v>
      </c>
      <c r="I369" s="35" t="s">
        <v>1003</v>
      </c>
      <c r="J369" s="22" t="s">
        <v>4042</v>
      </c>
      <c r="K369" s="33" t="s">
        <v>33</v>
      </c>
      <c r="L369" s="33" t="s">
        <v>758</v>
      </c>
      <c r="M369" s="22">
        <v>1965</v>
      </c>
      <c r="N369" s="22">
        <v>1969</v>
      </c>
      <c r="O369" s="22"/>
      <c r="P369" s="22"/>
      <c r="Q369" s="22"/>
      <c r="R369" s="22"/>
      <c r="S369" s="22"/>
      <c r="T369" s="31" t="s">
        <v>2554</v>
      </c>
      <c r="U369" s="31"/>
      <c r="V369" s="22"/>
      <c r="W369" s="45" t="s">
        <v>4047</v>
      </c>
      <c r="X369" s="22"/>
    </row>
    <row r="370" spans="1:25" ht="28.5">
      <c r="A370" s="22">
        <v>369</v>
      </c>
      <c r="B370" s="35" t="s">
        <v>4104</v>
      </c>
      <c r="C370" s="22"/>
      <c r="D370" s="22" t="s">
        <v>495</v>
      </c>
      <c r="E370" s="22" t="s">
        <v>516</v>
      </c>
      <c r="F370" s="31" t="s">
        <v>4044</v>
      </c>
      <c r="G370" s="22" t="s">
        <v>756</v>
      </c>
      <c r="H370" s="31" t="s">
        <v>4045</v>
      </c>
      <c r="I370" s="35" t="s">
        <v>1003</v>
      </c>
      <c r="J370" s="22" t="s">
        <v>4046</v>
      </c>
      <c r="K370" s="33" t="s">
        <v>4105</v>
      </c>
      <c r="L370" s="33" t="s">
        <v>758</v>
      </c>
      <c r="M370" s="22">
        <v>1955</v>
      </c>
      <c r="N370" s="22">
        <v>1959</v>
      </c>
      <c r="O370" s="22" t="s">
        <v>758</v>
      </c>
      <c r="P370" s="22"/>
      <c r="Q370" s="22"/>
      <c r="R370" s="22"/>
      <c r="S370" s="22"/>
      <c r="T370" s="22" t="s">
        <v>4106</v>
      </c>
      <c r="U370" s="31" t="s">
        <v>4107</v>
      </c>
      <c r="V370" s="22"/>
      <c r="W370" s="45" t="s">
        <v>4047</v>
      </c>
      <c r="X370" s="22"/>
    </row>
    <row r="371" spans="1:25" ht="42.75">
      <c r="A371" s="22">
        <v>370</v>
      </c>
      <c r="B371" s="22" t="s">
        <v>4048</v>
      </c>
      <c r="C371" s="22"/>
      <c r="D371" s="22" t="s">
        <v>495</v>
      </c>
      <c r="E371" s="22" t="s">
        <v>516</v>
      </c>
      <c r="F371" s="31" t="s">
        <v>4050</v>
      </c>
      <c r="G371" s="22" t="s">
        <v>755</v>
      </c>
      <c r="H371" s="31" t="s">
        <v>4049</v>
      </c>
      <c r="I371" s="35" t="s">
        <v>1003</v>
      </c>
      <c r="J371" s="22" t="s">
        <v>4051</v>
      </c>
      <c r="K371" s="33" t="s">
        <v>2235</v>
      </c>
      <c r="L371" s="33" t="s">
        <v>782</v>
      </c>
      <c r="M371" s="22">
        <v>1957</v>
      </c>
      <c r="N371" s="22">
        <v>1960</v>
      </c>
      <c r="O371" s="22"/>
      <c r="P371" s="22"/>
      <c r="Q371" s="22"/>
      <c r="R371" s="22" t="s">
        <v>1761</v>
      </c>
      <c r="S371" s="22" t="s">
        <v>2118</v>
      </c>
      <c r="T371" s="31" t="s">
        <v>4052</v>
      </c>
      <c r="U371" s="31"/>
      <c r="V371" s="22"/>
      <c r="W371" s="45" t="s">
        <v>4054</v>
      </c>
      <c r="X371" s="45" t="s">
        <v>4055</v>
      </c>
      <c r="Y371" s="45" t="s">
        <v>4056</v>
      </c>
    </row>
    <row r="372" spans="1:25" ht="28.5">
      <c r="A372" s="22">
        <v>371</v>
      </c>
      <c r="B372" s="22" t="s">
        <v>4057</v>
      </c>
      <c r="C372" s="22" t="s">
        <v>4087</v>
      </c>
      <c r="D372" s="22" t="s">
        <v>495</v>
      </c>
      <c r="E372" s="22" t="s">
        <v>516</v>
      </c>
      <c r="F372" s="31" t="s">
        <v>4058</v>
      </c>
      <c r="G372" s="22" t="s">
        <v>757</v>
      </c>
      <c r="H372" s="38" t="s">
        <v>4059</v>
      </c>
      <c r="I372" s="35" t="s">
        <v>1003</v>
      </c>
      <c r="J372" s="22" t="s">
        <v>4066</v>
      </c>
      <c r="K372" s="33" t="s">
        <v>193</v>
      </c>
      <c r="L372" s="33" t="s">
        <v>782</v>
      </c>
      <c r="M372" s="22">
        <v>1959</v>
      </c>
      <c r="N372" s="22">
        <v>1965</v>
      </c>
      <c r="O372" s="22" t="s">
        <v>758</v>
      </c>
      <c r="P372" s="22"/>
      <c r="Q372" s="22"/>
      <c r="R372" s="22"/>
      <c r="S372" s="22"/>
      <c r="T372" s="22" t="s">
        <v>4076</v>
      </c>
      <c r="U372" s="93" t="s">
        <v>4088</v>
      </c>
      <c r="V372" s="22"/>
      <c r="W372" s="45" t="s">
        <v>4060</v>
      </c>
      <c r="X372" s="45" t="s">
        <v>4061</v>
      </c>
      <c r="Y372" s="45" t="s">
        <v>4062</v>
      </c>
    </row>
    <row r="373" spans="1:25" ht="42.75">
      <c r="A373" s="22">
        <v>372</v>
      </c>
      <c r="B373" s="22" t="s">
        <v>4063</v>
      </c>
      <c r="D373" s="22" t="s">
        <v>495</v>
      </c>
      <c r="E373" s="22" t="s">
        <v>516</v>
      </c>
      <c r="F373" s="31" t="s">
        <v>4064</v>
      </c>
      <c r="G373" s="22" t="s">
        <v>755</v>
      </c>
      <c r="H373" s="31" t="s">
        <v>4065</v>
      </c>
      <c r="I373" s="35" t="s">
        <v>1848</v>
      </c>
      <c r="J373" s="22" t="s">
        <v>4067</v>
      </c>
      <c r="K373" s="33" t="s">
        <v>4069</v>
      </c>
      <c r="L373" s="33" t="s">
        <v>782</v>
      </c>
      <c r="M373" s="22">
        <v>1955</v>
      </c>
      <c r="N373" s="22">
        <v>1960</v>
      </c>
      <c r="S373" s="31" t="s">
        <v>2160</v>
      </c>
      <c r="T373" s="22" t="s">
        <v>4071</v>
      </c>
      <c r="U373" s="31" t="s">
        <v>4138</v>
      </c>
      <c r="V373" s="22"/>
      <c r="W373" s="45" t="s">
        <v>4077</v>
      </c>
      <c r="X373" s="45" t="s">
        <v>4078</v>
      </c>
    </row>
    <row r="374" spans="1:25" ht="42.75">
      <c r="A374" s="22">
        <v>373</v>
      </c>
      <c r="B374" s="22" t="s">
        <v>4072</v>
      </c>
      <c r="C374" s="22"/>
      <c r="D374" s="22" t="s">
        <v>495</v>
      </c>
      <c r="E374" s="22" t="s">
        <v>516</v>
      </c>
      <c r="F374" s="31" t="s">
        <v>4073</v>
      </c>
      <c r="G374" s="22" t="s">
        <v>756</v>
      </c>
      <c r="H374" s="31" t="s">
        <v>4193</v>
      </c>
      <c r="I374" s="35" t="s">
        <v>1848</v>
      </c>
      <c r="J374" s="22" t="s">
        <v>4074</v>
      </c>
      <c r="K374" s="33"/>
      <c r="L374" s="33" t="s">
        <v>785</v>
      </c>
      <c r="M374" s="22">
        <v>1965</v>
      </c>
      <c r="N374" s="22">
        <v>1969</v>
      </c>
      <c r="O374" s="22"/>
      <c r="P374" s="22"/>
      <c r="Q374" s="22"/>
      <c r="R374" s="22"/>
      <c r="S374" s="22"/>
      <c r="T374" s="22" t="s">
        <v>4075</v>
      </c>
      <c r="U374" s="31"/>
      <c r="V374" s="22" t="s">
        <v>1139</v>
      </c>
      <c r="W374" s="45" t="s">
        <v>4079</v>
      </c>
      <c r="X374" s="45" t="s">
        <v>4080</v>
      </c>
      <c r="Y374" s="22"/>
    </row>
    <row r="375" spans="1:25">
      <c r="A375" s="22">
        <v>374</v>
      </c>
      <c r="B375" s="22" t="s">
        <v>4083</v>
      </c>
      <c r="C375" s="22"/>
      <c r="D375" s="22" t="s">
        <v>495</v>
      </c>
      <c r="E375" s="22" t="s">
        <v>516</v>
      </c>
      <c r="F375" s="31" t="s">
        <v>4081</v>
      </c>
      <c r="G375" s="22" t="s">
        <v>756</v>
      </c>
      <c r="H375" s="31" t="s">
        <v>1227</v>
      </c>
      <c r="I375" s="35" t="s">
        <v>1003</v>
      </c>
      <c r="J375" s="22" t="s">
        <v>4082</v>
      </c>
      <c r="K375" s="33" t="s">
        <v>4069</v>
      </c>
      <c r="L375" s="33" t="s">
        <v>782</v>
      </c>
      <c r="M375" s="22">
        <v>1970</v>
      </c>
      <c r="N375" s="22">
        <v>1975</v>
      </c>
      <c r="O375" s="22"/>
      <c r="P375" s="22"/>
      <c r="Q375" s="22"/>
      <c r="R375" s="22"/>
      <c r="S375" s="22"/>
      <c r="T375" s="22" t="s">
        <v>4084</v>
      </c>
      <c r="U375" s="31" t="s">
        <v>4576</v>
      </c>
      <c r="V375" s="22"/>
      <c r="W375" s="45" t="s">
        <v>4085</v>
      </c>
      <c r="X375" s="45" t="s">
        <v>4086</v>
      </c>
    </row>
    <row r="376" spans="1:25" ht="28.5">
      <c r="A376" s="22">
        <v>375</v>
      </c>
      <c r="B376" s="31" t="s">
        <v>4089</v>
      </c>
      <c r="C376" s="22"/>
      <c r="D376" s="22" t="s">
        <v>495</v>
      </c>
      <c r="E376" s="22" t="s">
        <v>516</v>
      </c>
      <c r="F376" s="31" t="s">
        <v>4090</v>
      </c>
      <c r="G376" s="22" t="s">
        <v>757</v>
      </c>
      <c r="H376" s="31" t="s">
        <v>4091</v>
      </c>
      <c r="I376" s="35" t="s">
        <v>1666</v>
      </c>
      <c r="J376" s="22" t="s">
        <v>4092</v>
      </c>
      <c r="K376" s="33" t="s">
        <v>186</v>
      </c>
      <c r="L376" s="33" t="s">
        <v>758</v>
      </c>
      <c r="M376" s="22">
        <v>1965</v>
      </c>
      <c r="N376" s="22">
        <v>1970</v>
      </c>
      <c r="O376" s="22" t="s">
        <v>782</v>
      </c>
      <c r="P376" s="22"/>
      <c r="Q376" s="22"/>
      <c r="R376" s="22"/>
      <c r="S376" s="31" t="s">
        <v>4093</v>
      </c>
      <c r="T376" s="22" t="s">
        <v>4096</v>
      </c>
      <c r="U376" s="31" t="s">
        <v>4097</v>
      </c>
      <c r="V376" s="22"/>
      <c r="W376" s="45" t="s">
        <v>4094</v>
      </c>
      <c r="X376" s="45" t="s">
        <v>4779</v>
      </c>
      <c r="Y376" s="45" t="s">
        <v>4095</v>
      </c>
    </row>
    <row r="377" spans="1:25" ht="42.75">
      <c r="A377" s="22">
        <v>376</v>
      </c>
      <c r="B377" s="22" t="s">
        <v>4098</v>
      </c>
      <c r="C377" s="22">
        <v>825</v>
      </c>
      <c r="D377" s="22" t="s">
        <v>495</v>
      </c>
      <c r="E377" s="22" t="s">
        <v>516</v>
      </c>
      <c r="F377" s="31" t="s">
        <v>4099</v>
      </c>
      <c r="G377" s="22" t="s">
        <v>755</v>
      </c>
      <c r="H377" s="31" t="s">
        <v>4100</v>
      </c>
      <c r="I377" s="35" t="s">
        <v>1848</v>
      </c>
      <c r="J377" s="22" t="s">
        <v>4101</v>
      </c>
      <c r="K377" s="33" t="s">
        <v>51</v>
      </c>
      <c r="L377" s="33" t="s">
        <v>782</v>
      </c>
      <c r="M377" s="22">
        <v>1954</v>
      </c>
      <c r="N377" s="22">
        <v>1958</v>
      </c>
      <c r="O377" s="31" t="s">
        <v>4103</v>
      </c>
      <c r="P377" s="22"/>
      <c r="Q377" s="22"/>
      <c r="R377" s="22"/>
      <c r="S377" s="31" t="s">
        <v>1365</v>
      </c>
      <c r="T377" s="31" t="s">
        <v>4115</v>
      </c>
      <c r="U377" s="31" t="s">
        <v>5852</v>
      </c>
      <c r="V377" s="22" t="s">
        <v>4102</v>
      </c>
      <c r="W377" s="45" t="s">
        <v>4108</v>
      </c>
      <c r="X377" s="22"/>
    </row>
    <row r="378" spans="1:25" ht="28.5">
      <c r="A378" s="22">
        <v>377</v>
      </c>
      <c r="B378" s="22" t="s">
        <v>4113</v>
      </c>
      <c r="C378" s="22">
        <v>562</v>
      </c>
      <c r="D378" s="22" t="s">
        <v>495</v>
      </c>
      <c r="E378" s="22" t="s">
        <v>516</v>
      </c>
      <c r="F378" s="31" t="s">
        <v>4109</v>
      </c>
      <c r="G378" s="22" t="s">
        <v>756</v>
      </c>
      <c r="H378" s="31" t="s">
        <v>4194</v>
      </c>
      <c r="I378" s="22" t="s">
        <v>1003</v>
      </c>
      <c r="J378" s="22" t="s">
        <v>4110</v>
      </c>
      <c r="K378" s="33" t="s">
        <v>39</v>
      </c>
      <c r="L378" s="33" t="s">
        <v>758</v>
      </c>
      <c r="M378" s="22">
        <v>1960</v>
      </c>
      <c r="N378" s="22">
        <v>1975</v>
      </c>
      <c r="O378" s="22" t="s">
        <v>758</v>
      </c>
      <c r="P378" s="22"/>
      <c r="Q378" s="22"/>
      <c r="R378" s="22"/>
      <c r="S378" s="31" t="s">
        <v>4111</v>
      </c>
      <c r="T378" s="31" t="s">
        <v>4116</v>
      </c>
      <c r="U378" s="31"/>
      <c r="V378" s="22"/>
      <c r="W378" s="45" t="s">
        <v>4112</v>
      </c>
      <c r="X378" s="22"/>
    </row>
    <row r="379" spans="1:25" ht="42.75">
      <c r="A379" s="22">
        <v>378</v>
      </c>
      <c r="B379" s="31" t="s">
        <v>4117</v>
      </c>
      <c r="C379" s="22">
        <v>805</v>
      </c>
      <c r="D379" s="22" t="s">
        <v>495</v>
      </c>
      <c r="E379" s="22" t="s">
        <v>516</v>
      </c>
      <c r="F379" s="31" t="s">
        <v>4192</v>
      </c>
      <c r="G379" s="22" t="s">
        <v>1089</v>
      </c>
      <c r="H379" s="31" t="s">
        <v>4127</v>
      </c>
      <c r="I379" s="35" t="s">
        <v>1003</v>
      </c>
      <c r="J379" s="22" t="s">
        <v>4114</v>
      </c>
      <c r="K379" s="33" t="s">
        <v>56</v>
      </c>
      <c r="L379" s="33" t="s">
        <v>758</v>
      </c>
      <c r="M379" s="22">
        <v>1957</v>
      </c>
      <c r="N379" s="22">
        <v>1965</v>
      </c>
      <c r="O379" s="31" t="s">
        <v>3312</v>
      </c>
      <c r="P379" s="22"/>
      <c r="Q379" s="22"/>
      <c r="R379" s="22"/>
      <c r="S379" s="31" t="s">
        <v>880</v>
      </c>
      <c r="T379" s="31" t="s">
        <v>4150</v>
      </c>
      <c r="U379" s="31"/>
      <c r="V379" s="22"/>
      <c r="W379" s="45" t="s">
        <v>4118</v>
      </c>
      <c r="X379" s="45" t="s">
        <v>4119</v>
      </c>
    </row>
    <row r="380" spans="1:25" ht="42.75">
      <c r="A380" s="22">
        <v>379</v>
      </c>
      <c r="B380" s="22" t="s">
        <v>4113</v>
      </c>
      <c r="C380" s="22">
        <v>333</v>
      </c>
      <c r="D380" s="31" t="s">
        <v>499</v>
      </c>
      <c r="E380" s="22" t="s">
        <v>516</v>
      </c>
      <c r="F380" s="31" t="s">
        <v>4130</v>
      </c>
      <c r="G380" s="22" t="s">
        <v>755</v>
      </c>
      <c r="H380" s="31" t="s">
        <v>4128</v>
      </c>
      <c r="I380" s="35" t="s">
        <v>1666</v>
      </c>
      <c r="J380" s="22" t="s">
        <v>4121</v>
      </c>
      <c r="K380" s="33" t="s">
        <v>106</v>
      </c>
      <c r="L380" s="33" t="s">
        <v>758</v>
      </c>
      <c r="M380" s="22">
        <v>1971</v>
      </c>
      <c r="N380" s="22">
        <v>1975</v>
      </c>
      <c r="O380" s="22"/>
      <c r="P380" s="22"/>
      <c r="Q380" s="22"/>
      <c r="R380" s="22"/>
      <c r="S380" s="31" t="s">
        <v>1844</v>
      </c>
      <c r="T380" s="22" t="s">
        <v>4120</v>
      </c>
      <c r="U380" s="31"/>
      <c r="V380" s="22"/>
      <c r="W380" s="45" t="s">
        <v>4122</v>
      </c>
      <c r="X380" s="45" t="s">
        <v>4123</v>
      </c>
      <c r="Y380" s="45" t="s">
        <v>4124</v>
      </c>
    </row>
    <row r="381" spans="1:25" ht="42.75">
      <c r="A381" s="22">
        <v>380</v>
      </c>
      <c r="B381" s="22" t="s">
        <v>4125</v>
      </c>
      <c r="C381" s="22">
        <v>286</v>
      </c>
      <c r="D381" s="31" t="s">
        <v>499</v>
      </c>
      <c r="E381" s="22" t="s">
        <v>516</v>
      </c>
      <c r="F381" s="31" t="s">
        <v>4191</v>
      </c>
      <c r="G381" s="22" t="s">
        <v>755</v>
      </c>
      <c r="H381" s="31" t="s">
        <v>4129</v>
      </c>
      <c r="I381" s="35" t="s">
        <v>1003</v>
      </c>
      <c r="J381" s="22" t="s">
        <v>4126</v>
      </c>
      <c r="K381" s="33" t="s">
        <v>106</v>
      </c>
      <c r="L381" s="33" t="s">
        <v>758</v>
      </c>
      <c r="M381" s="22">
        <v>1957</v>
      </c>
      <c r="N381" s="22">
        <v>1965</v>
      </c>
      <c r="O381" s="22"/>
      <c r="P381" s="22"/>
      <c r="Q381" s="22"/>
      <c r="R381" s="22"/>
      <c r="S381" s="22"/>
      <c r="T381" s="31" t="s">
        <v>4142</v>
      </c>
      <c r="U381" s="31" t="s">
        <v>4138</v>
      </c>
      <c r="V381" s="22"/>
      <c r="W381" s="45" t="s">
        <v>4131</v>
      </c>
      <c r="X381" s="45" t="s">
        <v>4132</v>
      </c>
    </row>
    <row r="382" spans="1:25" ht="42.75">
      <c r="A382" s="22">
        <v>381</v>
      </c>
      <c r="B382" s="31" t="s">
        <v>4136</v>
      </c>
      <c r="C382" s="22">
        <v>262</v>
      </c>
      <c r="D382" s="31" t="s">
        <v>499</v>
      </c>
      <c r="E382" s="22" t="s">
        <v>516</v>
      </c>
      <c r="F382" s="31" t="s">
        <v>4135</v>
      </c>
      <c r="G382" s="22" t="s">
        <v>755</v>
      </c>
      <c r="H382" s="31" t="s">
        <v>4134</v>
      </c>
      <c r="I382" s="35" t="s">
        <v>1003</v>
      </c>
      <c r="J382" s="22" t="s">
        <v>4133</v>
      </c>
      <c r="K382" s="33" t="s">
        <v>106</v>
      </c>
      <c r="L382" s="33" t="s">
        <v>758</v>
      </c>
      <c r="M382" s="22">
        <v>1951</v>
      </c>
      <c r="N382" s="22">
        <v>1958</v>
      </c>
      <c r="O382" s="22" t="s">
        <v>758</v>
      </c>
      <c r="P382" s="22">
        <v>750</v>
      </c>
      <c r="Q382" s="22"/>
      <c r="R382" s="22" t="s">
        <v>2091</v>
      </c>
      <c r="S382" s="31" t="s">
        <v>4137</v>
      </c>
      <c r="T382" s="31" t="s">
        <v>4139</v>
      </c>
      <c r="U382" s="31" t="s">
        <v>4575</v>
      </c>
      <c r="V382" s="22"/>
      <c r="W382" s="45" t="s">
        <v>4140</v>
      </c>
      <c r="X382" s="45" t="s">
        <v>4141</v>
      </c>
    </row>
    <row r="383" spans="1:25" ht="28.5">
      <c r="A383" s="22">
        <v>382</v>
      </c>
      <c r="B383" s="22" t="s">
        <v>4143</v>
      </c>
      <c r="C383" s="22">
        <v>2000</v>
      </c>
      <c r="D383" s="22" t="s">
        <v>495</v>
      </c>
      <c r="E383" s="22" t="s">
        <v>516</v>
      </c>
      <c r="F383" s="31" t="s">
        <v>4190</v>
      </c>
      <c r="G383" s="22" t="s">
        <v>755</v>
      </c>
      <c r="H383" s="31" t="s">
        <v>4144</v>
      </c>
      <c r="I383" s="35" t="s">
        <v>1848</v>
      </c>
      <c r="J383" s="22" t="s">
        <v>4145</v>
      </c>
      <c r="K383" s="33" t="s">
        <v>102</v>
      </c>
      <c r="L383" s="33" t="s">
        <v>785</v>
      </c>
      <c r="M383" s="22">
        <v>1957</v>
      </c>
      <c r="N383" s="22">
        <v>1965</v>
      </c>
      <c r="O383" s="22"/>
      <c r="P383" s="22"/>
      <c r="Q383" s="22"/>
      <c r="R383" s="22"/>
      <c r="S383" s="22"/>
      <c r="T383" s="31" t="s">
        <v>4161</v>
      </c>
      <c r="U383" s="31" t="s">
        <v>4160</v>
      </c>
      <c r="V383" s="31" t="s">
        <v>4147</v>
      </c>
      <c r="W383" s="45" t="s">
        <v>4148</v>
      </c>
      <c r="X383" s="45" t="s">
        <v>4149</v>
      </c>
    </row>
    <row r="384" spans="1:25" ht="28.5">
      <c r="A384" s="22">
        <v>383</v>
      </c>
      <c r="B384" s="22" t="s">
        <v>4143</v>
      </c>
      <c r="C384" s="22"/>
      <c r="D384" s="22" t="s">
        <v>495</v>
      </c>
      <c r="E384" s="22" t="s">
        <v>516</v>
      </c>
      <c r="F384" s="31" t="s">
        <v>4151</v>
      </c>
      <c r="G384" s="22" t="s">
        <v>755</v>
      </c>
      <c r="H384" s="31" t="s">
        <v>4152</v>
      </c>
      <c r="I384" s="35" t="s">
        <v>1848</v>
      </c>
      <c r="J384" s="22" t="s">
        <v>4153</v>
      </c>
      <c r="K384" s="33" t="s">
        <v>2665</v>
      </c>
      <c r="L384" s="33" t="s">
        <v>758</v>
      </c>
      <c r="M384" s="22">
        <v>1958</v>
      </c>
      <c r="N384" s="22">
        <v>1965</v>
      </c>
      <c r="O384" s="22" t="s">
        <v>782</v>
      </c>
      <c r="P384" s="22"/>
      <c r="Q384" s="22"/>
      <c r="R384" s="22"/>
      <c r="S384" s="22"/>
      <c r="T384" s="31" t="s">
        <v>4146</v>
      </c>
      <c r="U384" s="31"/>
      <c r="V384" s="22"/>
      <c r="W384" s="45" t="s">
        <v>4154</v>
      </c>
      <c r="X384" s="45" t="s">
        <v>4155</v>
      </c>
    </row>
    <row r="385" spans="1:26" ht="28.5">
      <c r="A385" s="22">
        <v>384</v>
      </c>
      <c r="B385" s="22" t="s">
        <v>4156</v>
      </c>
      <c r="C385" s="22" t="s">
        <v>4157</v>
      </c>
      <c r="D385" s="22" t="s">
        <v>495</v>
      </c>
      <c r="E385" s="22" t="s">
        <v>516</v>
      </c>
      <c r="F385" s="31" t="s">
        <v>4188</v>
      </c>
      <c r="G385" s="22" t="s">
        <v>756</v>
      </c>
      <c r="H385" s="31" t="s">
        <v>4158</v>
      </c>
      <c r="I385" s="35" t="s">
        <v>1003</v>
      </c>
      <c r="J385" s="22" t="s">
        <v>4163</v>
      </c>
      <c r="K385" s="33" t="s">
        <v>94</v>
      </c>
      <c r="L385" s="33" t="s">
        <v>785</v>
      </c>
      <c r="M385" s="22">
        <v>1958</v>
      </c>
      <c r="N385" s="22">
        <v>1962</v>
      </c>
      <c r="O385" s="22" t="s">
        <v>782</v>
      </c>
      <c r="P385" s="22"/>
      <c r="Q385" s="22"/>
      <c r="R385" s="22"/>
      <c r="S385" s="22"/>
      <c r="T385" s="22"/>
      <c r="U385" s="31" t="s">
        <v>4159</v>
      </c>
      <c r="V385" s="22"/>
      <c r="W385" s="45" t="s">
        <v>4162</v>
      </c>
      <c r="X385" s="22"/>
    </row>
    <row r="386" spans="1:26" ht="28.5">
      <c r="A386" s="22">
        <v>385</v>
      </c>
      <c r="B386" s="22" t="s">
        <v>4164</v>
      </c>
      <c r="C386" s="22">
        <v>331</v>
      </c>
      <c r="D386" s="31" t="s">
        <v>499</v>
      </c>
      <c r="E386" s="22" t="s">
        <v>516</v>
      </c>
      <c r="F386" s="31" t="s">
        <v>4189</v>
      </c>
      <c r="G386" s="22" t="s">
        <v>755</v>
      </c>
      <c r="H386" s="31" t="s">
        <v>4165</v>
      </c>
      <c r="I386" s="22" t="s">
        <v>1666</v>
      </c>
      <c r="J386" s="22" t="s">
        <v>4167</v>
      </c>
      <c r="K386" s="33" t="s">
        <v>106</v>
      </c>
      <c r="L386" s="22" t="s">
        <v>758</v>
      </c>
      <c r="M386" s="22">
        <v>1970</v>
      </c>
      <c r="N386" s="22">
        <v>1975</v>
      </c>
      <c r="O386" s="31" t="s">
        <v>4168</v>
      </c>
      <c r="P386" s="22"/>
      <c r="Q386" s="22"/>
      <c r="R386" s="22"/>
      <c r="S386" s="31" t="s">
        <v>4170</v>
      </c>
      <c r="T386" s="22" t="s">
        <v>4169</v>
      </c>
      <c r="U386" s="31" t="s">
        <v>4166</v>
      </c>
      <c r="V386" s="22"/>
      <c r="W386" s="45" t="s">
        <v>4171</v>
      </c>
      <c r="X386" s="45" t="s">
        <v>4172</v>
      </c>
    </row>
    <row r="387" spans="1:26" ht="42.75">
      <c r="A387" s="22">
        <v>386</v>
      </c>
      <c r="B387" s="22" t="s">
        <v>4173</v>
      </c>
      <c r="C387" s="22">
        <v>1025</v>
      </c>
      <c r="D387" s="31" t="s">
        <v>499</v>
      </c>
      <c r="E387" s="22" t="s">
        <v>516</v>
      </c>
      <c r="F387" s="31" t="s">
        <v>4174</v>
      </c>
      <c r="G387" s="22" t="s">
        <v>755</v>
      </c>
      <c r="H387" s="31" t="s">
        <v>4175</v>
      </c>
      <c r="I387" s="35" t="s">
        <v>1003</v>
      </c>
      <c r="J387" s="22" t="s">
        <v>4177</v>
      </c>
      <c r="K387" s="33" t="s">
        <v>154</v>
      </c>
      <c r="L387" s="33" t="s">
        <v>782</v>
      </c>
      <c r="M387" s="22">
        <v>1952</v>
      </c>
      <c r="N387" s="22">
        <v>1956</v>
      </c>
      <c r="O387" s="22"/>
      <c r="P387" s="22">
        <v>192</v>
      </c>
      <c r="Q387" s="51">
        <v>45292</v>
      </c>
      <c r="R387" s="22" t="s">
        <v>1249</v>
      </c>
      <c r="S387" s="22" t="s">
        <v>4176</v>
      </c>
      <c r="T387" s="31" t="s">
        <v>4390</v>
      </c>
      <c r="U387" s="31" t="s">
        <v>4391</v>
      </c>
      <c r="V387" s="22"/>
      <c r="W387" s="45" t="s">
        <v>4178</v>
      </c>
    </row>
    <row r="388" spans="1:26" ht="71.25">
      <c r="A388" s="22">
        <v>387</v>
      </c>
      <c r="B388" s="22" t="s">
        <v>4179</v>
      </c>
      <c r="C388" s="22"/>
      <c r="D388" s="22" t="s">
        <v>495</v>
      </c>
      <c r="E388" s="22" t="s">
        <v>516</v>
      </c>
      <c r="F388" s="31" t="s">
        <v>4186</v>
      </c>
      <c r="G388" s="22" t="s">
        <v>757</v>
      </c>
      <c r="H388" s="38" t="s">
        <v>4187</v>
      </c>
      <c r="I388" s="35" t="s">
        <v>1666</v>
      </c>
      <c r="J388" s="22" t="s">
        <v>4181</v>
      </c>
      <c r="K388" s="33" t="s">
        <v>4182</v>
      </c>
      <c r="L388" s="33" t="s">
        <v>785</v>
      </c>
      <c r="M388" s="22">
        <v>1983</v>
      </c>
      <c r="N388" s="22">
        <v>1985</v>
      </c>
      <c r="O388" s="22"/>
      <c r="P388" s="22"/>
      <c r="Q388" s="22"/>
      <c r="R388" s="22"/>
      <c r="S388" s="22" t="s">
        <v>4180</v>
      </c>
      <c r="T388" s="22"/>
      <c r="U388" s="31" t="s">
        <v>4407</v>
      </c>
      <c r="V388" s="31" t="s">
        <v>4185</v>
      </c>
      <c r="W388" s="45" t="s">
        <v>4284</v>
      </c>
      <c r="X388" s="22"/>
    </row>
    <row r="389" spans="1:26" ht="57">
      <c r="A389" s="22">
        <v>388</v>
      </c>
      <c r="B389" s="22" t="s">
        <v>4285</v>
      </c>
      <c r="C389" s="22">
        <v>5555</v>
      </c>
      <c r="D389" s="22" t="s">
        <v>495</v>
      </c>
      <c r="E389" s="22" t="s">
        <v>516</v>
      </c>
      <c r="F389" s="31" t="s">
        <v>4286</v>
      </c>
      <c r="G389" s="22" t="s">
        <v>756</v>
      </c>
      <c r="H389" s="31" t="s">
        <v>4287</v>
      </c>
      <c r="I389" s="35" t="s">
        <v>4288</v>
      </c>
      <c r="J389" s="22" t="s">
        <v>4289</v>
      </c>
      <c r="K389" s="33" t="s">
        <v>33</v>
      </c>
      <c r="L389" s="33" t="s">
        <v>782</v>
      </c>
      <c r="M389" s="22">
        <v>1967</v>
      </c>
      <c r="N389" s="22">
        <v>1968</v>
      </c>
      <c r="O389" s="22"/>
      <c r="P389" s="22"/>
      <c r="Q389" s="22"/>
      <c r="R389" s="22" t="s">
        <v>4292</v>
      </c>
      <c r="S389" s="22"/>
      <c r="T389" s="22" t="s">
        <v>4291</v>
      </c>
      <c r="U389" s="31" t="s">
        <v>4290</v>
      </c>
      <c r="V389" s="22"/>
      <c r="W389" s="45" t="s">
        <v>4293</v>
      </c>
      <c r="X389" s="45" t="s">
        <v>4294</v>
      </c>
    </row>
    <row r="390" spans="1:26" ht="28.5">
      <c r="A390" s="22">
        <v>389</v>
      </c>
      <c r="B390" s="22" t="s">
        <v>4295</v>
      </c>
      <c r="C390" s="22"/>
      <c r="D390" s="22" t="s">
        <v>495</v>
      </c>
      <c r="E390" s="22" t="s">
        <v>516</v>
      </c>
      <c r="F390" s="31" t="s">
        <v>4302</v>
      </c>
      <c r="G390" s="22" t="s">
        <v>756</v>
      </c>
      <c r="H390" s="31" t="s">
        <v>4296</v>
      </c>
      <c r="I390" s="35" t="s">
        <v>1003</v>
      </c>
      <c r="J390" s="22" t="s">
        <v>4297</v>
      </c>
      <c r="K390" s="33" t="s">
        <v>75</v>
      </c>
      <c r="L390" s="33" t="s">
        <v>782</v>
      </c>
      <c r="M390" s="22">
        <v>1955</v>
      </c>
      <c r="N390" s="22">
        <v>1960</v>
      </c>
      <c r="O390" s="22"/>
      <c r="P390" s="22"/>
      <c r="Q390" s="22"/>
      <c r="R390" s="22"/>
      <c r="S390" s="22"/>
      <c r="T390" s="22"/>
      <c r="U390" s="31" t="s">
        <v>4298</v>
      </c>
      <c r="V390" s="22"/>
      <c r="W390" s="45" t="s">
        <v>4299</v>
      </c>
      <c r="X390" s="45" t="s">
        <v>4300</v>
      </c>
    </row>
    <row r="391" spans="1:26">
      <c r="A391" s="22">
        <v>390</v>
      </c>
      <c r="B391" s="22" t="s">
        <v>4301</v>
      </c>
      <c r="C391" s="22">
        <v>270</v>
      </c>
      <c r="D391" s="22" t="s">
        <v>495</v>
      </c>
      <c r="E391" s="22" t="s">
        <v>516</v>
      </c>
      <c r="F391" s="31" t="s">
        <v>4303</v>
      </c>
      <c r="G391" s="22" t="s">
        <v>756</v>
      </c>
      <c r="H391" s="31" t="s">
        <v>1227</v>
      </c>
      <c r="I391" s="35" t="s">
        <v>1003</v>
      </c>
      <c r="J391" s="22" t="s">
        <v>4304</v>
      </c>
      <c r="K391" s="33" t="s">
        <v>106</v>
      </c>
      <c r="L391" s="33" t="s">
        <v>782</v>
      </c>
      <c r="M391" s="22">
        <v>1953</v>
      </c>
      <c r="N391" s="22">
        <v>1958</v>
      </c>
      <c r="O391" s="22"/>
      <c r="P391" s="22"/>
      <c r="Q391" s="22"/>
      <c r="R391" s="22"/>
      <c r="S391" s="22" t="s">
        <v>901</v>
      </c>
      <c r="T391" s="22" t="s">
        <v>4305</v>
      </c>
      <c r="U391" s="31" t="s">
        <v>4309</v>
      </c>
      <c r="V391" s="22"/>
      <c r="W391" s="45" t="s">
        <v>4306</v>
      </c>
      <c r="X391" s="45" t="s">
        <v>4307</v>
      </c>
      <c r="Y391" s="45" t="s">
        <v>4308</v>
      </c>
    </row>
    <row r="392" spans="1:26" ht="28.5">
      <c r="A392" s="22">
        <v>391</v>
      </c>
      <c r="B392" s="31" t="s">
        <v>4310</v>
      </c>
      <c r="C392" s="22">
        <v>3117</v>
      </c>
      <c r="D392" s="22" t="s">
        <v>495</v>
      </c>
      <c r="E392" s="22" t="s">
        <v>516</v>
      </c>
      <c r="F392" s="31" t="s">
        <v>4311</v>
      </c>
      <c r="G392" s="22" t="s">
        <v>757</v>
      </c>
      <c r="H392" s="32" t="s">
        <v>4314</v>
      </c>
      <c r="I392" s="35" t="s">
        <v>1848</v>
      </c>
      <c r="J392" s="22" t="s">
        <v>4312</v>
      </c>
      <c r="K392" s="33" t="s">
        <v>91</v>
      </c>
      <c r="L392" s="33" t="s">
        <v>758</v>
      </c>
      <c r="M392" s="22">
        <v>1960</v>
      </c>
      <c r="N392" s="22">
        <v>1962</v>
      </c>
      <c r="O392" s="22" t="s">
        <v>782</v>
      </c>
      <c r="P392" s="22"/>
      <c r="Q392" s="22"/>
      <c r="R392" s="22"/>
      <c r="S392" s="31" t="s">
        <v>3826</v>
      </c>
      <c r="T392" s="31" t="s">
        <v>4315</v>
      </c>
      <c r="U392" s="31" t="s">
        <v>4313</v>
      </c>
      <c r="V392" s="22"/>
      <c r="W392" s="45" t="s">
        <v>4317</v>
      </c>
      <c r="X392" s="22"/>
    </row>
    <row r="393" spans="1:26" ht="42.75">
      <c r="A393" s="22">
        <v>392</v>
      </c>
      <c r="B393" s="22" t="s">
        <v>4318</v>
      </c>
      <c r="C393" s="22"/>
      <c r="D393" s="22" t="s">
        <v>495</v>
      </c>
      <c r="E393" s="22" t="s">
        <v>516</v>
      </c>
      <c r="F393" s="31" t="s">
        <v>4324</v>
      </c>
      <c r="G393" s="22" t="s">
        <v>757</v>
      </c>
      <c r="H393" s="31" t="s">
        <v>4327</v>
      </c>
      <c r="I393" s="35" t="s">
        <v>1848</v>
      </c>
      <c r="J393" s="22" t="s">
        <v>4321</v>
      </c>
      <c r="K393" s="33" t="s">
        <v>174</v>
      </c>
      <c r="L393" s="33" t="s">
        <v>785</v>
      </c>
      <c r="M393" s="22">
        <v>1967</v>
      </c>
      <c r="N393" s="22">
        <v>1969</v>
      </c>
      <c r="O393" s="22"/>
      <c r="P393" s="22">
        <v>320</v>
      </c>
      <c r="Q393" s="22" t="s">
        <v>5265</v>
      </c>
      <c r="R393" s="22" t="s">
        <v>5266</v>
      </c>
      <c r="S393" s="22"/>
      <c r="T393" s="31" t="s">
        <v>4322</v>
      </c>
      <c r="U393" s="31" t="s">
        <v>4320</v>
      </c>
      <c r="V393" s="22" t="s">
        <v>4319</v>
      </c>
      <c r="W393" s="45" t="s">
        <v>4323</v>
      </c>
      <c r="X393" s="22"/>
    </row>
    <row r="394" spans="1:26" ht="42.75">
      <c r="A394" s="22">
        <v>393</v>
      </c>
      <c r="B394" s="31" t="s">
        <v>4325</v>
      </c>
      <c r="C394" s="22"/>
      <c r="D394" s="22" t="s">
        <v>495</v>
      </c>
      <c r="E394" s="22" t="s">
        <v>516</v>
      </c>
      <c r="F394" s="31" t="s">
        <v>4326</v>
      </c>
      <c r="G394" s="22" t="s">
        <v>757</v>
      </c>
      <c r="H394" s="32" t="s">
        <v>4328</v>
      </c>
      <c r="I394" s="35" t="s">
        <v>1848</v>
      </c>
      <c r="J394" s="22" t="s">
        <v>4329</v>
      </c>
      <c r="K394" s="33" t="s">
        <v>2235</v>
      </c>
      <c r="L394" s="33" t="s">
        <v>782</v>
      </c>
      <c r="M394" s="22"/>
      <c r="N394" s="22"/>
      <c r="O394" s="22"/>
      <c r="P394" s="22">
        <v>263</v>
      </c>
      <c r="Q394" s="51">
        <v>44531</v>
      </c>
      <c r="R394" s="22" t="s">
        <v>1249</v>
      </c>
      <c r="S394" s="22" t="s">
        <v>4316</v>
      </c>
      <c r="T394" s="22" t="s">
        <v>4339</v>
      </c>
      <c r="U394" s="31" t="s">
        <v>4330</v>
      </c>
      <c r="V394" s="22"/>
      <c r="W394" s="45" t="s">
        <v>4331</v>
      </c>
      <c r="X394" s="45" t="s">
        <v>4332</v>
      </c>
      <c r="Y394" s="45" t="s">
        <v>4333</v>
      </c>
    </row>
    <row r="395" spans="1:26" ht="85.5">
      <c r="A395" s="22">
        <v>394</v>
      </c>
      <c r="B395" s="31" t="s">
        <v>4334</v>
      </c>
      <c r="C395" s="22"/>
      <c r="D395" s="22" t="s">
        <v>495</v>
      </c>
      <c r="E395" s="22" t="s">
        <v>516</v>
      </c>
      <c r="F395" s="31" t="s">
        <v>4335</v>
      </c>
      <c r="G395" s="22" t="s">
        <v>757</v>
      </c>
      <c r="H395" s="32" t="s">
        <v>4336</v>
      </c>
      <c r="I395" s="35" t="s">
        <v>1003</v>
      </c>
      <c r="J395" s="22" t="s">
        <v>4337</v>
      </c>
      <c r="K395" s="33" t="s">
        <v>174</v>
      </c>
      <c r="L395" s="33" t="s">
        <v>758</v>
      </c>
      <c r="M395" s="22">
        <v>1960</v>
      </c>
      <c r="N395" s="22">
        <v>1965</v>
      </c>
      <c r="O395" s="22" t="s">
        <v>785</v>
      </c>
      <c r="P395" s="22"/>
      <c r="Q395" s="22"/>
      <c r="R395" s="22"/>
      <c r="S395" s="31" t="s">
        <v>4338</v>
      </c>
      <c r="T395" s="22" t="s">
        <v>4341</v>
      </c>
      <c r="U395" s="31" t="s">
        <v>4340</v>
      </c>
      <c r="V395" s="22"/>
      <c r="W395" s="45" t="s">
        <v>4342</v>
      </c>
      <c r="X395" s="45" t="s">
        <v>4343</v>
      </c>
      <c r="Y395" s="45" t="s">
        <v>4344</v>
      </c>
      <c r="Z395" s="45" t="s">
        <v>4345</v>
      </c>
    </row>
    <row r="396" spans="1:26" ht="99.75">
      <c r="A396" s="22">
        <v>395</v>
      </c>
      <c r="B396" s="31" t="s">
        <v>4347</v>
      </c>
      <c r="C396" s="22"/>
      <c r="D396" s="31" t="s">
        <v>499</v>
      </c>
      <c r="E396" s="22" t="s">
        <v>516</v>
      </c>
      <c r="F396" s="31" t="s">
        <v>4346</v>
      </c>
      <c r="G396" s="22" t="s">
        <v>755</v>
      </c>
      <c r="H396" s="35" t="s">
        <v>4359</v>
      </c>
      <c r="I396" s="35" t="s">
        <v>1848</v>
      </c>
      <c r="J396" s="22" t="s">
        <v>4348</v>
      </c>
      <c r="K396" s="33" t="s">
        <v>4349</v>
      </c>
      <c r="L396" s="33" t="s">
        <v>758</v>
      </c>
      <c r="M396" s="22">
        <v>1975</v>
      </c>
      <c r="N396" s="22">
        <v>1980</v>
      </c>
      <c r="O396" s="22"/>
      <c r="P396" s="22"/>
      <c r="Q396" s="22"/>
      <c r="R396" s="22" t="s">
        <v>1761</v>
      </c>
      <c r="S396" s="22"/>
      <c r="T396" s="22" t="s">
        <v>4351</v>
      </c>
      <c r="U396" s="31" t="s">
        <v>4355</v>
      </c>
      <c r="V396" s="22"/>
      <c r="W396" s="45" t="s">
        <v>4352</v>
      </c>
      <c r="X396" s="45" t="s">
        <v>4353</v>
      </c>
      <c r="Y396" s="45" t="s">
        <v>4354</v>
      </c>
    </row>
    <row r="397" spans="1:26" ht="28.5">
      <c r="A397" s="22">
        <v>396</v>
      </c>
      <c r="B397" s="31" t="s">
        <v>4356</v>
      </c>
      <c r="C397" s="22" t="s">
        <v>4361</v>
      </c>
      <c r="D397" s="22" t="s">
        <v>504</v>
      </c>
      <c r="E397" s="22" t="s">
        <v>516</v>
      </c>
      <c r="F397" s="31" t="s">
        <v>4357</v>
      </c>
      <c r="G397" s="22" t="s">
        <v>755</v>
      </c>
      <c r="H397" s="35" t="s">
        <v>4358</v>
      </c>
      <c r="I397" s="35" t="s">
        <v>1003</v>
      </c>
      <c r="J397" s="22" t="s">
        <v>4360</v>
      </c>
      <c r="K397" s="33" t="s">
        <v>4362</v>
      </c>
      <c r="L397" s="33" t="s">
        <v>758</v>
      </c>
      <c r="M397" s="22">
        <v>1955</v>
      </c>
      <c r="N397" s="22">
        <v>1960</v>
      </c>
      <c r="O397" s="22"/>
      <c r="P397" s="22"/>
      <c r="Q397" s="22"/>
      <c r="R397" s="31" t="s">
        <v>3840</v>
      </c>
      <c r="S397" s="31" t="s">
        <v>4365</v>
      </c>
      <c r="T397" s="22" t="s">
        <v>4367</v>
      </c>
      <c r="U397" s="31" t="s">
        <v>4366</v>
      </c>
      <c r="V397" s="22"/>
      <c r="W397" s="45" t="s">
        <v>4368</v>
      </c>
      <c r="X397" s="45" t="s">
        <v>4369</v>
      </c>
      <c r="Y397" s="22"/>
    </row>
    <row r="398" spans="1:26" ht="114">
      <c r="A398" s="22">
        <v>397</v>
      </c>
      <c r="B398" s="31" t="s">
        <v>4370</v>
      </c>
      <c r="C398" s="22"/>
      <c r="D398" s="31" t="s">
        <v>499</v>
      </c>
      <c r="E398" s="22" t="s">
        <v>516</v>
      </c>
      <c r="F398" s="31" t="s">
        <v>4371</v>
      </c>
      <c r="G398" s="22" t="s">
        <v>755</v>
      </c>
      <c r="H398" s="35" t="s">
        <v>4372</v>
      </c>
      <c r="I398" s="35" t="s">
        <v>1848</v>
      </c>
      <c r="J398" s="22" t="s">
        <v>4373</v>
      </c>
      <c r="K398" s="33" t="s">
        <v>4376</v>
      </c>
      <c r="L398" s="33" t="s">
        <v>758</v>
      </c>
      <c r="M398" s="22">
        <v>1969</v>
      </c>
      <c r="N398" s="22">
        <v>1975</v>
      </c>
      <c r="O398" s="22" t="s">
        <v>785</v>
      </c>
      <c r="P398" s="22">
        <v>225</v>
      </c>
      <c r="Q398" s="22" t="s">
        <v>3204</v>
      </c>
      <c r="R398" s="31" t="s">
        <v>3840</v>
      </c>
      <c r="S398" s="31" t="s">
        <v>880</v>
      </c>
      <c r="T398" s="22"/>
      <c r="U398" s="31" t="s">
        <v>4374</v>
      </c>
      <c r="V398" s="22"/>
      <c r="W398" s="45" t="s">
        <v>4425</v>
      </c>
      <c r="X398" s="45" t="s">
        <v>4426</v>
      </c>
    </row>
    <row r="399" spans="1:26" ht="28.5">
      <c r="A399" s="22">
        <v>398</v>
      </c>
      <c r="B399" s="31" t="s">
        <v>4378</v>
      </c>
      <c r="C399" s="22"/>
      <c r="D399" s="22" t="s">
        <v>495</v>
      </c>
      <c r="E399" s="22" t="s">
        <v>516</v>
      </c>
      <c r="F399" s="31" t="s">
        <v>4384</v>
      </c>
      <c r="G399" s="22" t="s">
        <v>757</v>
      </c>
      <c r="H399" s="32" t="s">
        <v>4406</v>
      </c>
      <c r="I399" s="35" t="s">
        <v>1003</v>
      </c>
      <c r="J399" s="22" t="s">
        <v>4379</v>
      </c>
      <c r="K399" s="33" t="s">
        <v>127</v>
      </c>
      <c r="L399" s="33" t="s">
        <v>758</v>
      </c>
      <c r="M399" s="22">
        <v>1960</v>
      </c>
      <c r="N399" s="22">
        <v>1965</v>
      </c>
      <c r="O399" s="22"/>
      <c r="P399" s="22"/>
      <c r="Q399" s="22"/>
      <c r="R399" s="31" t="s">
        <v>4380</v>
      </c>
      <c r="S399" s="22"/>
      <c r="T399" s="22" t="s">
        <v>4381</v>
      </c>
      <c r="U399" s="31" t="s">
        <v>4573</v>
      </c>
      <c r="V399" s="22"/>
      <c r="W399" s="45" t="s">
        <v>4382</v>
      </c>
      <c r="X399" s="45" t="s">
        <v>4383</v>
      </c>
      <c r="Y399" s="22"/>
    </row>
    <row r="400" spans="1:26" ht="42.75">
      <c r="A400" s="22">
        <v>399</v>
      </c>
      <c r="B400" s="31" t="s">
        <v>4385</v>
      </c>
      <c r="C400" s="22"/>
      <c r="D400" s="22" t="s">
        <v>495</v>
      </c>
      <c r="E400" s="22" t="s">
        <v>516</v>
      </c>
      <c r="F400" s="31" t="s">
        <v>4386</v>
      </c>
      <c r="G400" s="22" t="s">
        <v>756</v>
      </c>
      <c r="H400" s="35" t="s">
        <v>4387</v>
      </c>
      <c r="I400" s="22" t="s">
        <v>1848</v>
      </c>
      <c r="J400" s="22" t="s">
        <v>4388</v>
      </c>
      <c r="K400" s="33" t="s">
        <v>1335</v>
      </c>
      <c r="L400" s="33" t="s">
        <v>785</v>
      </c>
      <c r="M400" s="22">
        <v>1962</v>
      </c>
      <c r="N400" s="22">
        <v>1965</v>
      </c>
      <c r="O400" s="22"/>
      <c r="P400" s="22"/>
      <c r="Q400" s="22"/>
      <c r="R400" s="22"/>
      <c r="S400" s="22"/>
      <c r="T400" s="22" t="s">
        <v>4389</v>
      </c>
      <c r="U400" s="31"/>
      <c r="V400" s="22"/>
      <c r="W400" s="45" t="s">
        <v>4392</v>
      </c>
      <c r="X400" s="45" t="s">
        <v>4393</v>
      </c>
      <c r="Y400" s="22"/>
    </row>
    <row r="401" spans="1:26" ht="28.5">
      <c r="A401" s="22">
        <v>400</v>
      </c>
      <c r="B401" s="31" t="s">
        <v>4394</v>
      </c>
      <c r="C401" s="22"/>
      <c r="D401" s="22" t="s">
        <v>495</v>
      </c>
      <c r="E401" s="22" t="s">
        <v>516</v>
      </c>
      <c r="F401" s="31" t="s">
        <v>4395</v>
      </c>
      <c r="G401" s="22"/>
      <c r="H401" s="35" t="s">
        <v>4396</v>
      </c>
      <c r="I401" s="35" t="s">
        <v>1003</v>
      </c>
      <c r="J401" s="22" t="s">
        <v>4401</v>
      </c>
      <c r="K401" s="33" t="s">
        <v>166</v>
      </c>
      <c r="L401" s="33" t="s">
        <v>782</v>
      </c>
      <c r="M401" s="22">
        <v>1955</v>
      </c>
      <c r="N401" s="22">
        <v>1959</v>
      </c>
      <c r="O401" s="22"/>
      <c r="P401" s="22">
        <v>128</v>
      </c>
      <c r="Q401" s="51">
        <v>44713</v>
      </c>
      <c r="R401" s="22" t="s">
        <v>1249</v>
      </c>
      <c r="S401" s="22"/>
      <c r="T401" s="22" t="s">
        <v>4397</v>
      </c>
      <c r="U401" s="31" t="s">
        <v>4398</v>
      </c>
      <c r="V401" s="22"/>
      <c r="W401" s="45" t="s">
        <v>4399</v>
      </c>
      <c r="X401" s="45" t="s">
        <v>4400</v>
      </c>
      <c r="Y401" s="22"/>
    </row>
    <row r="402" spans="1:26" ht="28.5">
      <c r="A402" s="22">
        <v>401</v>
      </c>
      <c r="B402" s="31" t="s">
        <v>4404</v>
      </c>
      <c r="C402" s="22"/>
      <c r="D402" s="22" t="s">
        <v>495</v>
      </c>
      <c r="E402" s="22" t="s">
        <v>516</v>
      </c>
      <c r="F402" s="31" t="s">
        <v>4421</v>
      </c>
      <c r="G402" s="22" t="s">
        <v>1089</v>
      </c>
      <c r="H402" s="35" t="s">
        <v>4405</v>
      </c>
      <c r="I402" s="35" t="s">
        <v>1848</v>
      </c>
      <c r="J402" s="22" t="s">
        <v>4420</v>
      </c>
      <c r="K402" s="36" t="s">
        <v>4402</v>
      </c>
      <c r="L402" s="33" t="s">
        <v>758</v>
      </c>
      <c r="M402" s="22">
        <v>1969</v>
      </c>
      <c r="N402" s="22">
        <v>1975</v>
      </c>
      <c r="O402" s="22" t="s">
        <v>758</v>
      </c>
      <c r="P402" s="22"/>
      <c r="Q402" s="22"/>
      <c r="R402" s="22"/>
      <c r="S402" s="31" t="s">
        <v>4409</v>
      </c>
      <c r="T402" s="22" t="s">
        <v>4422</v>
      </c>
      <c r="U402" s="31" t="s">
        <v>4572</v>
      </c>
      <c r="V402" s="22"/>
      <c r="W402" s="45" t="s">
        <v>4408</v>
      </c>
    </row>
    <row r="403" spans="1:26" ht="28.5">
      <c r="A403" s="22">
        <v>402</v>
      </c>
      <c r="B403" s="73" t="s">
        <v>4419</v>
      </c>
      <c r="C403" s="69"/>
      <c r="D403" s="49" t="s">
        <v>495</v>
      </c>
      <c r="E403" s="49" t="s">
        <v>516</v>
      </c>
      <c r="F403" s="35" t="s">
        <v>4423</v>
      </c>
      <c r="G403" s="49" t="s">
        <v>1089</v>
      </c>
      <c r="H403" s="37" t="s">
        <v>4410</v>
      </c>
      <c r="I403" s="49" t="s">
        <v>1666</v>
      </c>
      <c r="J403" s="49" t="s">
        <v>4429</v>
      </c>
      <c r="K403" s="68" t="s">
        <v>4413</v>
      </c>
      <c r="L403" s="49" t="s">
        <v>782</v>
      </c>
      <c r="M403" s="49">
        <v>1970</v>
      </c>
      <c r="N403" s="49">
        <v>1980</v>
      </c>
      <c r="O403" s="49"/>
      <c r="P403" s="69"/>
      <c r="Q403" s="69"/>
      <c r="R403" s="69"/>
      <c r="S403" s="49" t="s">
        <v>4424</v>
      </c>
      <c r="T403" s="69"/>
      <c r="U403" s="97"/>
      <c r="V403" s="49"/>
      <c r="W403" s="45" t="s">
        <v>4411</v>
      </c>
      <c r="X403" s="45" t="s">
        <v>4412</v>
      </c>
    </row>
    <row r="404" spans="1:26" ht="28.5">
      <c r="A404" s="49">
        <v>403</v>
      </c>
      <c r="B404" s="49" t="s">
        <v>4427</v>
      </c>
      <c r="C404" s="49">
        <v>4670</v>
      </c>
      <c r="D404" s="49" t="s">
        <v>495</v>
      </c>
      <c r="E404" s="49" t="s">
        <v>516</v>
      </c>
      <c r="F404" s="35" t="s">
        <v>4428</v>
      </c>
      <c r="G404" s="49" t="s">
        <v>757</v>
      </c>
      <c r="H404" s="32" t="s">
        <v>4434</v>
      </c>
      <c r="I404" s="49" t="s">
        <v>1848</v>
      </c>
      <c r="J404" s="49" t="s">
        <v>4430</v>
      </c>
      <c r="K404" s="68" t="s">
        <v>91</v>
      </c>
      <c r="L404" s="49" t="s">
        <v>758</v>
      </c>
      <c r="M404" s="49">
        <v>1978</v>
      </c>
      <c r="N404" s="49">
        <v>1985</v>
      </c>
      <c r="O404" s="49" t="s">
        <v>782</v>
      </c>
      <c r="P404" s="49"/>
      <c r="Q404" s="49"/>
      <c r="R404" s="49"/>
      <c r="S404" s="35" t="s">
        <v>4444</v>
      </c>
      <c r="T404" s="35" t="s">
        <v>4443</v>
      </c>
      <c r="U404" s="35" t="s">
        <v>4442</v>
      </c>
      <c r="V404" s="49"/>
      <c r="W404" s="45" t="s">
        <v>4445</v>
      </c>
      <c r="X404" s="45" t="s">
        <v>4446</v>
      </c>
    </row>
    <row r="405" spans="1:26" ht="28.5">
      <c r="A405" s="49">
        <v>404</v>
      </c>
      <c r="B405" s="35" t="s">
        <v>4432</v>
      </c>
      <c r="C405" s="49">
        <v>1994</v>
      </c>
      <c r="D405" s="49" t="s">
        <v>495</v>
      </c>
      <c r="E405" s="49" t="s">
        <v>516</v>
      </c>
      <c r="F405" s="35" t="s">
        <v>4437</v>
      </c>
      <c r="G405" s="49" t="s">
        <v>757</v>
      </c>
      <c r="H405" s="32" t="s">
        <v>4433</v>
      </c>
      <c r="I405" s="49" t="s">
        <v>1848</v>
      </c>
      <c r="J405" s="49" t="s">
        <v>2267</v>
      </c>
      <c r="K405" s="68" t="s">
        <v>91</v>
      </c>
      <c r="L405" s="68" t="s">
        <v>785</v>
      </c>
      <c r="M405" s="49">
        <v>1960</v>
      </c>
      <c r="N405" s="49">
        <v>1970</v>
      </c>
      <c r="O405" s="49"/>
      <c r="P405" s="49"/>
      <c r="Q405" s="49"/>
      <c r="R405" s="49"/>
      <c r="S405" s="49" t="s">
        <v>1739</v>
      </c>
      <c r="T405" s="49" t="s">
        <v>4435</v>
      </c>
      <c r="U405" s="35" t="s">
        <v>4436</v>
      </c>
      <c r="V405" s="49"/>
      <c r="W405" s="45" t="s">
        <v>4447</v>
      </c>
      <c r="X405" s="45" t="s">
        <v>4448</v>
      </c>
    </row>
    <row r="406" spans="1:26" ht="28.5">
      <c r="A406" s="49">
        <v>405</v>
      </c>
      <c r="B406" s="35" t="s">
        <v>4439</v>
      </c>
      <c r="C406" s="49">
        <v>4316</v>
      </c>
      <c r="D406" s="49" t="s">
        <v>495</v>
      </c>
      <c r="E406" s="49" t="s">
        <v>516</v>
      </c>
      <c r="F406" s="35" t="s">
        <v>4438</v>
      </c>
      <c r="G406" s="49" t="s">
        <v>757</v>
      </c>
      <c r="H406" s="32" t="s">
        <v>4433</v>
      </c>
      <c r="I406" s="49" t="s">
        <v>1848</v>
      </c>
      <c r="J406" s="49" t="s">
        <v>4440</v>
      </c>
      <c r="K406" s="68" t="s">
        <v>91</v>
      </c>
      <c r="L406" s="68" t="s">
        <v>782</v>
      </c>
      <c r="M406" s="49">
        <v>1975</v>
      </c>
      <c r="N406" s="49">
        <v>1985</v>
      </c>
      <c r="O406" s="49"/>
      <c r="P406" s="49"/>
      <c r="Q406" s="49"/>
      <c r="R406" s="49"/>
      <c r="S406" s="35" t="s">
        <v>2693</v>
      </c>
      <c r="T406" s="49" t="s">
        <v>4441</v>
      </c>
      <c r="U406" s="35" t="s">
        <v>4431</v>
      </c>
      <c r="V406" s="49"/>
      <c r="W406" s="45" t="s">
        <v>4449</v>
      </c>
      <c r="X406" s="45" t="s">
        <v>4450</v>
      </c>
    </row>
    <row r="407" spans="1:26" ht="57">
      <c r="A407" s="49">
        <v>406</v>
      </c>
      <c r="B407" s="35" t="s">
        <v>4471</v>
      </c>
      <c r="C407" s="49"/>
      <c r="D407" s="49" t="s">
        <v>495</v>
      </c>
      <c r="E407" s="49" t="s">
        <v>516</v>
      </c>
      <c r="F407" s="35" t="s">
        <v>4451</v>
      </c>
      <c r="G407" s="49" t="s">
        <v>757</v>
      </c>
      <c r="H407" s="32" t="s">
        <v>4452</v>
      </c>
      <c r="I407" s="49" t="s">
        <v>1666</v>
      </c>
      <c r="J407" s="49" t="s">
        <v>4453</v>
      </c>
      <c r="K407" s="68"/>
      <c r="L407" s="68" t="s">
        <v>758</v>
      </c>
      <c r="M407" s="49">
        <v>1975</v>
      </c>
      <c r="N407" s="49">
        <v>1980</v>
      </c>
      <c r="O407" s="35" t="s">
        <v>4454</v>
      </c>
      <c r="P407" s="49"/>
      <c r="Q407" s="49"/>
      <c r="R407" s="49"/>
      <c r="S407" s="35" t="s">
        <v>4472</v>
      </c>
      <c r="T407" s="49"/>
      <c r="U407" s="35" t="s">
        <v>4455</v>
      </c>
      <c r="V407" s="49" t="s">
        <v>4456</v>
      </c>
      <c r="W407" s="45" t="s">
        <v>4457</v>
      </c>
      <c r="X407" s="49"/>
    </row>
    <row r="408" spans="1:26" ht="28.5">
      <c r="A408" s="49">
        <v>407</v>
      </c>
      <c r="B408" s="35" t="s">
        <v>4459</v>
      </c>
      <c r="C408" s="49" t="s">
        <v>4462</v>
      </c>
      <c r="D408" s="49" t="s">
        <v>495</v>
      </c>
      <c r="E408" s="49" t="s">
        <v>516</v>
      </c>
      <c r="F408" s="35" t="s">
        <v>4458</v>
      </c>
      <c r="G408" s="49" t="s">
        <v>755</v>
      </c>
      <c r="H408" s="35" t="s">
        <v>4460</v>
      </c>
      <c r="I408" s="49" t="s">
        <v>1848</v>
      </c>
      <c r="J408" s="49" t="s">
        <v>4461</v>
      </c>
      <c r="K408" s="68" t="s">
        <v>2497</v>
      </c>
      <c r="L408" s="68" t="s">
        <v>758</v>
      </c>
      <c r="M408" s="49">
        <v>2000</v>
      </c>
      <c r="N408" s="49">
        <v>2020</v>
      </c>
      <c r="O408" s="49" t="s">
        <v>758</v>
      </c>
      <c r="P408" s="49"/>
      <c r="Q408" s="49"/>
      <c r="R408" s="49"/>
      <c r="S408" s="35" t="s">
        <v>4473</v>
      </c>
      <c r="T408" s="49"/>
      <c r="U408" s="35" t="s">
        <v>4463</v>
      </c>
      <c r="V408" s="49"/>
      <c r="W408" s="45" t="s">
        <v>4464</v>
      </c>
      <c r="X408" s="45" t="s">
        <v>4465</v>
      </c>
    </row>
    <row r="409" spans="1:26" ht="42.75">
      <c r="A409" s="49">
        <v>408</v>
      </c>
      <c r="B409" s="35" t="s">
        <v>4466</v>
      </c>
      <c r="C409" s="49" t="s">
        <v>4467</v>
      </c>
      <c r="D409" s="49" t="s">
        <v>495</v>
      </c>
      <c r="E409" s="49" t="s">
        <v>516</v>
      </c>
      <c r="F409" s="35" t="s">
        <v>4468</v>
      </c>
      <c r="G409" s="49" t="s">
        <v>757</v>
      </c>
      <c r="H409" s="32" t="s">
        <v>4469</v>
      </c>
      <c r="I409" s="49" t="s">
        <v>1666</v>
      </c>
      <c r="J409" s="49" t="s">
        <v>4470</v>
      </c>
      <c r="K409" s="68"/>
      <c r="L409" s="68" t="s">
        <v>758</v>
      </c>
      <c r="M409" s="49">
        <v>1980</v>
      </c>
      <c r="N409" s="49">
        <v>1990</v>
      </c>
      <c r="O409" s="49" t="s">
        <v>758</v>
      </c>
      <c r="P409" s="49"/>
      <c r="Q409" s="49"/>
      <c r="R409" s="49"/>
      <c r="S409" s="35" t="s">
        <v>4474</v>
      </c>
      <c r="T409" s="49"/>
      <c r="U409" s="35" t="s">
        <v>4463</v>
      </c>
      <c r="V409" s="49" t="s">
        <v>1085</v>
      </c>
      <c r="W409" s="45" t="s">
        <v>4475</v>
      </c>
      <c r="X409" s="45" t="s">
        <v>4476</v>
      </c>
      <c r="Y409" s="22"/>
    </row>
    <row r="410" spans="1:26" ht="28.5">
      <c r="A410" s="49">
        <v>409</v>
      </c>
      <c r="B410" s="35" t="s">
        <v>4477</v>
      </c>
      <c r="C410" s="49"/>
      <c r="D410" s="49" t="s">
        <v>495</v>
      </c>
      <c r="E410" s="49" t="s">
        <v>516</v>
      </c>
      <c r="F410" s="35" t="s">
        <v>4478</v>
      </c>
      <c r="G410" s="49" t="s">
        <v>757</v>
      </c>
      <c r="H410" s="32" t="s">
        <v>4479</v>
      </c>
      <c r="I410" s="49" t="s">
        <v>1666</v>
      </c>
      <c r="J410" s="49" t="s">
        <v>4480</v>
      </c>
      <c r="K410" s="68" t="s">
        <v>4482</v>
      </c>
      <c r="L410" s="68" t="s">
        <v>758</v>
      </c>
      <c r="M410" s="49">
        <v>1985</v>
      </c>
      <c r="N410" s="49">
        <v>1990</v>
      </c>
      <c r="O410" s="49" t="s">
        <v>758</v>
      </c>
      <c r="P410" s="49"/>
      <c r="Q410" s="49"/>
      <c r="R410" s="49"/>
      <c r="S410" s="35" t="s">
        <v>4484</v>
      </c>
      <c r="T410" s="49"/>
      <c r="U410" s="35" t="s">
        <v>4571</v>
      </c>
      <c r="V410" s="49"/>
      <c r="W410" s="45" t="s">
        <v>4485</v>
      </c>
      <c r="X410" s="49"/>
    </row>
    <row r="411" spans="1:26" ht="71.25">
      <c r="A411" s="49">
        <v>410</v>
      </c>
      <c r="B411" s="35" t="s">
        <v>4486</v>
      </c>
      <c r="C411" s="49"/>
      <c r="D411" s="49" t="s">
        <v>495</v>
      </c>
      <c r="E411" s="49" t="s">
        <v>516</v>
      </c>
      <c r="F411" s="35" t="s">
        <v>4487</v>
      </c>
      <c r="G411" s="49" t="s">
        <v>757</v>
      </c>
      <c r="H411" s="32" t="s">
        <v>4488</v>
      </c>
      <c r="I411" s="49" t="s">
        <v>1666</v>
      </c>
      <c r="J411" s="49" t="s">
        <v>4489</v>
      </c>
      <c r="K411" s="68" t="s">
        <v>4492</v>
      </c>
      <c r="L411" s="68" t="s">
        <v>782</v>
      </c>
      <c r="M411" s="49">
        <v>1980</v>
      </c>
      <c r="N411" s="49">
        <v>1985</v>
      </c>
      <c r="O411" s="49" t="s">
        <v>782</v>
      </c>
      <c r="P411" s="49">
        <v>0</v>
      </c>
      <c r="Q411" s="49"/>
      <c r="R411" s="35" t="s">
        <v>4490</v>
      </c>
      <c r="S411" s="35" t="s">
        <v>4493</v>
      </c>
      <c r="T411" s="49"/>
      <c r="U411" s="98" t="s">
        <v>4494</v>
      </c>
      <c r="V411" s="49" t="s">
        <v>4497</v>
      </c>
      <c r="W411" s="45" t="s">
        <v>4495</v>
      </c>
      <c r="X411" s="45" t="s">
        <v>4496</v>
      </c>
    </row>
    <row r="412" spans="1:26" ht="42.75">
      <c r="A412" s="49">
        <v>411</v>
      </c>
      <c r="B412" s="35" t="s">
        <v>4498</v>
      </c>
      <c r="C412" s="49" t="s">
        <v>4499</v>
      </c>
      <c r="D412" s="49" t="s">
        <v>495</v>
      </c>
      <c r="E412" s="49" t="s">
        <v>516</v>
      </c>
      <c r="F412" s="35" t="s">
        <v>4569</v>
      </c>
      <c r="G412" s="49" t="s">
        <v>756</v>
      </c>
      <c r="H412" s="35" t="s">
        <v>4503</v>
      </c>
      <c r="I412" s="49" t="s">
        <v>1848</v>
      </c>
      <c r="J412" s="49" t="s">
        <v>4504</v>
      </c>
      <c r="K412" s="68" t="s">
        <v>4501</v>
      </c>
      <c r="L412" s="68" t="s">
        <v>758</v>
      </c>
      <c r="M412" s="49">
        <v>2010</v>
      </c>
      <c r="N412" s="49">
        <v>2020</v>
      </c>
      <c r="O412" s="49" t="s">
        <v>758</v>
      </c>
      <c r="P412" s="49"/>
      <c r="Q412" s="49"/>
      <c r="R412" s="49"/>
      <c r="S412" s="49"/>
      <c r="T412" s="49"/>
      <c r="U412" s="35" t="s">
        <v>4505</v>
      </c>
      <c r="V412" s="49"/>
      <c r="W412" s="45" t="s">
        <v>4500</v>
      </c>
      <c r="X412" s="49"/>
    </row>
    <row r="413" spans="1:26" ht="57">
      <c r="A413" s="49">
        <v>412</v>
      </c>
      <c r="B413" s="35" t="s">
        <v>4506</v>
      </c>
      <c r="C413" s="49"/>
      <c r="D413" s="49" t="s">
        <v>495</v>
      </c>
      <c r="E413" s="49" t="s">
        <v>516</v>
      </c>
      <c r="F413" s="35" t="s">
        <v>4568</v>
      </c>
      <c r="G413" s="49" t="s">
        <v>757</v>
      </c>
      <c r="H413" s="32" t="s">
        <v>4509</v>
      </c>
      <c r="I413" s="49" t="s">
        <v>2266</v>
      </c>
      <c r="J413" s="49" t="s">
        <v>4510</v>
      </c>
      <c r="K413" s="68" t="s">
        <v>177</v>
      </c>
      <c r="L413" s="68" t="s">
        <v>785</v>
      </c>
      <c r="M413" s="49">
        <v>1988</v>
      </c>
      <c r="N413" s="49">
        <v>1990</v>
      </c>
      <c r="O413" s="49"/>
      <c r="P413" s="49"/>
      <c r="Q413" s="49"/>
      <c r="R413" s="49"/>
      <c r="S413" s="49"/>
      <c r="T413" s="49" t="s">
        <v>4508</v>
      </c>
      <c r="U413" s="35" t="s">
        <v>4507</v>
      </c>
      <c r="V413" s="35" t="s">
        <v>4511</v>
      </c>
      <c r="W413" s="45" t="s">
        <v>4512</v>
      </c>
      <c r="X413" s="45" t="s">
        <v>4513</v>
      </c>
      <c r="Y413" s="22"/>
    </row>
    <row r="414" spans="1:26" ht="28.5">
      <c r="A414" s="49">
        <v>413</v>
      </c>
      <c r="B414" s="35" t="s">
        <v>4520</v>
      </c>
      <c r="C414" s="49"/>
      <c r="D414" s="49" t="s">
        <v>495</v>
      </c>
      <c r="E414" s="49" t="s">
        <v>516</v>
      </c>
      <c r="F414" s="35" t="s">
        <v>4567</v>
      </c>
      <c r="G414" s="49" t="s">
        <v>757</v>
      </c>
      <c r="H414" s="32" t="s">
        <v>4519</v>
      </c>
      <c r="I414" s="49" t="s">
        <v>1848</v>
      </c>
      <c r="J414" s="49" t="s">
        <v>4517</v>
      </c>
      <c r="K414" s="68" t="s">
        <v>4515</v>
      </c>
      <c r="L414" s="68" t="s">
        <v>785</v>
      </c>
      <c r="M414" s="49">
        <v>1980</v>
      </c>
      <c r="N414" s="49">
        <v>1990</v>
      </c>
      <c r="O414" s="49"/>
      <c r="P414" s="49"/>
      <c r="Q414" s="49"/>
      <c r="R414" s="49" t="s">
        <v>4516</v>
      </c>
      <c r="S414" s="35" t="s">
        <v>1026</v>
      </c>
      <c r="T414" s="49" t="s">
        <v>4544</v>
      </c>
      <c r="U414" s="35"/>
      <c r="V414" s="35" t="s">
        <v>4518</v>
      </c>
      <c r="W414" s="45" t="s">
        <v>4521</v>
      </c>
      <c r="X414" s="45" t="s">
        <v>4522</v>
      </c>
      <c r="Y414" s="22"/>
    </row>
    <row r="415" spans="1:26" ht="57">
      <c r="A415" s="49">
        <v>414</v>
      </c>
      <c r="B415" s="35" t="s">
        <v>4523</v>
      </c>
      <c r="C415" s="49"/>
      <c r="D415" s="49" t="s">
        <v>495</v>
      </c>
      <c r="E415" s="49" t="s">
        <v>516</v>
      </c>
      <c r="F415" s="35" t="s">
        <v>4524</v>
      </c>
      <c r="G415" s="49" t="s">
        <v>757</v>
      </c>
      <c r="H415" s="32" t="s">
        <v>4525</v>
      </c>
      <c r="I415" s="49" t="s">
        <v>1848</v>
      </c>
      <c r="J415" s="49" t="s">
        <v>4526</v>
      </c>
      <c r="K415" s="68"/>
      <c r="L415" s="68" t="s">
        <v>782</v>
      </c>
      <c r="M415" s="49">
        <v>1970</v>
      </c>
      <c r="N415" s="49">
        <v>1975</v>
      </c>
      <c r="O415" s="49" t="s">
        <v>782</v>
      </c>
      <c r="P415" s="49"/>
      <c r="Q415" s="49"/>
      <c r="R415" s="49"/>
      <c r="S415" s="49"/>
      <c r="T415" s="35" t="s">
        <v>4529</v>
      </c>
      <c r="U415" s="35" t="s">
        <v>4528</v>
      </c>
      <c r="V415" s="49" t="s">
        <v>4527</v>
      </c>
      <c r="W415" s="45" t="s">
        <v>4530</v>
      </c>
      <c r="X415" s="45" t="s">
        <v>4531</v>
      </c>
      <c r="Y415" s="22"/>
    </row>
    <row r="416" spans="1:26" ht="42.75">
      <c r="A416" s="49">
        <v>415</v>
      </c>
      <c r="B416" s="35" t="s">
        <v>4532</v>
      </c>
      <c r="C416" s="49"/>
      <c r="D416" s="49" t="s">
        <v>489</v>
      </c>
      <c r="E416" s="49" t="s">
        <v>516</v>
      </c>
      <c r="F416" s="35" t="s">
        <v>4533</v>
      </c>
      <c r="G416" s="49" t="s">
        <v>756</v>
      </c>
      <c r="H416" s="35" t="s">
        <v>1227</v>
      </c>
      <c r="I416" s="49" t="s">
        <v>2266</v>
      </c>
      <c r="J416" s="49" t="s">
        <v>4534</v>
      </c>
      <c r="K416" s="59" t="s">
        <v>115</v>
      </c>
      <c r="L416" s="68" t="s">
        <v>782</v>
      </c>
      <c r="M416" s="49">
        <v>1955</v>
      </c>
      <c r="N416" s="49">
        <v>1959</v>
      </c>
      <c r="O416" s="49"/>
      <c r="P416" s="49"/>
      <c r="Q416" s="49"/>
      <c r="R416" s="49"/>
      <c r="S416" s="49" t="s">
        <v>4535</v>
      </c>
      <c r="T416" s="49" t="s">
        <v>3309</v>
      </c>
      <c r="U416" s="35" t="s">
        <v>4570</v>
      </c>
      <c r="V416" s="35" t="s">
        <v>2126</v>
      </c>
      <c r="W416" s="45" t="s">
        <v>4536</v>
      </c>
      <c r="X416" s="45" t="s">
        <v>4537</v>
      </c>
      <c r="Y416" s="45" t="s">
        <v>4538</v>
      </c>
      <c r="Z416" s="22"/>
    </row>
    <row r="417" spans="1:26" ht="42.75">
      <c r="A417" s="49">
        <v>416</v>
      </c>
      <c r="B417" s="35" t="s">
        <v>4539</v>
      </c>
      <c r="C417" s="49">
        <v>102</v>
      </c>
      <c r="D417" s="49" t="s">
        <v>495</v>
      </c>
      <c r="E417" s="49" t="s">
        <v>516</v>
      </c>
      <c r="F417" s="35" t="s">
        <v>4540</v>
      </c>
      <c r="G417" s="49" t="s">
        <v>757</v>
      </c>
      <c r="H417" s="32" t="s">
        <v>4541</v>
      </c>
      <c r="I417" s="49" t="s">
        <v>1848</v>
      </c>
      <c r="J417" s="49" t="s">
        <v>4542</v>
      </c>
      <c r="K417" s="68" t="s">
        <v>775</v>
      </c>
      <c r="L417" s="68" t="s">
        <v>758</v>
      </c>
      <c r="M417" s="49">
        <v>1981</v>
      </c>
      <c r="N417" s="49">
        <v>1985</v>
      </c>
      <c r="O417" s="49" t="s">
        <v>782</v>
      </c>
      <c r="P417" s="49">
        <v>196</v>
      </c>
      <c r="Q417" s="49" t="s">
        <v>5165</v>
      </c>
      <c r="R417" s="49">
        <v>196</v>
      </c>
      <c r="S417" s="35" t="s">
        <v>880</v>
      </c>
      <c r="T417" s="49" t="s">
        <v>4543</v>
      </c>
      <c r="U417" s="35" t="s">
        <v>4551</v>
      </c>
      <c r="V417" s="49"/>
      <c r="W417" s="45" t="s">
        <v>4545</v>
      </c>
      <c r="X417" s="45" t="s">
        <v>4546</v>
      </c>
      <c r="Y417" s="45" t="s">
        <v>4547</v>
      </c>
    </row>
    <row r="418" spans="1:26" ht="57">
      <c r="A418" s="49">
        <v>417</v>
      </c>
      <c r="B418" s="35" t="s">
        <v>4548</v>
      </c>
      <c r="C418" s="49">
        <v>3000</v>
      </c>
      <c r="D418" s="49" t="s">
        <v>505</v>
      </c>
      <c r="E418" s="49" t="s">
        <v>516</v>
      </c>
      <c r="F418" s="35" t="s">
        <v>4549</v>
      </c>
      <c r="G418" s="49" t="s">
        <v>757</v>
      </c>
      <c r="H418" s="35" t="s">
        <v>4566</v>
      </c>
      <c r="I418" s="49" t="s">
        <v>1666</v>
      </c>
      <c r="J418" s="49" t="s">
        <v>4550</v>
      </c>
      <c r="K418" s="68" t="s">
        <v>51</v>
      </c>
      <c r="L418" s="68" t="s">
        <v>758</v>
      </c>
      <c r="M418" s="49">
        <v>1965</v>
      </c>
      <c r="N418" s="49">
        <v>1969</v>
      </c>
      <c r="O418" s="35" t="s">
        <v>3312</v>
      </c>
      <c r="P418" s="75"/>
      <c r="Q418" s="75"/>
      <c r="R418" s="75"/>
      <c r="S418" s="75"/>
      <c r="T418" s="75"/>
      <c r="U418" s="71"/>
      <c r="V418" s="75"/>
      <c r="W418" s="45" t="s">
        <v>4552</v>
      </c>
      <c r="X418" s="75"/>
      <c r="Y418" s="25"/>
    </row>
    <row r="419" spans="1:26" ht="71.25">
      <c r="A419" s="49">
        <v>418</v>
      </c>
      <c r="B419" s="35" t="s">
        <v>4553</v>
      </c>
      <c r="C419" s="49"/>
      <c r="D419" s="49" t="s">
        <v>494</v>
      </c>
      <c r="E419" s="49" t="s">
        <v>516</v>
      </c>
      <c r="F419" s="35" t="s">
        <v>4553</v>
      </c>
      <c r="G419" s="49" t="s">
        <v>757</v>
      </c>
      <c r="H419" s="32" t="s">
        <v>4555</v>
      </c>
      <c r="I419" s="49" t="s">
        <v>1666</v>
      </c>
      <c r="J419" s="49" t="s">
        <v>4556</v>
      </c>
      <c r="K419" s="68"/>
      <c r="L419" s="68" t="s">
        <v>782</v>
      </c>
      <c r="M419" s="49">
        <v>2008</v>
      </c>
      <c r="N419" s="49">
        <v>2010</v>
      </c>
      <c r="O419" s="49"/>
      <c r="P419" s="49"/>
      <c r="Q419" s="49"/>
      <c r="R419" s="49"/>
      <c r="S419" s="49" t="s">
        <v>1026</v>
      </c>
      <c r="T419" s="49"/>
      <c r="U419" s="99" t="s">
        <v>4554</v>
      </c>
      <c r="V419" s="49"/>
      <c r="W419" s="45" t="s">
        <v>4557</v>
      </c>
      <c r="X419" s="45" t="s">
        <v>4558</v>
      </c>
    </row>
    <row r="420" spans="1:26" ht="28.5">
      <c r="A420" s="49">
        <v>419</v>
      </c>
      <c r="B420" s="35" t="s">
        <v>4559</v>
      </c>
      <c r="C420" s="49" t="s">
        <v>4560</v>
      </c>
      <c r="D420" s="49" t="s">
        <v>494</v>
      </c>
      <c r="E420" s="49" t="s">
        <v>516</v>
      </c>
      <c r="F420" s="35" t="s">
        <v>4561</v>
      </c>
      <c r="G420" s="49" t="s">
        <v>757</v>
      </c>
      <c r="H420" s="32" t="s">
        <v>4562</v>
      </c>
      <c r="I420" s="49" t="s">
        <v>1666</v>
      </c>
      <c r="J420" s="49" t="s">
        <v>4563</v>
      </c>
      <c r="K420" s="68" t="s">
        <v>268</v>
      </c>
      <c r="L420" s="68" t="s">
        <v>758</v>
      </c>
      <c r="M420" s="49">
        <v>1984</v>
      </c>
      <c r="N420" s="49">
        <v>2000</v>
      </c>
      <c r="O420" s="35" t="s">
        <v>3312</v>
      </c>
      <c r="P420" s="49">
        <v>12</v>
      </c>
      <c r="Q420" s="74"/>
      <c r="R420" s="74"/>
      <c r="S420" s="35" t="s">
        <v>1063</v>
      </c>
      <c r="T420" s="74"/>
      <c r="U420" s="35" t="s">
        <v>4564</v>
      </c>
      <c r="V420" s="49" t="s">
        <v>1085</v>
      </c>
      <c r="W420" s="45" t="s">
        <v>4565</v>
      </c>
      <c r="X420" s="49"/>
    </row>
    <row r="421" spans="1:26" ht="28.5">
      <c r="A421" s="49">
        <v>420</v>
      </c>
      <c r="B421" s="35" t="s">
        <v>4577</v>
      </c>
      <c r="C421" s="49" t="s">
        <v>4582</v>
      </c>
      <c r="D421" s="49" t="s">
        <v>495</v>
      </c>
      <c r="E421" s="49" t="s">
        <v>516</v>
      </c>
      <c r="F421" s="35" t="s">
        <v>4578</v>
      </c>
      <c r="G421" s="49" t="s">
        <v>755</v>
      </c>
      <c r="H421" s="35" t="s">
        <v>4579</v>
      </c>
      <c r="I421" s="49" t="s">
        <v>1848</v>
      </c>
      <c r="J421" s="49" t="s">
        <v>4580</v>
      </c>
      <c r="K421" s="68" t="s">
        <v>91</v>
      </c>
      <c r="L421" s="68" t="s">
        <v>758</v>
      </c>
      <c r="M421" s="49">
        <v>1997</v>
      </c>
      <c r="N421" s="49">
        <v>2005</v>
      </c>
      <c r="O421" s="35" t="s">
        <v>4581</v>
      </c>
      <c r="P421" s="49"/>
      <c r="Q421" s="49"/>
      <c r="R421" s="49"/>
      <c r="S421" s="35" t="s">
        <v>4484</v>
      </c>
      <c r="T421" s="49" t="s">
        <v>4584</v>
      </c>
      <c r="U421" s="35" t="s">
        <v>4583</v>
      </c>
      <c r="V421" s="49"/>
      <c r="W421" s="45" t="s">
        <v>4585</v>
      </c>
      <c r="X421" s="45" t="s">
        <v>4586</v>
      </c>
      <c r="Y421" s="22"/>
    </row>
    <row r="422" spans="1:26" ht="42.75">
      <c r="A422" s="49">
        <v>421</v>
      </c>
      <c r="B422" s="35" t="s">
        <v>4638</v>
      </c>
      <c r="C422" s="49"/>
      <c r="D422" s="49" t="s">
        <v>494</v>
      </c>
      <c r="E422" s="49" t="s">
        <v>516</v>
      </c>
      <c r="F422" s="35" t="s">
        <v>4639</v>
      </c>
      <c r="G422" s="49" t="s">
        <v>757</v>
      </c>
      <c r="H422" s="35" t="s">
        <v>4651</v>
      </c>
      <c r="I422" s="49" t="s">
        <v>1848</v>
      </c>
      <c r="J422" s="49" t="s">
        <v>4640</v>
      </c>
      <c r="K422" s="68" t="s">
        <v>150</v>
      </c>
      <c r="L422" s="68" t="s">
        <v>758</v>
      </c>
      <c r="M422" s="49">
        <v>1972</v>
      </c>
      <c r="N422" s="49">
        <v>1979</v>
      </c>
      <c r="O422" s="35" t="s">
        <v>4641</v>
      </c>
      <c r="P422" s="49">
        <v>137</v>
      </c>
      <c r="Q422" s="49" t="s">
        <v>4642</v>
      </c>
      <c r="R422" s="35" t="s">
        <v>4643</v>
      </c>
      <c r="S422" s="35" t="s">
        <v>4644</v>
      </c>
      <c r="T422" s="49" t="s">
        <v>4780</v>
      </c>
      <c r="U422" s="35" t="s">
        <v>3762</v>
      </c>
      <c r="V422" s="66"/>
      <c r="W422" s="45" t="s">
        <v>4687</v>
      </c>
      <c r="X422" s="45" t="s">
        <v>4688</v>
      </c>
    </row>
    <row r="423" spans="1:26" ht="28.5">
      <c r="A423" s="49">
        <v>422</v>
      </c>
      <c r="B423" s="49" t="s">
        <v>4587</v>
      </c>
      <c r="C423" s="49" t="s">
        <v>4588</v>
      </c>
      <c r="D423" s="49" t="s">
        <v>494</v>
      </c>
      <c r="E423" s="49" t="s">
        <v>516</v>
      </c>
      <c r="F423" s="49" t="s">
        <v>4589</v>
      </c>
      <c r="G423" s="49" t="s">
        <v>755</v>
      </c>
      <c r="H423" s="49" t="s">
        <v>1227</v>
      </c>
      <c r="I423" s="49" t="s">
        <v>1003</v>
      </c>
      <c r="J423" s="49" t="s">
        <v>4590</v>
      </c>
      <c r="K423" s="68"/>
      <c r="L423" s="49" t="s">
        <v>758</v>
      </c>
      <c r="M423" s="49">
        <v>1995</v>
      </c>
      <c r="N423" s="49">
        <v>2020</v>
      </c>
      <c r="O423" s="49" t="s">
        <v>758</v>
      </c>
      <c r="P423" s="49"/>
      <c r="Q423" s="49"/>
      <c r="R423" s="35" t="s">
        <v>2530</v>
      </c>
      <c r="S423" s="35" t="s">
        <v>2534</v>
      </c>
      <c r="T423" s="49" t="s">
        <v>4592</v>
      </c>
      <c r="U423" s="35" t="s">
        <v>4593</v>
      </c>
      <c r="V423" s="49" t="s">
        <v>4527</v>
      </c>
      <c r="W423" s="45" t="s">
        <v>4591</v>
      </c>
      <c r="X423" s="49"/>
      <c r="Y423" s="22"/>
    </row>
    <row r="424" spans="1:26" ht="42.75">
      <c r="A424" s="49">
        <v>423</v>
      </c>
      <c r="B424" s="35" t="s">
        <v>4645</v>
      </c>
      <c r="C424" s="49">
        <v>4852</v>
      </c>
      <c r="D424" s="49" t="s">
        <v>495</v>
      </c>
      <c r="E424" s="49" t="s">
        <v>516</v>
      </c>
      <c r="F424" s="35" t="s">
        <v>4646</v>
      </c>
      <c r="G424" s="49" t="s">
        <v>757</v>
      </c>
      <c r="H424" s="35" t="s">
        <v>4650</v>
      </c>
      <c r="I424" s="49" t="s">
        <v>4647</v>
      </c>
      <c r="J424" s="49" t="s">
        <v>4648</v>
      </c>
      <c r="K424" s="68" t="s">
        <v>91</v>
      </c>
      <c r="L424" s="68" t="s">
        <v>758</v>
      </c>
      <c r="M424" s="49">
        <v>1981</v>
      </c>
      <c r="N424" s="49">
        <v>1985</v>
      </c>
      <c r="O424" s="49" t="s">
        <v>758</v>
      </c>
      <c r="P424" s="49">
        <v>100</v>
      </c>
      <c r="Q424" s="49" t="s">
        <v>4642</v>
      </c>
      <c r="R424" s="35" t="s">
        <v>4643</v>
      </c>
      <c r="S424" s="49"/>
      <c r="T424" s="35" t="s">
        <v>4649</v>
      </c>
      <c r="U424" s="35" t="s">
        <v>4431</v>
      </c>
      <c r="V424" s="66"/>
      <c r="W424" s="45" t="s">
        <v>4689</v>
      </c>
      <c r="X424" s="66"/>
    </row>
    <row r="425" spans="1:26" ht="28.5">
      <c r="A425" s="49">
        <v>424</v>
      </c>
      <c r="B425" s="35" t="s">
        <v>4594</v>
      </c>
      <c r="C425" s="49" t="s">
        <v>4595</v>
      </c>
      <c r="D425" s="49" t="s">
        <v>494</v>
      </c>
      <c r="E425" s="49" t="s">
        <v>516</v>
      </c>
      <c r="F425" s="35" t="s">
        <v>4596</v>
      </c>
      <c r="G425" s="49" t="s">
        <v>755</v>
      </c>
      <c r="H425" s="49" t="s">
        <v>4607</v>
      </c>
      <c r="I425" s="49" t="s">
        <v>1003</v>
      </c>
      <c r="J425" s="49" t="s">
        <v>4608</v>
      </c>
      <c r="K425" s="68"/>
      <c r="L425" s="49"/>
      <c r="M425" s="49"/>
      <c r="N425" s="49"/>
      <c r="O425" s="49"/>
      <c r="P425" s="49"/>
      <c r="Q425" s="49"/>
      <c r="R425" s="49"/>
      <c r="S425" s="35" t="s">
        <v>4599</v>
      </c>
      <c r="T425" s="35" t="s">
        <v>4622</v>
      </c>
      <c r="U425" s="35" t="s">
        <v>4598</v>
      </c>
      <c r="V425" s="49" t="s">
        <v>1085</v>
      </c>
      <c r="W425" s="45" t="s">
        <v>4597</v>
      </c>
      <c r="X425" s="49"/>
    </row>
    <row r="426" spans="1:26" ht="28.5">
      <c r="A426" s="49">
        <v>425</v>
      </c>
      <c r="B426" s="35" t="s">
        <v>4600</v>
      </c>
      <c r="C426" s="49"/>
      <c r="D426" s="49" t="s">
        <v>494</v>
      </c>
      <c r="E426" s="49" t="s">
        <v>516</v>
      </c>
      <c r="F426" s="35" t="s">
        <v>4602</v>
      </c>
      <c r="G426" s="49" t="s">
        <v>757</v>
      </c>
      <c r="H426" s="38" t="s">
        <v>4601</v>
      </c>
      <c r="I426" s="49" t="s">
        <v>1666</v>
      </c>
      <c r="J426" s="49" t="s">
        <v>4603</v>
      </c>
      <c r="K426" s="68" t="s">
        <v>3328</v>
      </c>
      <c r="L426" s="68" t="s">
        <v>785</v>
      </c>
      <c r="M426" s="49">
        <v>1975</v>
      </c>
      <c r="N426" s="49">
        <v>1980</v>
      </c>
      <c r="O426" s="49"/>
      <c r="P426" s="49"/>
      <c r="Q426" s="49"/>
      <c r="R426" s="49"/>
      <c r="S426" s="35" t="s">
        <v>2693</v>
      </c>
      <c r="T426" s="49"/>
      <c r="U426" s="35" t="s">
        <v>4604</v>
      </c>
      <c r="V426" s="49"/>
      <c r="W426" s="45" t="s">
        <v>4605</v>
      </c>
      <c r="X426" s="45" t="s">
        <v>4606</v>
      </c>
    </row>
    <row r="427" spans="1:26" ht="156.75">
      <c r="A427" s="49">
        <v>426</v>
      </c>
      <c r="B427" s="35" t="s">
        <v>4652</v>
      </c>
      <c r="C427" s="49">
        <v>2220</v>
      </c>
      <c r="D427" s="49" t="s">
        <v>504</v>
      </c>
      <c r="E427" s="49" t="s">
        <v>504</v>
      </c>
      <c r="F427" s="35" t="s">
        <v>4653</v>
      </c>
      <c r="G427" s="49" t="s">
        <v>756</v>
      </c>
      <c r="H427" s="35" t="s">
        <v>4654</v>
      </c>
      <c r="I427" s="35" t="s">
        <v>4655</v>
      </c>
      <c r="J427" s="49" t="s">
        <v>4656</v>
      </c>
      <c r="K427" s="68" t="s">
        <v>4658</v>
      </c>
      <c r="L427" s="68" t="s">
        <v>782</v>
      </c>
      <c r="M427" s="49"/>
      <c r="N427" s="49"/>
      <c r="O427" s="49" t="s">
        <v>785</v>
      </c>
      <c r="P427" s="49">
        <v>128</v>
      </c>
      <c r="Q427" s="49" t="s">
        <v>4642</v>
      </c>
      <c r="R427" s="35" t="s">
        <v>1249</v>
      </c>
      <c r="S427" s="35" t="s">
        <v>864</v>
      </c>
      <c r="T427" s="49"/>
      <c r="U427" s="35" t="s">
        <v>6216</v>
      </c>
      <c r="V427" s="49" t="s">
        <v>4659</v>
      </c>
      <c r="W427" s="45" t="s">
        <v>4690</v>
      </c>
      <c r="X427" s="66"/>
    </row>
    <row r="428" spans="1:26" ht="42.75">
      <c r="A428" s="49">
        <v>427</v>
      </c>
      <c r="B428" s="35" t="s">
        <v>4660</v>
      </c>
      <c r="C428" s="49">
        <v>23722</v>
      </c>
      <c r="D428" s="49" t="s">
        <v>492</v>
      </c>
      <c r="E428" s="49" t="s">
        <v>511</v>
      </c>
      <c r="F428" s="35" t="s">
        <v>4669</v>
      </c>
      <c r="G428" s="49" t="s">
        <v>755</v>
      </c>
      <c r="H428" s="35" t="s">
        <v>4661</v>
      </c>
      <c r="I428" s="35" t="s">
        <v>4662</v>
      </c>
      <c r="J428" s="49" t="s">
        <v>4664</v>
      </c>
      <c r="K428" s="68" t="s">
        <v>127</v>
      </c>
      <c r="L428" s="68" t="s">
        <v>758</v>
      </c>
      <c r="M428" s="49">
        <v>1945</v>
      </c>
      <c r="N428" s="49">
        <v>1954</v>
      </c>
      <c r="O428" s="49" t="s">
        <v>758</v>
      </c>
      <c r="P428" s="49">
        <v>311</v>
      </c>
      <c r="Q428" s="49" t="s">
        <v>4663</v>
      </c>
      <c r="R428" s="35" t="s">
        <v>1249</v>
      </c>
      <c r="S428" s="35" t="s">
        <v>4667</v>
      </c>
      <c r="T428" s="49" t="s">
        <v>4665</v>
      </c>
      <c r="U428" s="35" t="s">
        <v>4666</v>
      </c>
      <c r="V428" s="49" t="s">
        <v>1201</v>
      </c>
      <c r="W428" s="45" t="s">
        <v>4691</v>
      </c>
      <c r="X428" s="45" t="s">
        <v>4692</v>
      </c>
    </row>
    <row r="429" spans="1:26" ht="28.5">
      <c r="A429" s="49">
        <v>428</v>
      </c>
      <c r="B429" s="35" t="s">
        <v>4609</v>
      </c>
      <c r="C429" s="49" t="s">
        <v>4610</v>
      </c>
      <c r="D429" s="49" t="s">
        <v>494</v>
      </c>
      <c r="E429" s="49" t="s">
        <v>516</v>
      </c>
      <c r="F429" s="49" t="s">
        <v>4611</v>
      </c>
      <c r="G429" s="49" t="s">
        <v>757</v>
      </c>
      <c r="H429" s="32" t="s">
        <v>4612</v>
      </c>
      <c r="I429" s="49" t="s">
        <v>1666</v>
      </c>
      <c r="J429" s="49" t="s">
        <v>4613</v>
      </c>
      <c r="K429" s="68"/>
      <c r="L429" s="68" t="s">
        <v>758</v>
      </c>
      <c r="M429" s="49">
        <v>2000</v>
      </c>
      <c r="N429" s="49">
        <v>2010</v>
      </c>
      <c r="O429" s="49" t="s">
        <v>758</v>
      </c>
      <c r="P429" s="49"/>
      <c r="Q429" s="49"/>
      <c r="R429" s="49"/>
      <c r="S429" s="49"/>
      <c r="T429" s="49"/>
      <c r="U429" s="35" t="s">
        <v>4614</v>
      </c>
      <c r="V429" s="49" t="s">
        <v>4527</v>
      </c>
      <c r="W429" s="45" t="s">
        <v>4615</v>
      </c>
      <c r="X429" s="45" t="s">
        <v>4616</v>
      </c>
      <c r="Y429" s="22"/>
    </row>
    <row r="430" spans="1:26" ht="99.75">
      <c r="A430" s="49">
        <v>429</v>
      </c>
      <c r="B430" s="35" t="s">
        <v>4668</v>
      </c>
      <c r="C430" s="49">
        <v>50114</v>
      </c>
      <c r="D430" s="49" t="s">
        <v>493</v>
      </c>
      <c r="E430" s="49" t="s">
        <v>508</v>
      </c>
      <c r="F430" s="35" t="s">
        <v>4670</v>
      </c>
      <c r="G430" s="49" t="s">
        <v>757</v>
      </c>
      <c r="H430" s="35" t="s">
        <v>4671</v>
      </c>
      <c r="I430" s="35" t="s">
        <v>4672</v>
      </c>
      <c r="J430" s="49" t="s">
        <v>4678</v>
      </c>
      <c r="K430" s="68" t="s">
        <v>127</v>
      </c>
      <c r="L430" s="68" t="s">
        <v>782</v>
      </c>
      <c r="M430" s="49">
        <v>1955</v>
      </c>
      <c r="N430" s="49">
        <v>1959</v>
      </c>
      <c r="O430" s="35" t="s">
        <v>4673</v>
      </c>
      <c r="P430" s="49">
        <v>372</v>
      </c>
      <c r="Q430" s="49" t="s">
        <v>4663</v>
      </c>
      <c r="R430" s="35" t="s">
        <v>1249</v>
      </c>
      <c r="S430" s="35" t="s">
        <v>4675</v>
      </c>
      <c r="T430" s="49" t="s">
        <v>4677</v>
      </c>
      <c r="U430" s="35" t="s">
        <v>4676</v>
      </c>
      <c r="V430" s="35" t="s">
        <v>4674</v>
      </c>
      <c r="W430" s="45" t="s">
        <v>4693</v>
      </c>
      <c r="X430" s="45" t="s">
        <v>4694</v>
      </c>
    </row>
    <row r="431" spans="1:26" ht="42.75">
      <c r="A431" s="49">
        <v>430</v>
      </c>
      <c r="B431" s="35" t="s">
        <v>4619</v>
      </c>
      <c r="C431" s="49"/>
      <c r="D431" s="49" t="s">
        <v>495</v>
      </c>
      <c r="E431" s="49" t="s">
        <v>516</v>
      </c>
      <c r="F431" s="35" t="s">
        <v>4617</v>
      </c>
      <c r="G431" s="49" t="s">
        <v>756</v>
      </c>
      <c r="H431" s="35" t="s">
        <v>4618</v>
      </c>
      <c r="I431" s="35" t="s">
        <v>2663</v>
      </c>
      <c r="J431" s="49" t="s">
        <v>4625</v>
      </c>
      <c r="K431" s="68" t="s">
        <v>66</v>
      </c>
      <c r="L431" s="68" t="s">
        <v>758</v>
      </c>
      <c r="M431" s="49">
        <v>1955</v>
      </c>
      <c r="N431" s="49">
        <v>1959</v>
      </c>
      <c r="O431" s="49"/>
      <c r="P431" s="49"/>
      <c r="Q431" s="49"/>
      <c r="R431" s="35" t="s">
        <v>3840</v>
      </c>
      <c r="S431" s="35" t="s">
        <v>4620</v>
      </c>
      <c r="T431" s="49" t="s">
        <v>4624</v>
      </c>
      <c r="U431" s="35" t="s">
        <v>4621</v>
      </c>
      <c r="V431" s="49" t="s">
        <v>2126</v>
      </c>
      <c r="W431" s="45" t="s">
        <v>4626</v>
      </c>
      <c r="X431" s="45" t="s">
        <v>4627</v>
      </c>
      <c r="Y431" s="45" t="s">
        <v>4628</v>
      </c>
      <c r="Z431" s="22"/>
    </row>
    <row r="432" spans="1:26" ht="142.5">
      <c r="A432" s="49">
        <v>431</v>
      </c>
      <c r="B432" s="35" t="s">
        <v>4679</v>
      </c>
      <c r="C432" s="49">
        <v>470</v>
      </c>
      <c r="D432" s="35" t="s">
        <v>490</v>
      </c>
      <c r="E432" s="49" t="s">
        <v>506</v>
      </c>
      <c r="F432" s="35" t="s">
        <v>4680</v>
      </c>
      <c r="G432" s="49" t="s">
        <v>755</v>
      </c>
      <c r="H432" s="35" t="s">
        <v>4681</v>
      </c>
      <c r="I432" s="35" t="s">
        <v>1340</v>
      </c>
      <c r="J432" s="49" t="s">
        <v>4682</v>
      </c>
      <c r="K432" s="68" t="s">
        <v>86</v>
      </c>
      <c r="L432" s="68" t="s">
        <v>782</v>
      </c>
      <c r="M432" s="49">
        <v>1901</v>
      </c>
      <c r="N432" s="49">
        <v>1935</v>
      </c>
      <c r="O432" s="49"/>
      <c r="P432" s="49">
        <v>1400</v>
      </c>
      <c r="Q432" s="49" t="s">
        <v>4663</v>
      </c>
      <c r="R432" s="35" t="s">
        <v>3840</v>
      </c>
      <c r="S432" s="35" t="s">
        <v>4684</v>
      </c>
      <c r="T432" s="35" t="s">
        <v>4736</v>
      </c>
      <c r="U432" s="35" t="s">
        <v>4683</v>
      </c>
      <c r="V432" s="49"/>
      <c r="W432" s="45" t="s">
        <v>4695</v>
      </c>
      <c r="X432" s="45" t="s">
        <v>4696</v>
      </c>
    </row>
    <row r="433" spans="1:26" ht="213.75">
      <c r="A433" s="49">
        <v>432</v>
      </c>
      <c r="B433" s="35" t="s">
        <v>4630</v>
      </c>
      <c r="C433" s="49"/>
      <c r="D433" s="49" t="s">
        <v>493</v>
      </c>
      <c r="E433" s="49" t="s">
        <v>511</v>
      </c>
      <c r="F433" s="35" t="s">
        <v>4632</v>
      </c>
      <c r="G433" s="49" t="s">
        <v>755</v>
      </c>
      <c r="H433" s="37" t="s">
        <v>4633</v>
      </c>
      <c r="I433" s="49" t="s">
        <v>1003</v>
      </c>
      <c r="J433" s="49" t="s">
        <v>4634</v>
      </c>
      <c r="K433" s="68" t="s">
        <v>137</v>
      </c>
      <c r="L433" s="68" t="s">
        <v>782</v>
      </c>
      <c r="M433" s="49">
        <v>1925</v>
      </c>
      <c r="N433" s="49">
        <v>1930</v>
      </c>
      <c r="O433" s="49"/>
      <c r="P433" s="49"/>
      <c r="Q433" s="49"/>
      <c r="R433" s="49"/>
      <c r="S433" s="35" t="s">
        <v>4631</v>
      </c>
      <c r="T433" s="49" t="s">
        <v>4635</v>
      </c>
      <c r="U433" s="100" t="s">
        <v>4636</v>
      </c>
      <c r="V433" s="49"/>
      <c r="W433" s="45" t="s">
        <v>4637</v>
      </c>
      <c r="X433" s="43" t="s">
        <v>4686</v>
      </c>
    </row>
    <row r="434" spans="1:26" ht="42.75">
      <c r="A434" s="49">
        <v>433</v>
      </c>
      <c r="B434" s="35" t="s">
        <v>4701</v>
      </c>
      <c r="C434" s="49">
        <v>33</v>
      </c>
      <c r="D434" s="49" t="s">
        <v>493</v>
      </c>
      <c r="E434" s="49" t="s">
        <v>519</v>
      </c>
      <c r="F434" s="35" t="s">
        <v>4702</v>
      </c>
      <c r="G434" s="49" t="s">
        <v>755</v>
      </c>
      <c r="H434" s="35" t="s">
        <v>4703</v>
      </c>
      <c r="I434" s="35" t="s">
        <v>4704</v>
      </c>
      <c r="J434" s="49" t="s">
        <v>4705</v>
      </c>
      <c r="K434" s="68" t="s">
        <v>4706</v>
      </c>
      <c r="L434" s="68" t="s">
        <v>758</v>
      </c>
      <c r="M434" s="49">
        <v>1911</v>
      </c>
      <c r="N434" s="49">
        <v>1912</v>
      </c>
      <c r="O434" s="49"/>
      <c r="P434" s="49">
        <v>1550</v>
      </c>
      <c r="Q434" s="49" t="s">
        <v>4713</v>
      </c>
      <c r="R434" s="35" t="s">
        <v>3840</v>
      </c>
      <c r="S434" s="35" t="s">
        <v>4714</v>
      </c>
      <c r="T434" s="49" t="s">
        <v>4737</v>
      </c>
      <c r="U434" s="35" t="s">
        <v>4715</v>
      </c>
      <c r="V434" s="35" t="s">
        <v>4716</v>
      </c>
      <c r="W434" s="45" t="s">
        <v>4720</v>
      </c>
      <c r="X434" s="45" t="s">
        <v>4721</v>
      </c>
      <c r="Y434" s="45" t="s">
        <v>4719</v>
      </c>
      <c r="Z434" s="22"/>
    </row>
    <row r="435" spans="1:26" ht="42.75">
      <c r="A435" s="49">
        <v>434</v>
      </c>
      <c r="B435" s="32" t="s">
        <v>4770</v>
      </c>
      <c r="C435" s="49">
        <v>8</v>
      </c>
      <c r="D435" s="49" t="s">
        <v>492</v>
      </c>
      <c r="E435" s="49" t="s">
        <v>492</v>
      </c>
      <c r="F435" s="35" t="s">
        <v>4722</v>
      </c>
      <c r="G435" s="49" t="s">
        <v>755</v>
      </c>
      <c r="H435" s="35" t="s">
        <v>4724</v>
      </c>
      <c r="I435" s="35" t="s">
        <v>1848</v>
      </c>
      <c r="J435" s="49" t="s">
        <v>4726</v>
      </c>
      <c r="K435" s="68" t="s">
        <v>120</v>
      </c>
      <c r="L435" s="68" t="s">
        <v>758</v>
      </c>
      <c r="M435" s="49">
        <v>1957</v>
      </c>
      <c r="N435" s="49">
        <v>1960</v>
      </c>
      <c r="O435" s="35" t="s">
        <v>4727</v>
      </c>
      <c r="P435" s="66"/>
      <c r="Q435" s="66"/>
      <c r="R435" s="66"/>
      <c r="S435" s="35" t="s">
        <v>4723</v>
      </c>
      <c r="T435" s="49" t="s">
        <v>4725</v>
      </c>
      <c r="U435" s="35" t="s">
        <v>4728</v>
      </c>
      <c r="V435" s="66"/>
      <c r="W435" s="45" t="s">
        <v>4807</v>
      </c>
      <c r="X435" s="66"/>
    </row>
    <row r="436" spans="1:26" ht="114">
      <c r="A436" s="49">
        <v>435</v>
      </c>
      <c r="B436" s="35" t="s">
        <v>4755</v>
      </c>
      <c r="C436" s="49"/>
      <c r="D436" s="35" t="s">
        <v>499</v>
      </c>
      <c r="E436" s="49" t="s">
        <v>509</v>
      </c>
      <c r="F436" s="35" t="s">
        <v>4756</v>
      </c>
      <c r="G436" s="49" t="s">
        <v>755</v>
      </c>
      <c r="H436" s="35" t="s">
        <v>4757</v>
      </c>
      <c r="I436" s="35" t="s">
        <v>1003</v>
      </c>
      <c r="J436" s="49" t="s">
        <v>4758</v>
      </c>
      <c r="K436" s="68" t="s">
        <v>183</v>
      </c>
      <c r="L436" s="68" t="s">
        <v>782</v>
      </c>
      <c r="M436" s="49">
        <v>1925</v>
      </c>
      <c r="N436" s="49">
        <v>1930</v>
      </c>
      <c r="O436" s="49"/>
      <c r="P436" s="49">
        <v>800</v>
      </c>
      <c r="Q436" s="49" t="s">
        <v>4759</v>
      </c>
      <c r="R436" s="35" t="s">
        <v>3840</v>
      </c>
      <c r="S436" s="49"/>
      <c r="T436" s="49"/>
      <c r="U436" s="35" t="s">
        <v>4760</v>
      </c>
      <c r="V436" s="74"/>
      <c r="W436" s="45" t="s">
        <v>4808</v>
      </c>
      <c r="X436" s="45" t="s">
        <v>4809</v>
      </c>
    </row>
    <row r="437" spans="1:26" ht="199.5">
      <c r="A437" s="49">
        <v>436</v>
      </c>
      <c r="B437" s="35" t="s">
        <v>4769</v>
      </c>
      <c r="C437" s="49"/>
      <c r="D437" s="49" t="s">
        <v>493</v>
      </c>
      <c r="E437" s="49" t="s">
        <v>517</v>
      </c>
      <c r="F437" s="35" t="s">
        <v>4761</v>
      </c>
      <c r="G437" s="49" t="s">
        <v>755</v>
      </c>
      <c r="H437" s="35" t="s">
        <v>4762</v>
      </c>
      <c r="I437" s="35" t="s">
        <v>1003</v>
      </c>
      <c r="J437" s="49" t="s">
        <v>4763</v>
      </c>
      <c r="K437" s="68" t="s">
        <v>4767</v>
      </c>
      <c r="L437" s="68" t="s">
        <v>782</v>
      </c>
      <c r="M437" s="49">
        <v>1923</v>
      </c>
      <c r="N437" s="49">
        <v>1930</v>
      </c>
      <c r="O437" s="49"/>
      <c r="P437" s="49">
        <v>900</v>
      </c>
      <c r="Q437" s="49" t="s">
        <v>4759</v>
      </c>
      <c r="R437" s="35" t="s">
        <v>3840</v>
      </c>
      <c r="S437" s="35" t="s">
        <v>4765</v>
      </c>
      <c r="T437" s="49" t="s">
        <v>4764</v>
      </c>
      <c r="U437" s="35" t="s">
        <v>6215</v>
      </c>
      <c r="V437" s="66"/>
      <c r="W437" s="42" t="s">
        <v>4810</v>
      </c>
      <c r="X437" s="45" t="s">
        <v>4811</v>
      </c>
    </row>
    <row r="438" spans="1:26" ht="42.75">
      <c r="A438" s="49">
        <v>437</v>
      </c>
      <c r="B438" s="35" t="s">
        <v>4771</v>
      </c>
      <c r="C438" s="49" t="s">
        <v>4772</v>
      </c>
      <c r="D438" s="49" t="s">
        <v>489</v>
      </c>
      <c r="E438" s="49" t="s">
        <v>508</v>
      </c>
      <c r="F438" s="35" t="s">
        <v>4773</v>
      </c>
      <c r="G438" s="49" t="s">
        <v>755</v>
      </c>
      <c r="H438" s="35" t="s">
        <v>4774</v>
      </c>
      <c r="I438" s="35" t="s">
        <v>1003</v>
      </c>
      <c r="J438" s="49" t="s">
        <v>4775</v>
      </c>
      <c r="K438" s="68" t="s">
        <v>56</v>
      </c>
      <c r="L438" s="68" t="s">
        <v>758</v>
      </c>
      <c r="M438" s="49">
        <v>1952</v>
      </c>
      <c r="N438" s="49">
        <v>1960</v>
      </c>
      <c r="O438" s="49" t="s">
        <v>782</v>
      </c>
      <c r="P438" s="49">
        <v>400</v>
      </c>
      <c r="Q438" s="49" t="s">
        <v>4759</v>
      </c>
      <c r="R438" s="35" t="s">
        <v>3840</v>
      </c>
      <c r="S438" s="35" t="s">
        <v>4777</v>
      </c>
      <c r="T438" s="35" t="s">
        <v>4776</v>
      </c>
      <c r="U438" s="35" t="s">
        <v>4778</v>
      </c>
      <c r="V438" s="49" t="s">
        <v>4827</v>
      </c>
      <c r="W438" s="42" t="s">
        <v>4812</v>
      </c>
      <c r="X438" s="42" t="s">
        <v>4813</v>
      </c>
      <c r="Y438" s="45" t="s">
        <v>4814</v>
      </c>
    </row>
    <row r="439" spans="1:26" ht="128.25">
      <c r="A439" s="49">
        <v>438</v>
      </c>
      <c r="B439" s="35" t="s">
        <v>4781</v>
      </c>
      <c r="C439" s="49"/>
      <c r="D439" s="49" t="s">
        <v>492</v>
      </c>
      <c r="E439" s="49" t="s">
        <v>492</v>
      </c>
      <c r="F439" s="35" t="s">
        <v>4782</v>
      </c>
      <c r="G439" s="49" t="s">
        <v>755</v>
      </c>
      <c r="H439" s="35" t="s">
        <v>4783</v>
      </c>
      <c r="I439" s="35" t="s">
        <v>1003</v>
      </c>
      <c r="J439" s="49" t="s">
        <v>4784</v>
      </c>
      <c r="K439" s="68" t="s">
        <v>137</v>
      </c>
      <c r="L439" s="68" t="s">
        <v>782</v>
      </c>
      <c r="M439" s="49">
        <v>1935</v>
      </c>
      <c r="N439" s="49">
        <v>1940</v>
      </c>
      <c r="O439" s="49"/>
      <c r="P439" s="49"/>
      <c r="Q439" s="49"/>
      <c r="R439" s="49"/>
      <c r="S439" s="35" t="s">
        <v>4785</v>
      </c>
      <c r="T439" s="49" t="s">
        <v>4799</v>
      </c>
      <c r="U439" s="35" t="s">
        <v>4806</v>
      </c>
      <c r="V439" s="66"/>
      <c r="W439" s="77" t="s">
        <v>4815</v>
      </c>
      <c r="X439" s="77" t="s">
        <v>4816</v>
      </c>
      <c r="Y439" s="77" t="s">
        <v>4817</v>
      </c>
    </row>
    <row r="440" spans="1:26" ht="71.25">
      <c r="A440" s="49">
        <v>439</v>
      </c>
      <c r="B440" s="35" t="s">
        <v>4789</v>
      </c>
      <c r="C440" s="49"/>
      <c r="D440" s="49" t="s">
        <v>492</v>
      </c>
      <c r="E440" s="49" t="s">
        <v>492</v>
      </c>
      <c r="F440" s="35" t="s">
        <v>4786</v>
      </c>
      <c r="G440" s="49" t="s">
        <v>755</v>
      </c>
      <c r="H440" s="35" t="s">
        <v>4790</v>
      </c>
      <c r="I440" s="35" t="s">
        <v>1003</v>
      </c>
      <c r="J440" s="49" t="s">
        <v>4788</v>
      </c>
      <c r="K440" s="68" t="s">
        <v>39</v>
      </c>
      <c r="L440" s="68" t="s">
        <v>785</v>
      </c>
      <c r="M440" s="49">
        <v>1951</v>
      </c>
      <c r="N440" s="49">
        <v>1963</v>
      </c>
      <c r="O440" s="49"/>
      <c r="P440" s="49"/>
      <c r="Q440" s="49"/>
      <c r="R440" s="49"/>
      <c r="S440" s="35" t="s">
        <v>4791</v>
      </c>
      <c r="T440" s="35" t="s">
        <v>4897</v>
      </c>
      <c r="U440" s="35" t="s">
        <v>4825</v>
      </c>
      <c r="V440" s="49" t="s">
        <v>4787</v>
      </c>
      <c r="W440" s="42" t="s">
        <v>4818</v>
      </c>
      <c r="X440" s="45" t="s">
        <v>4819</v>
      </c>
      <c r="Y440" s="45" t="s">
        <v>4820</v>
      </c>
    </row>
    <row r="441" spans="1:26" ht="28.5">
      <c r="A441" s="49">
        <v>440</v>
      </c>
      <c r="B441" s="38" t="s">
        <v>4798</v>
      </c>
      <c r="C441" s="49"/>
      <c r="D441" s="49" t="s">
        <v>492</v>
      </c>
      <c r="E441" s="49" t="s">
        <v>492</v>
      </c>
      <c r="F441" s="35" t="s">
        <v>4794</v>
      </c>
      <c r="G441" s="49" t="s">
        <v>1089</v>
      </c>
      <c r="H441" s="35" t="s">
        <v>4795</v>
      </c>
      <c r="I441" s="35" t="s">
        <v>1003</v>
      </c>
      <c r="J441" s="49" t="s">
        <v>4796</v>
      </c>
      <c r="K441" s="68"/>
      <c r="L441" s="68" t="s">
        <v>758</v>
      </c>
      <c r="M441" s="49">
        <v>1925</v>
      </c>
      <c r="N441" s="49">
        <v>1940</v>
      </c>
      <c r="O441" s="49"/>
      <c r="P441" s="49">
        <v>240</v>
      </c>
      <c r="Q441" s="76">
        <v>45444</v>
      </c>
      <c r="R441" s="49" t="s">
        <v>2091</v>
      </c>
      <c r="S441" s="35" t="s">
        <v>4792</v>
      </c>
      <c r="T441" s="49" t="s">
        <v>4793</v>
      </c>
      <c r="U441" s="35" t="s">
        <v>4824</v>
      </c>
      <c r="V441" s="49" t="s">
        <v>4797</v>
      </c>
      <c r="W441" s="42" t="s">
        <v>4821</v>
      </c>
      <c r="X441" s="66"/>
    </row>
    <row r="442" spans="1:26" ht="42.75">
      <c r="A442" s="49">
        <v>441</v>
      </c>
      <c r="B442" s="35" t="s">
        <v>4800</v>
      </c>
      <c r="C442" s="49"/>
      <c r="D442" s="49" t="s">
        <v>492</v>
      </c>
      <c r="E442" s="49" t="s">
        <v>492</v>
      </c>
      <c r="F442" s="35" t="s">
        <v>4801</v>
      </c>
      <c r="G442" s="49" t="s">
        <v>755</v>
      </c>
      <c r="H442" s="35" t="s">
        <v>4802</v>
      </c>
      <c r="I442" s="35" t="s">
        <v>1003</v>
      </c>
      <c r="J442" s="49" t="s">
        <v>4803</v>
      </c>
      <c r="K442" s="68" t="s">
        <v>372</v>
      </c>
      <c r="L442" s="68" t="s">
        <v>782</v>
      </c>
      <c r="M442" s="49">
        <v>1940</v>
      </c>
      <c r="N442" s="49">
        <v>1950</v>
      </c>
      <c r="O442" s="49" t="s">
        <v>758</v>
      </c>
      <c r="P442" s="49">
        <v>305</v>
      </c>
      <c r="Q442" s="76">
        <v>45139</v>
      </c>
      <c r="R442" s="49" t="s">
        <v>1249</v>
      </c>
      <c r="S442" s="35" t="s">
        <v>4805</v>
      </c>
      <c r="T442" s="49"/>
      <c r="U442" s="35"/>
      <c r="V442" s="49" t="s">
        <v>4804</v>
      </c>
      <c r="W442" s="45" t="s">
        <v>4822</v>
      </c>
      <c r="X442" s="45" t="s">
        <v>4823</v>
      </c>
    </row>
    <row r="443" spans="1:26" ht="28.5">
      <c r="A443" s="49">
        <v>442</v>
      </c>
      <c r="B443" s="35" t="s">
        <v>4826</v>
      </c>
      <c r="C443" s="49" t="s">
        <v>4828</v>
      </c>
      <c r="D443" s="49" t="s">
        <v>492</v>
      </c>
      <c r="E443" s="49" t="s">
        <v>492</v>
      </c>
      <c r="F443" s="35" t="s">
        <v>4829</v>
      </c>
      <c r="G443" s="49" t="s">
        <v>755</v>
      </c>
      <c r="H443" s="35" t="s">
        <v>4832</v>
      </c>
      <c r="I443" s="35" t="s">
        <v>4838</v>
      </c>
      <c r="J443" s="49" t="s">
        <v>4830</v>
      </c>
      <c r="K443" s="68" t="s">
        <v>56</v>
      </c>
      <c r="L443" s="68" t="s">
        <v>758</v>
      </c>
      <c r="M443" s="49">
        <v>1950</v>
      </c>
      <c r="N443" s="49">
        <v>1955</v>
      </c>
      <c r="O443" s="49" t="s">
        <v>758</v>
      </c>
      <c r="P443" s="49"/>
      <c r="Q443" s="49"/>
      <c r="R443" s="49"/>
      <c r="S443" s="49"/>
      <c r="T443" s="49" t="s">
        <v>4831</v>
      </c>
      <c r="U443" s="101"/>
      <c r="V443" s="49" t="s">
        <v>4827</v>
      </c>
      <c r="W443" s="45" t="s">
        <v>4834</v>
      </c>
      <c r="X443" s="66"/>
    </row>
    <row r="444" spans="1:26" ht="28.5">
      <c r="A444" s="49">
        <v>443</v>
      </c>
      <c r="B444" s="38" t="s">
        <v>4836</v>
      </c>
      <c r="C444" s="49"/>
      <c r="D444" s="49" t="s">
        <v>492</v>
      </c>
      <c r="E444" s="49" t="s">
        <v>492</v>
      </c>
      <c r="F444" s="35" t="s">
        <v>4848</v>
      </c>
      <c r="G444" s="49" t="s">
        <v>755</v>
      </c>
      <c r="H444" s="35" t="s">
        <v>4837</v>
      </c>
      <c r="I444" s="35" t="s">
        <v>1874</v>
      </c>
      <c r="J444" s="49" t="s">
        <v>4839</v>
      </c>
      <c r="K444" s="68"/>
      <c r="L444" s="68" t="s">
        <v>782</v>
      </c>
      <c r="M444" s="49">
        <v>1940</v>
      </c>
      <c r="N444" s="49">
        <v>1950</v>
      </c>
      <c r="O444" s="49"/>
      <c r="P444" s="49"/>
      <c r="Q444" s="49"/>
      <c r="R444" s="49"/>
      <c r="S444" s="35" t="s">
        <v>4840</v>
      </c>
      <c r="T444" s="49"/>
      <c r="U444" s="35"/>
      <c r="V444" s="49" t="s">
        <v>4833</v>
      </c>
      <c r="W444" s="45" t="s">
        <v>4835</v>
      </c>
      <c r="X444" s="66"/>
    </row>
    <row r="445" spans="1:26">
      <c r="A445" s="49">
        <v>444</v>
      </c>
      <c r="B445" s="35" t="s">
        <v>4843</v>
      </c>
      <c r="C445" s="49"/>
      <c r="D445" s="49" t="s">
        <v>492</v>
      </c>
      <c r="E445" s="49" t="s">
        <v>492</v>
      </c>
      <c r="F445" s="35" t="s">
        <v>4844</v>
      </c>
      <c r="G445" s="49" t="s">
        <v>755</v>
      </c>
      <c r="H445" s="35" t="s">
        <v>4845</v>
      </c>
      <c r="I445" s="35" t="s">
        <v>1003</v>
      </c>
      <c r="J445" s="49" t="s">
        <v>4842</v>
      </c>
      <c r="K445" s="68" t="s">
        <v>2665</v>
      </c>
      <c r="L445" s="68" t="s">
        <v>782</v>
      </c>
      <c r="M445" s="49">
        <v>1952</v>
      </c>
      <c r="N445" s="49">
        <v>1965</v>
      </c>
      <c r="O445" s="49"/>
      <c r="P445" s="49"/>
      <c r="Q445" s="49"/>
      <c r="R445" s="49"/>
      <c r="S445" s="35" t="s">
        <v>4846</v>
      </c>
      <c r="T445" s="49" t="s">
        <v>4841</v>
      </c>
      <c r="U445" s="35"/>
      <c r="V445" s="49" t="s">
        <v>4827</v>
      </c>
      <c r="W445" s="45" t="s">
        <v>4835</v>
      </c>
      <c r="X445" s="49"/>
    </row>
    <row r="446" spans="1:26" ht="28.5">
      <c r="A446" s="49">
        <v>445</v>
      </c>
      <c r="B446" s="32" t="s">
        <v>4836</v>
      </c>
      <c r="C446" s="49"/>
      <c r="D446" s="49" t="s">
        <v>492</v>
      </c>
      <c r="E446" s="49" t="s">
        <v>492</v>
      </c>
      <c r="F446" s="35" t="s">
        <v>4847</v>
      </c>
      <c r="G446" s="49" t="s">
        <v>755</v>
      </c>
      <c r="H446" s="49" t="s">
        <v>4849</v>
      </c>
      <c r="I446" s="49" t="s">
        <v>1874</v>
      </c>
      <c r="J446" s="49" t="s">
        <v>4850</v>
      </c>
      <c r="K446" s="68" t="s">
        <v>4851</v>
      </c>
      <c r="L446" s="49" t="s">
        <v>782</v>
      </c>
      <c r="M446" s="49">
        <v>1950</v>
      </c>
      <c r="N446" s="49">
        <v>1955</v>
      </c>
      <c r="O446" s="49"/>
      <c r="P446" s="49"/>
      <c r="Q446" s="49"/>
      <c r="R446" s="49"/>
      <c r="S446" s="49"/>
      <c r="T446" s="49"/>
      <c r="U446" s="35"/>
      <c r="V446" s="49"/>
      <c r="W446" s="45" t="s">
        <v>4835</v>
      </c>
      <c r="X446" s="49"/>
    </row>
    <row r="447" spans="1:26" ht="42.75">
      <c r="A447" s="49">
        <v>446</v>
      </c>
      <c r="B447" s="35" t="s">
        <v>4856</v>
      </c>
      <c r="C447" s="49"/>
      <c r="D447" s="49" t="s">
        <v>492</v>
      </c>
      <c r="E447" s="49" t="s">
        <v>492</v>
      </c>
      <c r="F447" s="35" t="s">
        <v>4857</v>
      </c>
      <c r="G447" s="49" t="s">
        <v>755</v>
      </c>
      <c r="H447" s="35" t="s">
        <v>4858</v>
      </c>
      <c r="I447" s="35" t="s">
        <v>4859</v>
      </c>
      <c r="J447" s="49" t="s">
        <v>4860</v>
      </c>
      <c r="K447" s="68" t="s">
        <v>2665</v>
      </c>
      <c r="L447" s="68" t="s">
        <v>782</v>
      </c>
      <c r="M447" s="49">
        <v>1960</v>
      </c>
      <c r="N447" s="49">
        <v>1965</v>
      </c>
      <c r="O447" s="49"/>
      <c r="P447" s="49"/>
      <c r="Q447" s="49"/>
      <c r="R447" s="49"/>
      <c r="S447" s="49"/>
      <c r="T447" s="49"/>
      <c r="U447" s="35" t="s">
        <v>4861</v>
      </c>
      <c r="V447" s="49"/>
      <c r="W447" s="45" t="s">
        <v>4862</v>
      </c>
      <c r="X447" s="66"/>
    </row>
    <row r="448" spans="1:26" ht="28.5">
      <c r="A448" s="22">
        <v>447</v>
      </c>
      <c r="B448" s="35" t="s">
        <v>4863</v>
      </c>
      <c r="C448" s="22">
        <v>947</v>
      </c>
      <c r="D448" s="22" t="s">
        <v>492</v>
      </c>
      <c r="E448" s="22" t="s">
        <v>492</v>
      </c>
      <c r="F448" s="35" t="s">
        <v>4864</v>
      </c>
      <c r="G448" s="49" t="s">
        <v>756</v>
      </c>
      <c r="H448" s="35" t="s">
        <v>1227</v>
      </c>
      <c r="I448" s="35" t="s">
        <v>4859</v>
      </c>
      <c r="J448" s="49" t="s">
        <v>2343</v>
      </c>
      <c r="K448" s="33" t="s">
        <v>86</v>
      </c>
      <c r="L448" s="68" t="s">
        <v>782</v>
      </c>
      <c r="M448" s="49">
        <v>1967</v>
      </c>
      <c r="N448" s="49">
        <v>1989</v>
      </c>
      <c r="O448" s="22"/>
      <c r="P448" s="22"/>
      <c r="Q448" s="22"/>
      <c r="R448" s="22"/>
      <c r="S448" s="22" t="s">
        <v>4870</v>
      </c>
      <c r="T448" s="22" t="s">
        <v>4866</v>
      </c>
      <c r="U448" s="31" t="s">
        <v>4867</v>
      </c>
      <c r="V448" s="35" t="s">
        <v>4865</v>
      </c>
      <c r="W448" s="45" t="s">
        <v>4868</v>
      </c>
      <c r="X448" s="45" t="s">
        <v>4869</v>
      </c>
      <c r="Y448" s="22"/>
    </row>
    <row r="449" spans="1:26" ht="42.75">
      <c r="A449" s="22">
        <v>448</v>
      </c>
      <c r="B449" s="35" t="s">
        <v>4871</v>
      </c>
      <c r="C449" s="22"/>
      <c r="D449" s="22" t="s">
        <v>492</v>
      </c>
      <c r="E449" s="22" t="s">
        <v>492</v>
      </c>
      <c r="F449" s="35" t="s">
        <v>4872</v>
      </c>
      <c r="G449" s="49" t="s">
        <v>755</v>
      </c>
      <c r="H449" s="35" t="s">
        <v>4873</v>
      </c>
      <c r="I449" s="35" t="s">
        <v>1003</v>
      </c>
      <c r="J449" s="49" t="s">
        <v>4874</v>
      </c>
      <c r="K449" s="36" t="s">
        <v>39</v>
      </c>
      <c r="L449" s="68" t="s">
        <v>1024</v>
      </c>
      <c r="M449" s="49">
        <v>1946</v>
      </c>
      <c r="N449" s="49">
        <v>1958</v>
      </c>
      <c r="O449" s="22"/>
      <c r="P449" s="22"/>
      <c r="Q449" s="22"/>
      <c r="R449" s="22"/>
      <c r="S449" s="22" t="s">
        <v>4876</v>
      </c>
      <c r="T449" s="22" t="s">
        <v>4875</v>
      </c>
      <c r="U449" s="31"/>
      <c r="V449" s="35" t="s">
        <v>4882</v>
      </c>
      <c r="W449" s="45" t="s">
        <v>4877</v>
      </c>
      <c r="X449" s="45" t="s">
        <v>4878</v>
      </c>
    </row>
    <row r="450" spans="1:26" ht="57">
      <c r="A450" s="22">
        <v>449</v>
      </c>
      <c r="B450" s="35" t="s">
        <v>4883</v>
      </c>
      <c r="C450" s="22"/>
      <c r="D450" s="22" t="s">
        <v>492</v>
      </c>
      <c r="E450" s="22" t="s">
        <v>492</v>
      </c>
      <c r="F450" s="35" t="s">
        <v>4879</v>
      </c>
      <c r="G450" s="49" t="s">
        <v>755</v>
      </c>
      <c r="H450" s="35" t="s">
        <v>4890</v>
      </c>
      <c r="I450" s="35" t="s">
        <v>1666</v>
      </c>
      <c r="J450" s="49" t="s">
        <v>4880</v>
      </c>
      <c r="K450" s="33" t="s">
        <v>2665</v>
      </c>
      <c r="L450" s="68" t="s">
        <v>782</v>
      </c>
      <c r="M450" s="49">
        <v>1960</v>
      </c>
      <c r="N450" s="49">
        <v>1965</v>
      </c>
      <c r="O450" s="22"/>
      <c r="P450" s="22"/>
      <c r="Q450" s="22"/>
      <c r="R450" s="22"/>
      <c r="S450" s="31" t="s">
        <v>4884</v>
      </c>
      <c r="T450" s="22"/>
      <c r="U450" s="31"/>
      <c r="V450" s="22" t="s">
        <v>4881</v>
      </c>
      <c r="W450" s="45" t="s">
        <v>4885</v>
      </c>
      <c r="X450" s="45" t="s">
        <v>4886</v>
      </c>
      <c r="Y450" s="22"/>
    </row>
    <row r="451" spans="1:26" ht="28.5">
      <c r="A451" s="22">
        <v>450</v>
      </c>
      <c r="B451" s="35" t="s">
        <v>4895</v>
      </c>
      <c r="C451" s="22"/>
      <c r="D451" s="22" t="s">
        <v>492</v>
      </c>
      <c r="E451" s="22" t="s">
        <v>492</v>
      </c>
      <c r="F451" s="35" t="s">
        <v>4891</v>
      </c>
      <c r="G451" s="49" t="s">
        <v>756</v>
      </c>
      <c r="H451" s="35" t="s">
        <v>4892</v>
      </c>
      <c r="I451" s="35" t="s">
        <v>1003</v>
      </c>
      <c r="J451" s="49" t="s">
        <v>4893</v>
      </c>
      <c r="K451" s="33" t="s">
        <v>2665</v>
      </c>
      <c r="L451" s="68" t="s">
        <v>782</v>
      </c>
      <c r="M451" s="49">
        <v>1952</v>
      </c>
      <c r="N451" s="49">
        <v>1965</v>
      </c>
      <c r="O451" s="22"/>
      <c r="P451" s="22"/>
      <c r="Q451" s="22"/>
      <c r="R451" s="22"/>
      <c r="S451" s="22" t="s">
        <v>4899</v>
      </c>
      <c r="T451" s="22" t="s">
        <v>4896</v>
      </c>
      <c r="U451" s="31" t="s">
        <v>4898</v>
      </c>
      <c r="V451" s="22" t="s">
        <v>4894</v>
      </c>
      <c r="W451" s="45" t="s">
        <v>4887</v>
      </c>
      <c r="X451" s="45" t="s">
        <v>4888</v>
      </c>
    </row>
    <row r="452" spans="1:26" ht="28.5">
      <c r="A452" s="22">
        <v>451</v>
      </c>
      <c r="B452" s="35" t="s">
        <v>4900</v>
      </c>
      <c r="C452" s="22">
        <v>903</v>
      </c>
      <c r="D452" s="22" t="s">
        <v>492</v>
      </c>
      <c r="E452" s="22" t="s">
        <v>492</v>
      </c>
      <c r="F452" s="35" t="s">
        <v>4901</v>
      </c>
      <c r="G452" s="49" t="s">
        <v>756</v>
      </c>
      <c r="H452" s="35" t="s">
        <v>1227</v>
      </c>
      <c r="I452" s="35" t="s">
        <v>1003</v>
      </c>
      <c r="J452" s="49" t="s">
        <v>4902</v>
      </c>
      <c r="K452" s="33" t="s">
        <v>86</v>
      </c>
      <c r="L452" s="68" t="s">
        <v>782</v>
      </c>
      <c r="M452" s="49">
        <v>1955</v>
      </c>
      <c r="N452" s="49">
        <v>1989</v>
      </c>
      <c r="O452" s="22"/>
      <c r="P452" s="22"/>
      <c r="Q452" s="22"/>
      <c r="R452" s="22"/>
      <c r="S452" s="22" t="s">
        <v>4904</v>
      </c>
      <c r="T452" s="22" t="s">
        <v>4903</v>
      </c>
      <c r="U452" s="31"/>
      <c r="V452" s="22"/>
      <c r="W452" s="45" t="s">
        <v>4889</v>
      </c>
    </row>
    <row r="453" spans="1:26" ht="42.75">
      <c r="A453" s="22">
        <v>452</v>
      </c>
      <c r="B453" s="35" t="s">
        <v>4905</v>
      </c>
      <c r="C453" s="22" t="s">
        <v>4906</v>
      </c>
      <c r="D453" s="22" t="s">
        <v>492</v>
      </c>
      <c r="E453" s="22" t="s">
        <v>511</v>
      </c>
      <c r="F453" s="35" t="s">
        <v>4907</v>
      </c>
      <c r="G453" s="49" t="s">
        <v>755</v>
      </c>
      <c r="H453" s="35" t="s">
        <v>4908</v>
      </c>
      <c r="I453" s="35" t="s">
        <v>1003</v>
      </c>
      <c r="J453" s="49" t="s">
        <v>4909</v>
      </c>
      <c r="K453" s="33" t="s">
        <v>88</v>
      </c>
      <c r="L453" s="68" t="s">
        <v>782</v>
      </c>
      <c r="M453" s="49">
        <v>1956</v>
      </c>
      <c r="N453" s="49">
        <v>1960</v>
      </c>
      <c r="O453" s="22"/>
      <c r="P453" s="22"/>
      <c r="Q453" s="22"/>
      <c r="R453" s="22"/>
      <c r="S453" s="22" t="s">
        <v>4911</v>
      </c>
      <c r="T453" s="22" t="s">
        <v>4910</v>
      </c>
      <c r="U453" s="31"/>
      <c r="V453" s="22"/>
      <c r="W453" s="45" t="s">
        <v>4912</v>
      </c>
      <c r="X453" s="45" t="s">
        <v>4913</v>
      </c>
      <c r="Y453" s="22"/>
    </row>
    <row r="454" spans="1:26" ht="42.75">
      <c r="A454" s="22">
        <v>453</v>
      </c>
      <c r="B454" s="35" t="s">
        <v>4914</v>
      </c>
      <c r="C454" s="22"/>
      <c r="D454" s="22" t="s">
        <v>492</v>
      </c>
      <c r="E454" s="22" t="s">
        <v>492</v>
      </c>
      <c r="F454" s="35" t="s">
        <v>4916</v>
      </c>
      <c r="G454" s="49" t="s">
        <v>755</v>
      </c>
      <c r="H454" s="35" t="s">
        <v>4920</v>
      </c>
      <c r="I454" s="35" t="s">
        <v>1003</v>
      </c>
      <c r="J454" s="49" t="s">
        <v>4917</v>
      </c>
      <c r="K454" s="33" t="s">
        <v>175</v>
      </c>
      <c r="L454" s="68" t="s">
        <v>758</v>
      </c>
      <c r="M454" s="49">
        <v>1960</v>
      </c>
      <c r="N454" s="49">
        <v>1965</v>
      </c>
      <c r="O454" s="49" t="s">
        <v>758</v>
      </c>
      <c r="P454" s="22"/>
      <c r="Q454" s="22"/>
      <c r="R454" s="31" t="s">
        <v>4918</v>
      </c>
      <c r="S454" s="22"/>
      <c r="T454" s="22" t="s">
        <v>4919</v>
      </c>
      <c r="U454" s="31" t="s">
        <v>4915</v>
      </c>
      <c r="V454" s="22"/>
      <c r="W454" s="45" t="s">
        <v>4921</v>
      </c>
      <c r="X454" s="45" t="s">
        <v>4922</v>
      </c>
      <c r="Y454" s="22"/>
    </row>
    <row r="455" spans="1:26" ht="42.75">
      <c r="A455" s="22">
        <v>454</v>
      </c>
      <c r="B455" s="35" t="s">
        <v>4923</v>
      </c>
      <c r="C455" s="22"/>
      <c r="D455" s="22" t="s">
        <v>492</v>
      </c>
      <c r="E455" s="22" t="s">
        <v>492</v>
      </c>
      <c r="F455" s="35" t="s">
        <v>4924</v>
      </c>
      <c r="G455" s="49" t="s">
        <v>755</v>
      </c>
      <c r="H455" s="35" t="s">
        <v>4925</v>
      </c>
      <c r="I455" s="35" t="s">
        <v>1666</v>
      </c>
      <c r="J455" s="49" t="s">
        <v>4926</v>
      </c>
      <c r="K455" s="33" t="s">
        <v>161</v>
      </c>
      <c r="L455" s="68" t="s">
        <v>758</v>
      </c>
      <c r="M455" s="49">
        <v>1955</v>
      </c>
      <c r="N455" s="49">
        <v>1965</v>
      </c>
      <c r="O455" s="22" t="s">
        <v>785</v>
      </c>
      <c r="P455" s="22"/>
      <c r="Q455" s="22"/>
      <c r="R455" s="22"/>
      <c r="S455" s="22"/>
      <c r="T455" s="22"/>
      <c r="U455" s="31" t="s">
        <v>4927</v>
      </c>
      <c r="V455" s="22"/>
      <c r="W455" s="45" t="s">
        <v>4928</v>
      </c>
      <c r="X455" s="45" t="s">
        <v>4929</v>
      </c>
      <c r="Y455" s="22"/>
    </row>
    <row r="456" spans="1:26" ht="28.5">
      <c r="A456" s="22">
        <v>455</v>
      </c>
      <c r="B456" s="38" t="s">
        <v>4931</v>
      </c>
      <c r="C456" s="22"/>
      <c r="D456" s="22" t="s">
        <v>492</v>
      </c>
      <c r="E456" s="22" t="s">
        <v>492</v>
      </c>
      <c r="F456" s="35" t="s">
        <v>4932</v>
      </c>
      <c r="G456" s="49" t="s">
        <v>755</v>
      </c>
      <c r="H456" s="35" t="s">
        <v>4934</v>
      </c>
      <c r="I456" s="35" t="s">
        <v>2266</v>
      </c>
      <c r="J456" s="49" t="s">
        <v>4933</v>
      </c>
      <c r="K456" s="33" t="s">
        <v>2665</v>
      </c>
      <c r="L456" s="68" t="s">
        <v>758</v>
      </c>
      <c r="M456" s="49">
        <v>1960</v>
      </c>
      <c r="N456" s="49">
        <v>1965</v>
      </c>
      <c r="O456" s="22"/>
      <c r="P456" s="22"/>
      <c r="Q456" s="22"/>
      <c r="R456" s="22"/>
      <c r="S456" s="22"/>
      <c r="T456" s="22"/>
      <c r="U456" s="31" t="s">
        <v>4930</v>
      </c>
      <c r="V456" s="22"/>
      <c r="W456" s="45" t="s">
        <v>4935</v>
      </c>
      <c r="X456" s="45" t="s">
        <v>4936</v>
      </c>
      <c r="Y456" s="45" t="s">
        <v>4937</v>
      </c>
    </row>
    <row r="457" spans="1:26" ht="42.75">
      <c r="A457" s="22">
        <v>456</v>
      </c>
      <c r="B457" s="22" t="s">
        <v>4938</v>
      </c>
      <c r="C457" s="22"/>
      <c r="D457" s="22" t="s">
        <v>492</v>
      </c>
      <c r="E457" s="22" t="s">
        <v>492</v>
      </c>
      <c r="F457" s="31" t="s">
        <v>4939</v>
      </c>
      <c r="G457" s="22" t="s">
        <v>755</v>
      </c>
      <c r="H457" s="35" t="s">
        <v>4940</v>
      </c>
      <c r="I457" s="35" t="s">
        <v>2266</v>
      </c>
      <c r="J457" s="22" t="s">
        <v>4941</v>
      </c>
      <c r="K457" s="33" t="s">
        <v>127</v>
      </c>
      <c r="L457" s="22" t="s">
        <v>782</v>
      </c>
      <c r="M457" s="22">
        <v>1949</v>
      </c>
      <c r="N457" s="22">
        <v>1955</v>
      </c>
      <c r="O457" s="31" t="s">
        <v>4942</v>
      </c>
      <c r="P457" s="22"/>
      <c r="Q457" s="22"/>
      <c r="R457" s="22"/>
      <c r="S457" s="31" t="s">
        <v>4945</v>
      </c>
      <c r="T457" s="22" t="s">
        <v>4944</v>
      </c>
      <c r="U457" s="31" t="s">
        <v>4946</v>
      </c>
      <c r="V457" s="22" t="s">
        <v>4943</v>
      </c>
      <c r="W457" s="45" t="s">
        <v>4947</v>
      </c>
      <c r="X457" s="45" t="s">
        <v>4948</v>
      </c>
      <c r="Y457" s="45" t="s">
        <v>4937</v>
      </c>
    </row>
    <row r="458" spans="1:26" ht="28.5">
      <c r="A458" s="22">
        <v>457</v>
      </c>
      <c r="B458" s="31" t="s">
        <v>4953</v>
      </c>
      <c r="C458" s="31">
        <v>542</v>
      </c>
      <c r="D458" s="31" t="s">
        <v>492</v>
      </c>
      <c r="E458" s="31" t="s">
        <v>492</v>
      </c>
      <c r="F458" s="31" t="s">
        <v>4950</v>
      </c>
      <c r="G458" s="31" t="s">
        <v>755</v>
      </c>
      <c r="H458" s="31" t="s">
        <v>4949</v>
      </c>
      <c r="I458" s="31" t="s">
        <v>4951</v>
      </c>
      <c r="J458" s="31" t="s">
        <v>4952</v>
      </c>
      <c r="K458" s="36" t="s">
        <v>819</v>
      </c>
      <c r="L458" s="31" t="s">
        <v>758</v>
      </c>
      <c r="M458" s="31">
        <v>1959</v>
      </c>
      <c r="N458" s="31">
        <v>1965</v>
      </c>
      <c r="O458" s="31" t="s">
        <v>1219</v>
      </c>
      <c r="P458" s="31"/>
      <c r="Q458" s="31"/>
      <c r="R458" s="31"/>
      <c r="S458" s="31"/>
      <c r="T458" s="31" t="s">
        <v>4956</v>
      </c>
      <c r="U458" s="31"/>
      <c r="V458" s="31"/>
      <c r="W458" s="42" t="s">
        <v>4954</v>
      </c>
      <c r="X458" s="42" t="s">
        <v>4955</v>
      </c>
      <c r="Y458" s="45" t="s">
        <v>4965</v>
      </c>
    </row>
    <row r="459" spans="1:26" ht="28.5">
      <c r="A459" s="22">
        <v>458</v>
      </c>
      <c r="B459" s="22" t="s">
        <v>4957</v>
      </c>
      <c r="C459" s="22"/>
      <c r="D459" s="22" t="s">
        <v>492</v>
      </c>
      <c r="E459" s="22" t="s">
        <v>492</v>
      </c>
      <c r="F459" s="22" t="s">
        <v>4958</v>
      </c>
      <c r="G459" s="22" t="s">
        <v>756</v>
      </c>
      <c r="H459" s="31" t="s">
        <v>4959</v>
      </c>
      <c r="I459" s="22" t="s">
        <v>1003</v>
      </c>
      <c r="J459" s="22" t="s">
        <v>4960</v>
      </c>
      <c r="K459" s="33" t="s">
        <v>4963</v>
      </c>
      <c r="L459" s="22" t="s">
        <v>758</v>
      </c>
      <c r="M459" s="22">
        <v>1960</v>
      </c>
      <c r="N459" s="22">
        <v>1965</v>
      </c>
      <c r="O459" s="22" t="s">
        <v>758</v>
      </c>
      <c r="P459" s="22">
        <v>134</v>
      </c>
      <c r="Q459" s="22" t="s">
        <v>5163</v>
      </c>
      <c r="R459" s="22" t="s">
        <v>5164</v>
      </c>
      <c r="S459" s="22"/>
      <c r="T459" s="22" t="s">
        <v>5101</v>
      </c>
      <c r="U459" s="31" t="s">
        <v>4961</v>
      </c>
      <c r="V459" s="22"/>
      <c r="W459" s="45" t="s">
        <v>4966</v>
      </c>
      <c r="X459" s="45" t="s">
        <v>4967</v>
      </c>
      <c r="Y459" s="45" t="s">
        <v>4968</v>
      </c>
      <c r="Z459" s="22"/>
    </row>
    <row r="460" spans="1:26" ht="42.75">
      <c r="A460" s="22">
        <v>459</v>
      </c>
      <c r="B460" s="49" t="s">
        <v>4989</v>
      </c>
      <c r="C460" s="22">
        <v>101</v>
      </c>
      <c r="D460" s="22" t="s">
        <v>492</v>
      </c>
      <c r="E460" s="22" t="s">
        <v>492</v>
      </c>
      <c r="F460" s="31" t="s">
        <v>4983</v>
      </c>
      <c r="G460" s="22" t="s">
        <v>755</v>
      </c>
      <c r="H460" s="31" t="s">
        <v>4984</v>
      </c>
      <c r="I460" s="22" t="s">
        <v>1666</v>
      </c>
      <c r="J460" s="22" t="s">
        <v>4985</v>
      </c>
      <c r="K460" s="33" t="s">
        <v>775</v>
      </c>
      <c r="L460" s="22" t="s">
        <v>758</v>
      </c>
      <c r="M460" s="22">
        <v>1965</v>
      </c>
      <c r="N460" s="22">
        <v>1969</v>
      </c>
      <c r="O460" s="22"/>
      <c r="P460" s="22"/>
      <c r="Q460" s="22"/>
      <c r="R460" s="22"/>
      <c r="S460" s="31" t="s">
        <v>4990</v>
      </c>
      <c r="T460" s="22" t="s">
        <v>4986</v>
      </c>
      <c r="U460" s="31" t="s">
        <v>4988</v>
      </c>
      <c r="V460" s="22"/>
      <c r="W460" s="45" t="s">
        <v>4979</v>
      </c>
      <c r="X460" s="45" t="s">
        <v>4980</v>
      </c>
      <c r="Y460" s="22"/>
    </row>
    <row r="461" spans="1:26" ht="28.5">
      <c r="A461" s="22">
        <v>460</v>
      </c>
      <c r="B461" s="38" t="s">
        <v>4971</v>
      </c>
      <c r="C461" s="22"/>
      <c r="D461" s="22" t="s">
        <v>492</v>
      </c>
      <c r="E461" s="22" t="s">
        <v>492</v>
      </c>
      <c r="F461" s="31" t="s">
        <v>4972</v>
      </c>
      <c r="G461" s="22" t="s">
        <v>755</v>
      </c>
      <c r="H461" s="31" t="s">
        <v>4978</v>
      </c>
      <c r="I461" s="22" t="s">
        <v>4981</v>
      </c>
      <c r="J461" s="22" t="s">
        <v>4982</v>
      </c>
      <c r="K461" s="33"/>
      <c r="L461" s="22" t="s">
        <v>782</v>
      </c>
      <c r="M461" s="22">
        <v>1955</v>
      </c>
      <c r="N461" s="22">
        <v>1965</v>
      </c>
      <c r="O461" s="22"/>
      <c r="P461" s="22"/>
      <c r="Q461" s="22"/>
      <c r="R461" s="22" t="s">
        <v>4973</v>
      </c>
      <c r="S461" s="22" t="s">
        <v>4977</v>
      </c>
      <c r="T461" s="22"/>
      <c r="U461" s="31" t="s">
        <v>4987</v>
      </c>
      <c r="V461" s="22" t="s">
        <v>4976</v>
      </c>
      <c r="W461" s="45" t="s">
        <v>4974</v>
      </c>
      <c r="X461" s="45" t="s">
        <v>4975</v>
      </c>
      <c r="Y461" s="22"/>
    </row>
    <row r="462" spans="1:26" ht="42.75">
      <c r="A462" s="22">
        <v>461</v>
      </c>
      <c r="B462" s="71" t="s">
        <v>4991</v>
      </c>
      <c r="D462" s="22" t="s">
        <v>492</v>
      </c>
      <c r="E462" s="22" t="s">
        <v>492</v>
      </c>
      <c r="F462" s="31" t="s">
        <v>4992</v>
      </c>
      <c r="G462" s="22" t="s">
        <v>755</v>
      </c>
      <c r="H462" s="31" t="s">
        <v>5023</v>
      </c>
      <c r="I462" s="22" t="s">
        <v>1340</v>
      </c>
      <c r="J462" s="22" t="s">
        <v>4993</v>
      </c>
      <c r="K462" s="33" t="s">
        <v>2665</v>
      </c>
      <c r="L462" s="22" t="s">
        <v>758</v>
      </c>
      <c r="M462" s="22">
        <v>1960</v>
      </c>
      <c r="N462" s="22">
        <v>1965</v>
      </c>
      <c r="O462" s="22" t="s">
        <v>758</v>
      </c>
      <c r="S462" s="31" t="s">
        <v>4994</v>
      </c>
      <c r="T462" s="22" t="s">
        <v>5027</v>
      </c>
      <c r="W462" s="45" t="s">
        <v>5032</v>
      </c>
      <c r="X462" s="45" t="s">
        <v>5033</v>
      </c>
      <c r="Y462" s="22"/>
    </row>
    <row r="463" spans="1:26" ht="42.75">
      <c r="A463" s="22">
        <v>462</v>
      </c>
      <c r="B463" s="49" t="s">
        <v>4995</v>
      </c>
      <c r="C463" s="22">
        <v>364</v>
      </c>
      <c r="D463" s="22" t="s">
        <v>492</v>
      </c>
      <c r="E463" s="22" t="s">
        <v>492</v>
      </c>
      <c r="F463" s="31" t="s">
        <v>4996</v>
      </c>
      <c r="G463" s="22" t="s">
        <v>755</v>
      </c>
      <c r="H463" s="31" t="s">
        <v>4997</v>
      </c>
      <c r="I463" s="22" t="s">
        <v>1003</v>
      </c>
      <c r="J463" s="22" t="s">
        <v>5000</v>
      </c>
      <c r="K463" s="33" t="s">
        <v>56</v>
      </c>
      <c r="L463" s="22" t="s">
        <v>782</v>
      </c>
      <c r="M463" s="22">
        <v>1950</v>
      </c>
      <c r="N463" s="22">
        <v>1955</v>
      </c>
      <c r="O463" s="22"/>
      <c r="P463" s="22"/>
      <c r="Q463" s="22"/>
      <c r="R463" s="22"/>
      <c r="S463" s="31" t="s">
        <v>5002</v>
      </c>
      <c r="T463" s="22" t="s">
        <v>4999</v>
      </c>
      <c r="U463" s="31" t="s">
        <v>5001</v>
      </c>
      <c r="V463" s="31" t="s">
        <v>4998</v>
      </c>
      <c r="W463" s="45" t="s">
        <v>5034</v>
      </c>
      <c r="X463" s="45" t="s">
        <v>5035</v>
      </c>
      <c r="Y463" s="45" t="s">
        <v>5036</v>
      </c>
    </row>
    <row r="464" spans="1:26" ht="28.5">
      <c r="A464" s="22">
        <v>463</v>
      </c>
      <c r="B464" s="49" t="s">
        <v>5003</v>
      </c>
      <c r="C464" s="22"/>
      <c r="D464" s="22" t="s">
        <v>492</v>
      </c>
      <c r="E464" s="22" t="s">
        <v>492</v>
      </c>
      <c r="F464" s="31" t="s">
        <v>5004</v>
      </c>
      <c r="G464" s="22" t="s">
        <v>755</v>
      </c>
      <c r="H464" s="31" t="s">
        <v>5005</v>
      </c>
      <c r="I464" s="22" t="s">
        <v>1003</v>
      </c>
      <c r="J464" s="22" t="s">
        <v>5006</v>
      </c>
      <c r="K464" s="33" t="s">
        <v>2665</v>
      </c>
      <c r="L464" s="22" t="s">
        <v>758</v>
      </c>
      <c r="M464" s="22">
        <v>1955</v>
      </c>
      <c r="N464" s="22">
        <v>1965</v>
      </c>
      <c r="O464" s="22"/>
      <c r="P464" s="22"/>
      <c r="Q464" s="22"/>
      <c r="R464" s="22"/>
      <c r="S464" s="31" t="s">
        <v>5007</v>
      </c>
      <c r="T464" s="22" t="s">
        <v>4841</v>
      </c>
      <c r="U464" s="31" t="s">
        <v>4841</v>
      </c>
      <c r="V464" s="22"/>
      <c r="W464" s="45" t="s">
        <v>5037</v>
      </c>
      <c r="X464" s="45" t="s">
        <v>5038</v>
      </c>
    </row>
    <row r="465" spans="1:27" ht="57">
      <c r="A465" s="22">
        <v>464</v>
      </c>
      <c r="B465" s="49" t="s">
        <v>5008</v>
      </c>
      <c r="C465" s="22"/>
      <c r="D465" s="22" t="s">
        <v>492</v>
      </c>
      <c r="E465" s="22" t="s">
        <v>492</v>
      </c>
      <c r="F465" s="31" t="s">
        <v>5011</v>
      </c>
      <c r="G465" s="22" t="s">
        <v>755</v>
      </c>
      <c r="H465" s="31" t="s">
        <v>5012</v>
      </c>
      <c r="I465" s="22" t="s">
        <v>1340</v>
      </c>
      <c r="J465" s="22" t="s">
        <v>5014</v>
      </c>
      <c r="K465" s="33" t="s">
        <v>127</v>
      </c>
      <c r="L465" s="22" t="s">
        <v>782</v>
      </c>
      <c r="M465" s="22">
        <v>1955</v>
      </c>
      <c r="N465" s="22">
        <v>1959</v>
      </c>
      <c r="O465" s="22"/>
      <c r="P465" s="22"/>
      <c r="Q465" s="22"/>
      <c r="R465" s="22"/>
      <c r="S465" s="31" t="s">
        <v>5009</v>
      </c>
      <c r="T465" s="22" t="s">
        <v>5010</v>
      </c>
      <c r="U465" s="31" t="s">
        <v>5108</v>
      </c>
      <c r="V465" s="22" t="s">
        <v>5013</v>
      </c>
      <c r="W465" s="42" t="s">
        <v>5039</v>
      </c>
      <c r="X465" s="45" t="s">
        <v>5040</v>
      </c>
      <c r="Y465" s="45" t="s">
        <v>5041</v>
      </c>
      <c r="Z465" s="45" t="s">
        <v>5042</v>
      </c>
      <c r="AA465" s="22"/>
    </row>
    <row r="466" spans="1:27" ht="57">
      <c r="A466" s="22">
        <v>465</v>
      </c>
      <c r="B466" s="49" t="s">
        <v>5017</v>
      </c>
      <c r="C466">
        <v>47</v>
      </c>
      <c r="D466" t="s">
        <v>492</v>
      </c>
      <c r="E466" t="s">
        <v>492</v>
      </c>
      <c r="F466" s="31" t="s">
        <v>5015</v>
      </c>
      <c r="G466" s="22" t="s">
        <v>755</v>
      </c>
      <c r="H466" s="31" t="s">
        <v>5022</v>
      </c>
      <c r="I466" s="22" t="s">
        <v>1003</v>
      </c>
      <c r="J466" s="22" t="s">
        <v>5016</v>
      </c>
      <c r="K466" s="33" t="s">
        <v>2665</v>
      </c>
      <c r="L466" s="22" t="s">
        <v>1024</v>
      </c>
      <c r="M466" s="22">
        <v>1955</v>
      </c>
      <c r="N466" s="22">
        <v>1965</v>
      </c>
      <c r="T466" s="22" t="s">
        <v>5075</v>
      </c>
      <c r="W466" s="45" t="s">
        <v>5043</v>
      </c>
      <c r="X466" s="45" t="s">
        <v>5044</v>
      </c>
      <c r="Y466" s="22"/>
    </row>
    <row r="467" spans="1:27" ht="42.75">
      <c r="A467" s="22">
        <v>466</v>
      </c>
      <c r="B467" s="49" t="s">
        <v>5019</v>
      </c>
      <c r="C467" s="22">
        <v>80</v>
      </c>
      <c r="D467" s="22" t="s">
        <v>492</v>
      </c>
      <c r="E467" s="22" t="s">
        <v>492</v>
      </c>
      <c r="F467" s="31" t="s">
        <v>5020</v>
      </c>
      <c r="G467" s="22" t="s">
        <v>755</v>
      </c>
      <c r="H467" s="31" t="s">
        <v>5021</v>
      </c>
      <c r="I467" s="22" t="s">
        <v>1340</v>
      </c>
      <c r="J467" s="22" t="s">
        <v>5024</v>
      </c>
      <c r="K467" s="33" t="s">
        <v>2665</v>
      </c>
      <c r="L467" s="22" t="s">
        <v>758</v>
      </c>
      <c r="M467" s="22">
        <v>1955</v>
      </c>
      <c r="N467" s="22">
        <v>1965</v>
      </c>
      <c r="O467" s="22"/>
      <c r="P467" s="22"/>
      <c r="Q467" s="22"/>
      <c r="R467" s="22"/>
      <c r="S467" s="31" t="s">
        <v>4911</v>
      </c>
      <c r="T467" s="22" t="s">
        <v>5074</v>
      </c>
      <c r="U467" s="31" t="s">
        <v>5025</v>
      </c>
      <c r="V467" s="31" t="s">
        <v>5018</v>
      </c>
      <c r="W467" s="45" t="s">
        <v>5045</v>
      </c>
      <c r="X467" s="42" t="s">
        <v>5046</v>
      </c>
      <c r="Y467" s="42" t="s">
        <v>5047</v>
      </c>
    </row>
    <row r="468" spans="1:27" ht="28.5">
      <c r="A468" s="22">
        <v>467</v>
      </c>
      <c r="B468" s="49" t="s">
        <v>5026</v>
      </c>
      <c r="C468" s="22"/>
      <c r="D468" s="22" t="s">
        <v>492</v>
      </c>
      <c r="E468" s="22" t="s">
        <v>492</v>
      </c>
      <c r="F468" s="31" t="s">
        <v>5028</v>
      </c>
      <c r="G468" s="22" t="s">
        <v>755</v>
      </c>
      <c r="H468" s="31" t="s">
        <v>5029</v>
      </c>
      <c r="I468" s="22" t="s">
        <v>1003</v>
      </c>
      <c r="J468" s="22" t="s">
        <v>5055</v>
      </c>
      <c r="K468" s="33"/>
      <c r="L468" s="22" t="s">
        <v>782</v>
      </c>
      <c r="M468" s="22">
        <v>1925</v>
      </c>
      <c r="N468" s="22">
        <v>1930</v>
      </c>
      <c r="O468" s="22" t="s">
        <v>1219</v>
      </c>
      <c r="P468" s="22"/>
      <c r="Q468" s="22"/>
      <c r="R468" s="22"/>
      <c r="S468" s="22"/>
      <c r="T468" s="22"/>
      <c r="U468" s="31" t="s">
        <v>5030</v>
      </c>
      <c r="V468" s="22" t="s">
        <v>5031</v>
      </c>
      <c r="W468" s="45" t="s">
        <v>5048</v>
      </c>
      <c r="X468" s="45" t="s">
        <v>5049</v>
      </c>
      <c r="Y468" s="45" t="s">
        <v>5050</v>
      </c>
      <c r="Z468" s="22"/>
    </row>
    <row r="469" spans="1:27" ht="71.25">
      <c r="A469" s="22">
        <v>468</v>
      </c>
      <c r="B469" s="35" t="s">
        <v>5051</v>
      </c>
      <c r="C469" s="22" t="s">
        <v>5052</v>
      </c>
      <c r="D469" s="22" t="s">
        <v>493</v>
      </c>
      <c r="E469" s="22" t="s">
        <v>522</v>
      </c>
      <c r="F469" s="31" t="s">
        <v>5053</v>
      </c>
      <c r="G469" s="22" t="s">
        <v>755</v>
      </c>
      <c r="H469" s="31" t="s">
        <v>5054</v>
      </c>
      <c r="I469" s="22" t="s">
        <v>1003</v>
      </c>
      <c r="J469" s="22" t="s">
        <v>5056</v>
      </c>
      <c r="K469" s="33" t="s">
        <v>1236</v>
      </c>
      <c r="L469" s="22" t="s">
        <v>758</v>
      </c>
      <c r="M469" s="22">
        <v>1935</v>
      </c>
      <c r="N469" s="22">
        <v>1945</v>
      </c>
      <c r="O469" s="22"/>
      <c r="P469" s="22"/>
      <c r="Q469" s="22"/>
      <c r="R469" s="22"/>
      <c r="S469" s="31" t="s">
        <v>5057</v>
      </c>
      <c r="T469" s="31" t="s">
        <v>5337</v>
      </c>
      <c r="U469" s="31" t="s">
        <v>5067</v>
      </c>
      <c r="V469" s="22"/>
      <c r="W469" s="45" t="s">
        <v>5118</v>
      </c>
      <c r="X469" s="45" t="s">
        <v>5120</v>
      </c>
      <c r="Y469" s="45" t="s">
        <v>5119</v>
      </c>
      <c r="Z469" s="22"/>
    </row>
    <row r="470" spans="1:27" ht="57">
      <c r="A470" s="22">
        <v>469</v>
      </c>
      <c r="B470" s="35" t="s">
        <v>5059</v>
      </c>
      <c r="C470" s="22"/>
      <c r="D470" s="22" t="s">
        <v>492</v>
      </c>
      <c r="E470" s="22" t="s">
        <v>492</v>
      </c>
      <c r="F470" s="31" t="s">
        <v>5060</v>
      </c>
      <c r="G470" s="22" t="s">
        <v>757</v>
      </c>
      <c r="H470" s="31" t="s">
        <v>5061</v>
      </c>
      <c r="I470" s="22" t="s">
        <v>1003</v>
      </c>
      <c r="J470" s="22" t="s">
        <v>5065</v>
      </c>
      <c r="K470" s="33" t="s">
        <v>5063</v>
      </c>
      <c r="L470" s="22" t="s">
        <v>785</v>
      </c>
      <c r="M470" s="22">
        <v>1958</v>
      </c>
      <c r="N470" s="22">
        <v>1965</v>
      </c>
      <c r="O470" s="22"/>
      <c r="P470" s="22"/>
      <c r="Q470" s="22"/>
      <c r="R470" s="22"/>
      <c r="S470" s="22" t="s">
        <v>5058</v>
      </c>
      <c r="T470" s="22" t="s">
        <v>887</v>
      </c>
      <c r="U470" s="31" t="s">
        <v>5066</v>
      </c>
      <c r="V470" s="22"/>
      <c r="W470" s="45" t="s">
        <v>5121</v>
      </c>
      <c r="X470" s="22"/>
    </row>
    <row r="471" spans="1:27" ht="28.5">
      <c r="A471" s="22">
        <v>470</v>
      </c>
      <c r="B471" s="49" t="s">
        <v>5068</v>
      </c>
      <c r="C471" s="22"/>
      <c r="D471" s="22" t="s">
        <v>492</v>
      </c>
      <c r="E471" s="22" t="s">
        <v>492</v>
      </c>
      <c r="F471" s="31" t="s">
        <v>5070</v>
      </c>
      <c r="G471" s="22" t="s">
        <v>755</v>
      </c>
      <c r="H471" s="31" t="s">
        <v>5069</v>
      </c>
      <c r="I471" s="22" t="s">
        <v>1003</v>
      </c>
      <c r="J471" s="22" t="s">
        <v>5071</v>
      </c>
      <c r="K471" s="33" t="s">
        <v>140</v>
      </c>
      <c r="L471" s="22" t="s">
        <v>758</v>
      </c>
      <c r="M471" s="22">
        <v>1914</v>
      </c>
      <c r="N471" s="22">
        <v>1928</v>
      </c>
      <c r="O471" s="22"/>
      <c r="P471" s="22"/>
      <c r="Q471" s="22"/>
      <c r="R471" s="22"/>
      <c r="S471" s="22"/>
      <c r="T471" s="22" t="s">
        <v>5073</v>
      </c>
      <c r="U471" s="31" t="s">
        <v>5072</v>
      </c>
      <c r="V471" s="22"/>
      <c r="W471" s="45" t="s">
        <v>5123</v>
      </c>
      <c r="X471" s="45" t="s">
        <v>5124</v>
      </c>
      <c r="Y471" s="22"/>
    </row>
    <row r="472" spans="1:27" ht="57">
      <c r="A472" s="22">
        <v>471</v>
      </c>
      <c r="B472" s="38" t="s">
        <v>5076</v>
      </c>
      <c r="C472" s="22"/>
      <c r="D472" s="22" t="s">
        <v>492</v>
      </c>
      <c r="E472" s="22" t="s">
        <v>492</v>
      </c>
      <c r="F472" s="31" t="s">
        <v>5076</v>
      </c>
      <c r="G472" s="22" t="s">
        <v>755</v>
      </c>
      <c r="H472" s="31" t="s">
        <v>5077</v>
      </c>
      <c r="I472" s="22" t="s">
        <v>1003</v>
      </c>
      <c r="J472" s="22" t="s">
        <v>5079</v>
      </c>
      <c r="K472" s="33"/>
      <c r="L472" s="22" t="s">
        <v>785</v>
      </c>
      <c r="M472" s="22">
        <v>1870</v>
      </c>
      <c r="N472" s="22">
        <v>1900</v>
      </c>
      <c r="O472" s="22"/>
      <c r="P472" s="22"/>
      <c r="Q472" s="22"/>
      <c r="R472" s="22"/>
      <c r="S472" s="22"/>
      <c r="T472" s="22"/>
      <c r="U472" s="31" t="s">
        <v>5078</v>
      </c>
      <c r="V472" s="31" t="s">
        <v>5080</v>
      </c>
      <c r="W472" s="45" t="s">
        <v>5125</v>
      </c>
      <c r="X472" s="45" t="s">
        <v>5126</v>
      </c>
      <c r="Y472" s="45" t="s">
        <v>5127</v>
      </c>
    </row>
    <row r="473" spans="1:27" ht="57">
      <c r="A473" s="22">
        <v>472</v>
      </c>
      <c r="B473" s="22" t="s">
        <v>5081</v>
      </c>
      <c r="C473" s="22"/>
      <c r="D473" s="22" t="s">
        <v>492</v>
      </c>
      <c r="E473" s="22" t="s">
        <v>492</v>
      </c>
      <c r="F473" s="31" t="s">
        <v>5082</v>
      </c>
      <c r="G473" s="22" t="s">
        <v>755</v>
      </c>
      <c r="H473" s="31" t="s">
        <v>5083</v>
      </c>
      <c r="I473" s="22" t="s">
        <v>1003</v>
      </c>
      <c r="J473" s="22" t="s">
        <v>5084</v>
      </c>
      <c r="K473" s="33" t="s">
        <v>2665</v>
      </c>
      <c r="L473" s="22" t="s">
        <v>758</v>
      </c>
      <c r="M473" s="22">
        <v>1953</v>
      </c>
      <c r="N473" s="22">
        <v>1965</v>
      </c>
      <c r="O473" s="22"/>
      <c r="P473" s="22"/>
      <c r="Q473" s="22"/>
      <c r="R473" s="22"/>
      <c r="S473" s="22" t="s">
        <v>5086</v>
      </c>
      <c r="T473" s="22" t="s">
        <v>5085</v>
      </c>
      <c r="U473" s="31" t="s">
        <v>5093</v>
      </c>
      <c r="V473" s="22"/>
      <c r="W473" s="45" t="s">
        <v>5128</v>
      </c>
      <c r="X473" s="45" t="s">
        <v>5129</v>
      </c>
    </row>
    <row r="474" spans="1:27" ht="42.75">
      <c r="A474" s="22">
        <v>473</v>
      </c>
      <c r="B474" s="22" t="s">
        <v>5087</v>
      </c>
      <c r="C474" s="22">
        <v>3085</v>
      </c>
      <c r="D474" s="22" t="s">
        <v>492</v>
      </c>
      <c r="E474" s="22" t="s">
        <v>492</v>
      </c>
      <c r="F474" s="31" t="s">
        <v>5088</v>
      </c>
      <c r="G474" s="22" t="s">
        <v>755</v>
      </c>
      <c r="H474" s="22" t="s">
        <v>5089</v>
      </c>
      <c r="I474" s="22" t="s">
        <v>4859</v>
      </c>
      <c r="J474" s="22" t="s">
        <v>5090</v>
      </c>
      <c r="K474" s="33" t="s">
        <v>161</v>
      </c>
      <c r="L474" s="22" t="s">
        <v>782</v>
      </c>
      <c r="M474" s="22">
        <v>1955</v>
      </c>
      <c r="N474" s="22">
        <v>1965</v>
      </c>
      <c r="O474" s="22"/>
      <c r="P474" s="22"/>
      <c r="Q474" s="22"/>
      <c r="R474" s="22"/>
      <c r="S474" s="22" t="s">
        <v>5086</v>
      </c>
      <c r="T474" s="22" t="s">
        <v>5091</v>
      </c>
      <c r="U474" s="31" t="s">
        <v>5092</v>
      </c>
      <c r="V474" s="22"/>
      <c r="W474" s="45" t="s">
        <v>5130</v>
      </c>
      <c r="X474" s="45" t="s">
        <v>5131</v>
      </c>
      <c r="Y474" s="45" t="s">
        <v>5132</v>
      </c>
    </row>
    <row r="475" spans="1:27" ht="57">
      <c r="A475" s="22">
        <v>474</v>
      </c>
      <c r="B475" s="22" t="s">
        <v>5099</v>
      </c>
      <c r="C475" s="22"/>
      <c r="D475" s="22" t="s">
        <v>492</v>
      </c>
      <c r="E475" s="22" t="s">
        <v>492</v>
      </c>
      <c r="F475" s="22" t="s">
        <v>5094</v>
      </c>
      <c r="G475" s="22" t="s">
        <v>755</v>
      </c>
      <c r="H475" s="31" t="s">
        <v>5095</v>
      </c>
      <c r="I475" s="22" t="s">
        <v>1340</v>
      </c>
      <c r="J475" s="22" t="s">
        <v>5096</v>
      </c>
      <c r="K475" s="33" t="s">
        <v>2665</v>
      </c>
      <c r="L475" s="22" t="s">
        <v>758</v>
      </c>
      <c r="M475" s="22">
        <v>1955</v>
      </c>
      <c r="N475" s="22">
        <v>1965</v>
      </c>
      <c r="O475" s="22"/>
      <c r="P475" s="22"/>
      <c r="Q475" s="22"/>
      <c r="R475" s="22"/>
      <c r="S475" s="22" t="s">
        <v>5100</v>
      </c>
      <c r="T475" s="22" t="s">
        <v>5098</v>
      </c>
      <c r="U475" s="31" t="s">
        <v>5097</v>
      </c>
      <c r="V475" s="22"/>
      <c r="W475" s="45" t="s">
        <v>5133</v>
      </c>
      <c r="X475" s="45" t="s">
        <v>5134</v>
      </c>
    </row>
    <row r="476" spans="1:27" ht="28.5">
      <c r="A476" s="22">
        <v>475</v>
      </c>
      <c r="B476" s="22" t="s">
        <v>5105</v>
      </c>
      <c r="C476" s="22">
        <v>940</v>
      </c>
      <c r="D476" s="22" t="s">
        <v>492</v>
      </c>
      <c r="E476" s="22" t="s">
        <v>492</v>
      </c>
      <c r="F476" s="31" t="s">
        <v>5103</v>
      </c>
      <c r="G476" s="22" t="s">
        <v>755</v>
      </c>
      <c r="H476" s="22" t="s">
        <v>5102</v>
      </c>
      <c r="I476" s="22" t="s">
        <v>1340</v>
      </c>
      <c r="J476" s="22" t="s">
        <v>5104</v>
      </c>
      <c r="K476" s="33" t="s">
        <v>86</v>
      </c>
      <c r="L476" s="22" t="s">
        <v>758</v>
      </c>
      <c r="M476" s="22">
        <v>1967</v>
      </c>
      <c r="N476" s="22">
        <v>1989</v>
      </c>
      <c r="O476" s="22" t="s">
        <v>758</v>
      </c>
      <c r="P476" s="22"/>
      <c r="Q476" s="22"/>
      <c r="R476" s="22"/>
      <c r="S476" s="22" t="s">
        <v>5107</v>
      </c>
      <c r="T476" s="22" t="s">
        <v>5106</v>
      </c>
      <c r="U476" s="31"/>
      <c r="V476" s="22"/>
      <c r="W476" s="45" t="s">
        <v>5135</v>
      </c>
      <c r="X476" s="45" t="s">
        <v>5122</v>
      </c>
      <c r="Y476" s="45" t="s">
        <v>5136</v>
      </c>
    </row>
    <row r="477" spans="1:27" ht="28.5">
      <c r="A477" s="22">
        <v>476</v>
      </c>
      <c r="B477" s="22" t="s">
        <v>5109</v>
      </c>
      <c r="C477" s="22"/>
      <c r="D477" s="22" t="s">
        <v>492</v>
      </c>
      <c r="E477" s="22" t="s">
        <v>492</v>
      </c>
      <c r="F477" s="31" t="s">
        <v>5110</v>
      </c>
      <c r="G477" s="22"/>
      <c r="H477" s="22" t="s">
        <v>5111</v>
      </c>
      <c r="I477" s="22" t="s">
        <v>1003</v>
      </c>
      <c r="J477" s="22" t="s">
        <v>5112</v>
      </c>
      <c r="K477" s="33" t="s">
        <v>91</v>
      </c>
      <c r="L477" s="22" t="s">
        <v>782</v>
      </c>
      <c r="M477" s="22">
        <v>1947</v>
      </c>
      <c r="N477" s="22">
        <v>1954</v>
      </c>
      <c r="O477" s="22" t="s">
        <v>1219</v>
      </c>
      <c r="P477" s="22"/>
      <c r="Q477" s="22"/>
      <c r="R477" s="22"/>
      <c r="S477" s="22"/>
      <c r="T477" s="22"/>
      <c r="U477" s="31"/>
      <c r="V477" s="22"/>
      <c r="W477" s="45" t="s">
        <v>5137</v>
      </c>
      <c r="X477" s="45" t="s">
        <v>5138</v>
      </c>
      <c r="Y477" s="45" t="s">
        <v>5139</v>
      </c>
      <c r="Z477" s="22"/>
    </row>
    <row r="478" spans="1:27" ht="42.75">
      <c r="A478" s="22">
        <v>477</v>
      </c>
      <c r="B478" s="22" t="s">
        <v>5113</v>
      </c>
      <c r="C478" s="22"/>
      <c r="D478" s="22" t="s">
        <v>492</v>
      </c>
      <c r="E478" s="22" t="s">
        <v>492</v>
      </c>
      <c r="F478" s="31" t="s">
        <v>5116</v>
      </c>
      <c r="G478" s="22" t="s">
        <v>756</v>
      </c>
      <c r="H478" s="31" t="s">
        <v>5115</v>
      </c>
      <c r="I478" s="22" t="s">
        <v>1003</v>
      </c>
      <c r="J478" s="22" t="s">
        <v>5117</v>
      </c>
      <c r="K478" s="33" t="s">
        <v>156</v>
      </c>
      <c r="L478" s="22" t="s">
        <v>782</v>
      </c>
      <c r="M478" s="22">
        <v>1960</v>
      </c>
      <c r="N478" s="22">
        <v>1969</v>
      </c>
      <c r="O478" s="22"/>
      <c r="P478" s="22"/>
      <c r="Q478" s="22"/>
      <c r="R478" s="22"/>
      <c r="S478" s="22" t="s">
        <v>5107</v>
      </c>
      <c r="T478" s="22"/>
      <c r="U478" s="31" t="s">
        <v>5114</v>
      </c>
      <c r="V478" s="22"/>
      <c r="W478" s="45" t="s">
        <v>5140</v>
      </c>
      <c r="X478" s="45" t="s">
        <v>5141</v>
      </c>
    </row>
    <row r="479" spans="1:27" ht="42.75">
      <c r="A479" s="22">
        <v>478</v>
      </c>
      <c r="B479" s="31" t="s">
        <v>5144</v>
      </c>
      <c r="C479" s="22"/>
      <c r="D479" s="22" t="s">
        <v>492</v>
      </c>
      <c r="E479" s="22" t="s">
        <v>492</v>
      </c>
      <c r="F479" s="31" t="s">
        <v>5145</v>
      </c>
      <c r="G479" s="22" t="s">
        <v>755</v>
      </c>
      <c r="H479" s="31" t="s">
        <v>5146</v>
      </c>
      <c r="I479" s="22" t="s">
        <v>1340</v>
      </c>
      <c r="J479" s="22" t="s">
        <v>5147</v>
      </c>
      <c r="K479" s="33" t="s">
        <v>175</v>
      </c>
      <c r="L479" s="22" t="s">
        <v>758</v>
      </c>
      <c r="M479" s="22">
        <v>1963</v>
      </c>
      <c r="N479" s="22">
        <v>1969</v>
      </c>
      <c r="O479" s="22" t="s">
        <v>782</v>
      </c>
      <c r="P479" s="22"/>
      <c r="Q479" s="22"/>
      <c r="R479" s="22"/>
      <c r="S479" s="22" t="s">
        <v>5150</v>
      </c>
      <c r="T479" s="22" t="s">
        <v>5149</v>
      </c>
      <c r="U479" s="31" t="s">
        <v>5148</v>
      </c>
      <c r="V479" s="22"/>
      <c r="W479" s="45" t="s">
        <v>5142</v>
      </c>
      <c r="X479" s="45" t="s">
        <v>5143</v>
      </c>
    </row>
    <row r="480" spans="1:27" ht="57">
      <c r="A480" s="22">
        <v>479</v>
      </c>
      <c r="B480" s="22" t="s">
        <v>5151</v>
      </c>
      <c r="C480" s="22">
        <v>659</v>
      </c>
      <c r="D480" s="22" t="s">
        <v>492</v>
      </c>
      <c r="E480" s="22" t="s">
        <v>492</v>
      </c>
      <c r="F480" s="31" t="s">
        <v>5152</v>
      </c>
      <c r="G480" s="22" t="s">
        <v>755</v>
      </c>
      <c r="H480" s="31" t="s">
        <v>5156</v>
      </c>
      <c r="I480" s="22" t="s">
        <v>1003</v>
      </c>
      <c r="J480" s="22" t="s">
        <v>5154</v>
      </c>
      <c r="K480" s="33" t="s">
        <v>88</v>
      </c>
      <c r="L480" s="22" t="s">
        <v>758</v>
      </c>
      <c r="M480" s="22">
        <v>1956</v>
      </c>
      <c r="N480" s="22">
        <v>1965</v>
      </c>
      <c r="O480" s="22"/>
      <c r="P480" s="22"/>
      <c r="Q480" s="22"/>
      <c r="R480" s="22"/>
      <c r="S480" s="22" t="s">
        <v>5155</v>
      </c>
      <c r="T480" s="22" t="s">
        <v>5153</v>
      </c>
      <c r="U480" s="31"/>
      <c r="V480" s="22"/>
      <c r="W480" s="45" t="s">
        <v>5240</v>
      </c>
      <c r="X480" s="45" t="s">
        <v>5241</v>
      </c>
    </row>
    <row r="481" spans="1:26" ht="42.75">
      <c r="A481" s="22">
        <v>480</v>
      </c>
      <c r="B481" s="22" t="s">
        <v>5157</v>
      </c>
      <c r="C481" s="22"/>
      <c r="D481" s="22" t="s">
        <v>492</v>
      </c>
      <c r="E481" s="22" t="s">
        <v>492</v>
      </c>
      <c r="F481" s="31" t="s">
        <v>5159</v>
      </c>
      <c r="G481" s="22" t="s">
        <v>755</v>
      </c>
      <c r="H481" s="31" t="s">
        <v>5158</v>
      </c>
      <c r="I481" s="22" t="s">
        <v>1003</v>
      </c>
      <c r="J481" s="22" t="s">
        <v>5160</v>
      </c>
      <c r="K481" s="33" t="s">
        <v>126</v>
      </c>
      <c r="L481" s="22" t="s">
        <v>758</v>
      </c>
      <c r="M481" s="22">
        <v>1954</v>
      </c>
      <c r="N481" s="22">
        <v>1965</v>
      </c>
      <c r="O481" s="22" t="s">
        <v>785</v>
      </c>
      <c r="P481" s="22">
        <v>200</v>
      </c>
      <c r="Q481" s="51">
        <v>43891</v>
      </c>
      <c r="R481" s="22" t="s">
        <v>1249</v>
      </c>
      <c r="S481" s="22"/>
      <c r="T481" s="22" t="s">
        <v>5161</v>
      </c>
      <c r="U481" s="31"/>
      <c r="V481" s="22"/>
      <c r="W481" s="45" t="s">
        <v>5242</v>
      </c>
      <c r="X481" s="44" t="s">
        <v>5243</v>
      </c>
      <c r="Y481" s="45" t="s">
        <v>5244</v>
      </c>
    </row>
    <row r="482" spans="1:26" ht="42.75">
      <c r="A482" s="22">
        <v>481</v>
      </c>
      <c r="B482" s="22" t="s">
        <v>5171</v>
      </c>
      <c r="C482" s="22">
        <v>431</v>
      </c>
      <c r="D482" s="22" t="s">
        <v>496</v>
      </c>
      <c r="E482" s="22" t="s">
        <v>492</v>
      </c>
      <c r="F482" s="31" t="s">
        <v>5168</v>
      </c>
      <c r="G482" s="22" t="s">
        <v>755</v>
      </c>
      <c r="H482" s="22" t="s">
        <v>5169</v>
      </c>
      <c r="I482" s="22" t="s">
        <v>1003</v>
      </c>
      <c r="J482" s="22" t="s">
        <v>5170</v>
      </c>
      <c r="K482" s="33" t="s">
        <v>86</v>
      </c>
      <c r="L482" s="22" t="s">
        <v>1024</v>
      </c>
      <c r="M482" s="22">
        <v>1898</v>
      </c>
      <c r="N482" s="22">
        <v>1935</v>
      </c>
      <c r="O482" s="22" t="s">
        <v>785</v>
      </c>
      <c r="P482" s="22"/>
      <c r="Q482" s="22"/>
      <c r="R482" s="22"/>
      <c r="S482" s="31" t="s">
        <v>5174</v>
      </c>
      <c r="T482" s="22" t="s">
        <v>5173</v>
      </c>
      <c r="U482" s="31" t="s">
        <v>5172</v>
      </c>
      <c r="V482" s="22"/>
      <c r="W482" s="45" t="s">
        <v>5245</v>
      </c>
      <c r="X482" s="45" t="s">
        <v>5246</v>
      </c>
    </row>
    <row r="483" spans="1:26" ht="42.75">
      <c r="A483" s="22">
        <v>482</v>
      </c>
      <c r="B483" s="22" t="s">
        <v>5180</v>
      </c>
      <c r="C483" s="22"/>
      <c r="D483" s="22" t="s">
        <v>492</v>
      </c>
      <c r="E483" s="22" t="s">
        <v>492</v>
      </c>
      <c r="F483" s="31" t="s">
        <v>5181</v>
      </c>
      <c r="G483" s="22" t="s">
        <v>755</v>
      </c>
      <c r="H483" s="31" t="s">
        <v>5176</v>
      </c>
      <c r="I483" s="22" t="s">
        <v>1003</v>
      </c>
      <c r="J483" s="22" t="s">
        <v>5179</v>
      </c>
      <c r="K483" s="33" t="s">
        <v>66</v>
      </c>
      <c r="L483" s="22" t="s">
        <v>785</v>
      </c>
      <c r="M483" s="22">
        <v>1911</v>
      </c>
      <c r="N483" s="22">
        <v>1930</v>
      </c>
      <c r="O483" s="22"/>
      <c r="P483" s="22"/>
      <c r="Q483" s="22"/>
      <c r="R483" s="22"/>
      <c r="S483" s="22" t="s">
        <v>4791</v>
      </c>
      <c r="T483" s="22" t="s">
        <v>5178</v>
      </c>
      <c r="U483" s="31" t="s">
        <v>5175</v>
      </c>
      <c r="V483" s="31" t="s">
        <v>5177</v>
      </c>
      <c r="W483" s="45" t="s">
        <v>5247</v>
      </c>
      <c r="X483" s="45" t="s">
        <v>5248</v>
      </c>
      <c r="Y483" s="44" t="s">
        <v>5249</v>
      </c>
    </row>
    <row r="484" spans="1:26" ht="71.25">
      <c r="A484" s="22">
        <v>483</v>
      </c>
      <c r="B484" s="38" t="s">
        <v>5182</v>
      </c>
      <c r="C484" s="22"/>
      <c r="D484" s="22" t="s">
        <v>492</v>
      </c>
      <c r="E484" s="22" t="s">
        <v>492</v>
      </c>
      <c r="F484" s="31" t="s">
        <v>5183</v>
      </c>
      <c r="G484" s="22" t="s">
        <v>755</v>
      </c>
      <c r="H484" s="31" t="s">
        <v>5184</v>
      </c>
      <c r="I484" s="22" t="s">
        <v>2383</v>
      </c>
      <c r="J484" s="22" t="s">
        <v>5185</v>
      </c>
      <c r="K484" s="33"/>
      <c r="L484" s="22" t="s">
        <v>758</v>
      </c>
      <c r="M484" s="22">
        <v>1940</v>
      </c>
      <c r="N484" s="22">
        <v>1955</v>
      </c>
      <c r="O484" s="22"/>
      <c r="P484" s="22"/>
      <c r="Q484" s="22"/>
      <c r="R484" s="22"/>
      <c r="S484" s="22" t="s">
        <v>5189</v>
      </c>
      <c r="T484" s="31" t="s">
        <v>5188</v>
      </c>
      <c r="U484" s="31" t="s">
        <v>5187</v>
      </c>
      <c r="V484" s="22" t="s">
        <v>5186</v>
      </c>
      <c r="W484" s="45" t="s">
        <v>5250</v>
      </c>
    </row>
    <row r="485" spans="1:26" ht="28.5">
      <c r="A485" s="22">
        <v>484</v>
      </c>
      <c r="B485" s="22" t="s">
        <v>5190</v>
      </c>
      <c r="C485" s="22">
        <v>220</v>
      </c>
      <c r="D485" s="22" t="s">
        <v>492</v>
      </c>
      <c r="E485" s="22" t="s">
        <v>492</v>
      </c>
      <c r="F485" s="31" t="s">
        <v>5191</v>
      </c>
      <c r="G485" s="22" t="s">
        <v>756</v>
      </c>
      <c r="H485" s="31" t="s">
        <v>5193</v>
      </c>
      <c r="I485" s="22" t="s">
        <v>1003</v>
      </c>
      <c r="J485" s="22" t="s">
        <v>5194</v>
      </c>
      <c r="K485" s="33" t="s">
        <v>33</v>
      </c>
      <c r="L485" s="22" t="s">
        <v>785</v>
      </c>
      <c r="M485" s="22">
        <v>1950</v>
      </c>
      <c r="N485" s="22">
        <v>1959</v>
      </c>
      <c r="O485" s="22"/>
      <c r="P485" s="22"/>
      <c r="Q485" s="22"/>
      <c r="R485" s="22"/>
      <c r="S485" s="22" t="s">
        <v>5196</v>
      </c>
      <c r="T485" s="22" t="s">
        <v>5195</v>
      </c>
      <c r="U485" s="31"/>
      <c r="V485" s="22"/>
      <c r="W485" s="45" t="s">
        <v>5251</v>
      </c>
      <c r="X485" s="45" t="s">
        <v>5252</v>
      </c>
    </row>
    <row r="486" spans="1:26" ht="42.75">
      <c r="A486" s="22">
        <v>485</v>
      </c>
      <c r="B486" s="22" t="s">
        <v>5197</v>
      </c>
      <c r="C486" s="22"/>
      <c r="D486" s="22" t="s">
        <v>492</v>
      </c>
      <c r="E486" s="22" t="s">
        <v>492</v>
      </c>
      <c r="F486" s="31" t="s">
        <v>5198</v>
      </c>
      <c r="G486" s="22" t="s">
        <v>755</v>
      </c>
      <c r="H486" s="31" t="s">
        <v>5199</v>
      </c>
      <c r="I486" s="22" t="s">
        <v>1203</v>
      </c>
      <c r="J486" s="22" t="s">
        <v>5200</v>
      </c>
      <c r="K486" s="33" t="s">
        <v>91</v>
      </c>
      <c r="L486" s="22" t="s">
        <v>782</v>
      </c>
      <c r="M486" s="22">
        <v>1945</v>
      </c>
      <c r="N486" s="22">
        <v>1954</v>
      </c>
      <c r="O486" s="22" t="s">
        <v>758</v>
      </c>
      <c r="P486" s="22"/>
      <c r="Q486" s="22"/>
      <c r="R486" s="22"/>
      <c r="S486" s="31" t="s">
        <v>5203</v>
      </c>
      <c r="T486" s="22"/>
      <c r="U486" s="31" t="s">
        <v>5202</v>
      </c>
      <c r="V486" s="31" t="s">
        <v>5201</v>
      </c>
      <c r="W486" s="45" t="s">
        <v>5253</v>
      </c>
      <c r="X486" s="45" t="s">
        <v>5254</v>
      </c>
    </row>
    <row r="487" spans="1:26" ht="99.75">
      <c r="A487" s="22">
        <v>486</v>
      </c>
      <c r="B487" s="31" t="s">
        <v>5207</v>
      </c>
      <c r="C487" s="22"/>
      <c r="D487" s="22" t="s">
        <v>504</v>
      </c>
      <c r="E487" s="22" t="s">
        <v>511</v>
      </c>
      <c r="F487" s="31" t="s">
        <v>5204</v>
      </c>
      <c r="G487" s="22" t="s">
        <v>1089</v>
      </c>
      <c r="H487" s="31" t="s">
        <v>5205</v>
      </c>
      <c r="I487" s="22" t="s">
        <v>1003</v>
      </c>
      <c r="J487" s="22" t="s">
        <v>5206</v>
      </c>
      <c r="K487" s="33" t="s">
        <v>62</v>
      </c>
      <c r="L487" s="22" t="s">
        <v>782</v>
      </c>
      <c r="M487" s="22">
        <v>1952</v>
      </c>
      <c r="N487" s="22">
        <v>1955</v>
      </c>
      <c r="O487" s="22"/>
      <c r="P487" s="22" t="s">
        <v>5279</v>
      </c>
      <c r="Q487" s="22" t="s">
        <v>5210</v>
      </c>
      <c r="R487" s="22" t="s">
        <v>5209</v>
      </c>
      <c r="S487" s="22"/>
      <c r="T487" s="22"/>
      <c r="U487" s="31" t="s">
        <v>5211</v>
      </c>
      <c r="V487" s="31" t="s">
        <v>5208</v>
      </c>
      <c r="W487" s="45" t="s">
        <v>5255</v>
      </c>
      <c r="X487" s="45" t="s">
        <v>5256</v>
      </c>
    </row>
    <row r="488" spans="1:26" ht="71.25">
      <c r="A488" s="22">
        <v>487</v>
      </c>
      <c r="B488" s="22" t="s">
        <v>5212</v>
      </c>
      <c r="C488" s="22"/>
      <c r="D488" s="22" t="s">
        <v>493</v>
      </c>
      <c r="E488" s="22" t="s">
        <v>511</v>
      </c>
      <c r="F488" s="31" t="s">
        <v>5213</v>
      </c>
      <c r="G488" s="22" t="s">
        <v>755</v>
      </c>
      <c r="H488" s="31" t="s">
        <v>5214</v>
      </c>
      <c r="I488" s="22" t="s">
        <v>5215</v>
      </c>
      <c r="J488" s="22" t="s">
        <v>5221</v>
      </c>
      <c r="K488" s="33" t="s">
        <v>5217</v>
      </c>
      <c r="L488" s="22" t="s">
        <v>782</v>
      </c>
      <c r="M488" s="22">
        <v>1935</v>
      </c>
      <c r="N488" s="22">
        <v>1940</v>
      </c>
      <c r="O488" s="22"/>
      <c r="P488" s="22"/>
      <c r="Q488" s="22"/>
      <c r="R488" s="31" t="s">
        <v>5220</v>
      </c>
      <c r="S488" s="22" t="s">
        <v>5219</v>
      </c>
      <c r="T488" s="22"/>
      <c r="U488" s="31" t="s">
        <v>5222</v>
      </c>
      <c r="V488" s="31"/>
      <c r="W488" s="42" t="s">
        <v>5257</v>
      </c>
    </row>
    <row r="489" spans="1:26" ht="71.25">
      <c r="A489" s="22">
        <v>488</v>
      </c>
      <c r="B489" s="22" t="s">
        <v>5223</v>
      </c>
      <c r="C489" s="22">
        <v>115</v>
      </c>
      <c r="D489" s="22" t="s">
        <v>493</v>
      </c>
      <c r="E489" s="22" t="s">
        <v>511</v>
      </c>
      <c r="F489" s="31" t="s">
        <v>5224</v>
      </c>
      <c r="G489" s="22" t="s">
        <v>755</v>
      </c>
      <c r="H489" s="31" t="s">
        <v>5214</v>
      </c>
      <c r="I489" s="22" t="s">
        <v>1003</v>
      </c>
      <c r="J489" s="22"/>
      <c r="K489" s="33" t="s">
        <v>1236</v>
      </c>
      <c r="L489" s="22" t="s">
        <v>782</v>
      </c>
      <c r="M489" s="22">
        <v>1923</v>
      </c>
      <c r="N489" s="22">
        <v>1932</v>
      </c>
      <c r="O489" s="22"/>
      <c r="P489" s="22"/>
      <c r="Q489" s="22"/>
      <c r="R489" s="22"/>
      <c r="S489" s="22" t="s">
        <v>5226</v>
      </c>
      <c r="T489" s="22" t="s">
        <v>5225</v>
      </c>
      <c r="U489" s="31"/>
      <c r="V489" s="22"/>
      <c r="W489" s="45" t="s">
        <v>5258</v>
      </c>
    </row>
    <row r="490" spans="1:26" ht="42.75">
      <c r="A490" s="22">
        <v>489</v>
      </c>
      <c r="B490" s="22" t="s">
        <v>3175</v>
      </c>
      <c r="C490" s="22">
        <v>50</v>
      </c>
      <c r="D490" s="22" t="s">
        <v>493</v>
      </c>
      <c r="E490" s="22" t="s">
        <v>511</v>
      </c>
      <c r="F490" s="31" t="s">
        <v>5228</v>
      </c>
      <c r="G490" s="22" t="s">
        <v>755</v>
      </c>
      <c r="H490" s="31" t="s">
        <v>5229</v>
      </c>
      <c r="I490" s="22" t="s">
        <v>1003</v>
      </c>
      <c r="J490" s="22" t="s">
        <v>4038</v>
      </c>
      <c r="K490" s="33" t="s">
        <v>36</v>
      </c>
      <c r="L490" s="22" t="s">
        <v>758</v>
      </c>
      <c r="M490" s="22">
        <v>1950</v>
      </c>
      <c r="N490" s="22">
        <v>1963</v>
      </c>
      <c r="O490" s="22"/>
      <c r="P490" s="22">
        <v>200</v>
      </c>
      <c r="Q490" s="51">
        <v>44256</v>
      </c>
      <c r="R490" s="31" t="s">
        <v>3840</v>
      </c>
      <c r="S490" s="31" t="s">
        <v>5230</v>
      </c>
      <c r="T490" s="31" t="s">
        <v>5227</v>
      </c>
      <c r="U490" s="31" t="s">
        <v>5828</v>
      </c>
      <c r="V490" s="22" t="s">
        <v>4827</v>
      </c>
      <c r="W490" s="42" t="s">
        <v>5259</v>
      </c>
      <c r="X490" s="45" t="s">
        <v>5260</v>
      </c>
    </row>
    <row r="491" spans="1:26" ht="57">
      <c r="A491" s="22">
        <v>490</v>
      </c>
      <c r="B491" s="22" t="s">
        <v>5238</v>
      </c>
      <c r="C491" s="22">
        <v>170</v>
      </c>
      <c r="D491" s="22" t="s">
        <v>493</v>
      </c>
      <c r="E491" s="22" t="s">
        <v>511</v>
      </c>
      <c r="F491" s="31" t="s">
        <v>5232</v>
      </c>
      <c r="G491" s="22" t="s">
        <v>755</v>
      </c>
      <c r="H491" s="31" t="s">
        <v>5234</v>
      </c>
      <c r="I491" s="22" t="s">
        <v>1003</v>
      </c>
      <c r="J491" s="22" t="s">
        <v>5233</v>
      </c>
      <c r="K491" s="33" t="s">
        <v>158</v>
      </c>
      <c r="L491" s="22" t="s">
        <v>782</v>
      </c>
      <c r="M491" s="22">
        <v>1930</v>
      </c>
      <c r="N491" s="22">
        <v>1939</v>
      </c>
      <c r="O491" s="22"/>
      <c r="P491" s="22"/>
      <c r="Q491" s="22"/>
      <c r="R491" s="22"/>
      <c r="S491" s="22" t="s">
        <v>5237</v>
      </c>
      <c r="T491" s="22" t="s">
        <v>5239</v>
      </c>
      <c r="U491" s="31" t="s">
        <v>5235</v>
      </c>
      <c r="V491" s="31" t="s">
        <v>5236</v>
      </c>
      <c r="W491" s="45" t="s">
        <v>5261</v>
      </c>
      <c r="X491" s="45" t="s">
        <v>5262</v>
      </c>
      <c r="Y491" s="45" t="s">
        <v>5263</v>
      </c>
      <c r="Z491" s="45" t="s">
        <v>5264</v>
      </c>
    </row>
    <row r="492" spans="1:26" ht="28.5">
      <c r="A492" s="22">
        <v>491</v>
      </c>
      <c r="B492" s="22" t="s">
        <v>5269</v>
      </c>
      <c r="C492" s="22"/>
      <c r="D492" s="22" t="s">
        <v>493</v>
      </c>
      <c r="E492" s="22" t="s">
        <v>511</v>
      </c>
      <c r="F492" s="31" t="s">
        <v>5270</v>
      </c>
      <c r="G492" s="22" t="s">
        <v>755</v>
      </c>
      <c r="H492" s="22" t="s">
        <v>5272</v>
      </c>
      <c r="I492" s="22" t="s">
        <v>1848</v>
      </c>
      <c r="J492" s="22" t="s">
        <v>2705</v>
      </c>
      <c r="K492" s="33" t="s">
        <v>5280</v>
      </c>
      <c r="L492" s="22" t="s">
        <v>782</v>
      </c>
      <c r="M492" s="22">
        <v>1960</v>
      </c>
      <c r="N492" s="22">
        <v>1969</v>
      </c>
      <c r="O492" s="22" t="s">
        <v>785</v>
      </c>
      <c r="P492" s="22">
        <v>160</v>
      </c>
      <c r="Q492" s="51">
        <v>40878</v>
      </c>
      <c r="R492" s="22" t="s">
        <v>1249</v>
      </c>
      <c r="S492" s="22" t="s">
        <v>5271</v>
      </c>
      <c r="T492" s="22"/>
      <c r="U492" s="31"/>
      <c r="W492" s="45" t="s">
        <v>5316</v>
      </c>
      <c r="X492" s="45" t="s">
        <v>5317</v>
      </c>
    </row>
    <row r="493" spans="1:26" ht="28.5">
      <c r="A493" s="22">
        <v>492</v>
      </c>
      <c r="B493" s="22" t="s">
        <v>5273</v>
      </c>
      <c r="C493" s="22"/>
      <c r="D493" s="22" t="s">
        <v>493</v>
      </c>
      <c r="E493" s="22" t="s">
        <v>511</v>
      </c>
      <c r="F493" s="31" t="s">
        <v>5274</v>
      </c>
      <c r="G493" s="22" t="s">
        <v>755</v>
      </c>
      <c r="H493" s="31" t="s">
        <v>5275</v>
      </c>
      <c r="I493" s="22" t="s">
        <v>1003</v>
      </c>
      <c r="J493" s="22" t="s">
        <v>5276</v>
      </c>
      <c r="K493" s="33" t="s">
        <v>117</v>
      </c>
      <c r="L493" s="22" t="s">
        <v>782</v>
      </c>
      <c r="M493" s="22">
        <v>1948</v>
      </c>
      <c r="N493" s="22">
        <v>1953</v>
      </c>
      <c r="O493" s="22"/>
      <c r="P493" s="22">
        <v>452</v>
      </c>
      <c r="Q493" s="51">
        <v>44713</v>
      </c>
      <c r="R493" s="22" t="s">
        <v>1249</v>
      </c>
      <c r="S493" s="22" t="s">
        <v>5419</v>
      </c>
      <c r="T493" s="22" t="s">
        <v>5278</v>
      </c>
      <c r="U493" s="31" t="s">
        <v>5277</v>
      </c>
      <c r="V493" s="22" t="s">
        <v>2126</v>
      </c>
      <c r="W493" s="45" t="s">
        <v>5318</v>
      </c>
      <c r="X493" s="45" t="s">
        <v>5319</v>
      </c>
      <c r="Y493" s="45" t="s">
        <v>5320</v>
      </c>
    </row>
    <row r="494" spans="1:26" ht="71.25">
      <c r="A494" s="22">
        <v>493</v>
      </c>
      <c r="B494" s="22" t="s">
        <v>5282</v>
      </c>
      <c r="C494" s="22"/>
      <c r="D494" s="22" t="s">
        <v>492</v>
      </c>
      <c r="E494" s="22" t="s">
        <v>511</v>
      </c>
      <c r="F494" s="22" t="s">
        <v>5283</v>
      </c>
      <c r="G494" s="22" t="s">
        <v>755</v>
      </c>
      <c r="H494" s="31" t="s">
        <v>5288</v>
      </c>
      <c r="I494" s="22" t="s">
        <v>1003</v>
      </c>
      <c r="J494" s="22" t="s">
        <v>5286</v>
      </c>
      <c r="K494" s="33" t="s">
        <v>175</v>
      </c>
      <c r="L494" s="22" t="s">
        <v>782</v>
      </c>
      <c r="M494" s="22">
        <v>1959</v>
      </c>
      <c r="N494" s="22">
        <v>1965</v>
      </c>
      <c r="O494" s="22" t="s">
        <v>782</v>
      </c>
      <c r="P494" s="22"/>
      <c r="Q494" s="22"/>
      <c r="R494" s="22"/>
      <c r="S494" s="22" t="s">
        <v>5150</v>
      </c>
      <c r="T494" s="22" t="s">
        <v>5285</v>
      </c>
      <c r="U494" s="31" t="s">
        <v>5284</v>
      </c>
      <c r="V494" s="22" t="s">
        <v>5287</v>
      </c>
      <c r="W494" s="45" t="s">
        <v>5321</v>
      </c>
      <c r="X494" s="45" t="s">
        <v>5322</v>
      </c>
    </row>
    <row r="495" spans="1:26" ht="42.75">
      <c r="A495" s="22">
        <v>494</v>
      </c>
      <c r="B495" s="31" t="s">
        <v>5281</v>
      </c>
      <c r="C495" s="22">
        <v>210</v>
      </c>
      <c r="D495" s="22" t="s">
        <v>492</v>
      </c>
      <c r="E495" s="22" t="s">
        <v>511</v>
      </c>
      <c r="F495" s="22" t="s">
        <v>5295</v>
      </c>
      <c r="G495" s="22" t="s">
        <v>755</v>
      </c>
      <c r="H495" s="31" t="s">
        <v>5289</v>
      </c>
      <c r="I495" s="22" t="s">
        <v>1003</v>
      </c>
      <c r="J495" s="22" t="s">
        <v>5293</v>
      </c>
      <c r="K495" s="33" t="s">
        <v>175</v>
      </c>
      <c r="L495" s="22" t="s">
        <v>758</v>
      </c>
      <c r="M495" s="22">
        <v>1960</v>
      </c>
      <c r="N495" s="22">
        <v>1965</v>
      </c>
      <c r="O495" s="22" t="s">
        <v>782</v>
      </c>
      <c r="P495" s="22"/>
      <c r="Q495" s="22"/>
      <c r="R495" s="22"/>
      <c r="S495" s="22" t="s">
        <v>5303</v>
      </c>
      <c r="T495" s="22" t="s">
        <v>5292</v>
      </c>
      <c r="U495" s="31" t="s">
        <v>5291</v>
      </c>
      <c r="V495" s="31" t="s">
        <v>5290</v>
      </c>
      <c r="W495" s="45" t="s">
        <v>5323</v>
      </c>
      <c r="X495" s="45" t="s">
        <v>5324</v>
      </c>
      <c r="Y495" s="45" t="s">
        <v>5325</v>
      </c>
    </row>
    <row r="496" spans="1:26" ht="57">
      <c r="A496" s="22">
        <v>495</v>
      </c>
      <c r="B496" s="31" t="s">
        <v>5294</v>
      </c>
      <c r="C496" s="22"/>
      <c r="D496" s="22" t="s">
        <v>493</v>
      </c>
      <c r="E496" s="22" t="s">
        <v>511</v>
      </c>
      <c r="F496" s="31" t="s">
        <v>5296</v>
      </c>
      <c r="G496" s="22" t="s">
        <v>755</v>
      </c>
      <c r="H496" s="22" t="s">
        <v>5297</v>
      </c>
      <c r="I496" s="22" t="s">
        <v>1003</v>
      </c>
      <c r="J496" s="22" t="s">
        <v>5298</v>
      </c>
      <c r="K496" s="33" t="s">
        <v>5299</v>
      </c>
      <c r="L496" s="22" t="s">
        <v>785</v>
      </c>
      <c r="M496" s="22">
        <v>1935</v>
      </c>
      <c r="N496" s="22">
        <v>1945</v>
      </c>
      <c r="O496" s="22"/>
      <c r="P496" s="22"/>
      <c r="Q496" s="22"/>
      <c r="R496" s="22" t="s">
        <v>5304</v>
      </c>
      <c r="S496" s="31" t="s">
        <v>5305</v>
      </c>
      <c r="T496" s="22"/>
      <c r="U496" s="31" t="s">
        <v>5302</v>
      </c>
      <c r="V496" s="22" t="s">
        <v>5301</v>
      </c>
      <c r="W496" s="42" t="s">
        <v>5326</v>
      </c>
      <c r="X496" s="45" t="s">
        <v>5327</v>
      </c>
    </row>
    <row r="497" spans="1:27" ht="42.75">
      <c r="A497" s="22">
        <v>496</v>
      </c>
      <c r="B497" s="31" t="s">
        <v>5300</v>
      </c>
      <c r="C497" s="22"/>
      <c r="D497" s="22" t="s">
        <v>493</v>
      </c>
      <c r="E497" s="22" t="s">
        <v>511</v>
      </c>
      <c r="F497" s="31" t="s">
        <v>5306</v>
      </c>
      <c r="G497" s="22" t="s">
        <v>755</v>
      </c>
      <c r="H497" s="31" t="s">
        <v>5307</v>
      </c>
      <c r="I497" s="22"/>
      <c r="J497" s="22" t="s">
        <v>5312</v>
      </c>
      <c r="K497" s="33" t="s">
        <v>5311</v>
      </c>
      <c r="L497" s="22" t="s">
        <v>785</v>
      </c>
      <c r="M497" s="22">
        <v>1912</v>
      </c>
      <c r="N497" s="22">
        <v>1925</v>
      </c>
      <c r="O497" s="22"/>
      <c r="P497" s="22"/>
      <c r="Q497" s="22"/>
      <c r="R497" s="22"/>
      <c r="S497" s="22" t="s">
        <v>5315</v>
      </c>
      <c r="T497" s="22" t="s">
        <v>5314</v>
      </c>
      <c r="U497" s="31" t="s">
        <v>5313</v>
      </c>
      <c r="V497" s="31" t="s">
        <v>5308</v>
      </c>
      <c r="W497" s="45" t="s">
        <v>5328</v>
      </c>
      <c r="X497" s="45" t="s">
        <v>5329</v>
      </c>
      <c r="Y497" s="45" t="s">
        <v>5330</v>
      </c>
    </row>
    <row r="498" spans="1:27" ht="71.25">
      <c r="A498" s="22">
        <v>497</v>
      </c>
      <c r="B498" s="31" t="s">
        <v>5333</v>
      </c>
      <c r="C498" s="22">
        <v>318</v>
      </c>
      <c r="D498" s="22" t="s">
        <v>504</v>
      </c>
      <c r="E498" s="22" t="s">
        <v>504</v>
      </c>
      <c r="F498" s="31" t="s">
        <v>5334</v>
      </c>
      <c r="G498" s="22" t="s">
        <v>1089</v>
      </c>
      <c r="H498" s="31" t="s">
        <v>5338</v>
      </c>
      <c r="I498" s="22" t="s">
        <v>1848</v>
      </c>
      <c r="J498" s="31" t="s">
        <v>5339</v>
      </c>
      <c r="K498" s="33" t="s">
        <v>106</v>
      </c>
      <c r="L498" s="22" t="s">
        <v>782</v>
      </c>
      <c r="M498" s="22">
        <v>1965</v>
      </c>
      <c r="N498" s="22">
        <v>1970</v>
      </c>
      <c r="O498" s="22" t="s">
        <v>785</v>
      </c>
      <c r="P498" s="22"/>
      <c r="Q498" s="22"/>
      <c r="R498" s="22"/>
      <c r="S498" s="31" t="s">
        <v>5340</v>
      </c>
      <c r="T498" s="22" t="s">
        <v>5335</v>
      </c>
      <c r="U498" s="31" t="s">
        <v>6639</v>
      </c>
      <c r="V498" s="22" t="s">
        <v>5336</v>
      </c>
      <c r="W498" s="45" t="s">
        <v>5420</v>
      </c>
      <c r="X498" s="45" t="s">
        <v>5421</v>
      </c>
      <c r="Y498" s="45" t="s">
        <v>5422</v>
      </c>
      <c r="Z498" s="45" t="s">
        <v>5423</v>
      </c>
      <c r="AA498" s="22"/>
    </row>
    <row r="499" spans="1:27" ht="99.75">
      <c r="A499" s="22">
        <v>498</v>
      </c>
      <c r="B499" s="22" t="s">
        <v>5341</v>
      </c>
      <c r="C499" s="22"/>
      <c r="D499" s="22" t="s">
        <v>504</v>
      </c>
      <c r="E499" s="22" t="s">
        <v>504</v>
      </c>
      <c r="F499" s="31" t="s">
        <v>5342</v>
      </c>
      <c r="G499" s="22" t="s">
        <v>1089</v>
      </c>
      <c r="H499" s="31" t="s">
        <v>5343</v>
      </c>
      <c r="I499" s="22" t="s">
        <v>3453</v>
      </c>
      <c r="J499" s="22" t="s">
        <v>5349</v>
      </c>
      <c r="K499" s="33" t="s">
        <v>33</v>
      </c>
      <c r="L499" s="22" t="s">
        <v>785</v>
      </c>
      <c r="M499" s="22">
        <v>1965</v>
      </c>
      <c r="N499" s="22">
        <v>1970</v>
      </c>
      <c r="O499" s="22"/>
      <c r="P499" s="22"/>
      <c r="Q499" s="22"/>
      <c r="R499" s="22"/>
      <c r="S499" s="22"/>
      <c r="T499" s="22"/>
      <c r="U499" s="31" t="s">
        <v>6638</v>
      </c>
      <c r="V499" s="31" t="s">
        <v>5344</v>
      </c>
      <c r="W499" s="45" t="s">
        <v>5424</v>
      </c>
      <c r="X499" s="22"/>
      <c r="Y499" s="22"/>
      <c r="Z499" s="22"/>
      <c r="AA499" s="22"/>
    </row>
    <row r="500" spans="1:27" ht="71.25">
      <c r="A500" s="22">
        <v>499</v>
      </c>
      <c r="B500" s="22" t="s">
        <v>5345</v>
      </c>
      <c r="C500" s="22">
        <v>71575</v>
      </c>
      <c r="D500" s="22" t="s">
        <v>493</v>
      </c>
      <c r="E500" s="22" t="s">
        <v>504</v>
      </c>
      <c r="F500" s="31" t="s">
        <v>5346</v>
      </c>
      <c r="G500" s="22" t="s">
        <v>757</v>
      </c>
      <c r="H500" s="31" t="s">
        <v>5347</v>
      </c>
      <c r="I500" s="31" t="s">
        <v>5348</v>
      </c>
      <c r="J500" s="22" t="s">
        <v>5350</v>
      </c>
      <c r="K500" s="33" t="s">
        <v>177</v>
      </c>
      <c r="L500" s="22" t="s">
        <v>758</v>
      </c>
      <c r="M500" s="22">
        <v>1960</v>
      </c>
      <c r="N500" s="22">
        <v>1969</v>
      </c>
      <c r="O500" s="22" t="s">
        <v>782</v>
      </c>
      <c r="P500" s="22"/>
      <c r="Q500" s="22"/>
      <c r="R500" s="22"/>
      <c r="S500" s="31" t="s">
        <v>5351</v>
      </c>
      <c r="T500" s="22" t="s">
        <v>5352</v>
      </c>
      <c r="U500" s="31" t="s">
        <v>6637</v>
      </c>
      <c r="W500" s="45" t="s">
        <v>5425</v>
      </c>
      <c r="X500" s="45" t="s">
        <v>5426</v>
      </c>
      <c r="Y500" s="45" t="s">
        <v>5427</v>
      </c>
      <c r="Z500" s="22"/>
      <c r="AA500" s="22"/>
    </row>
    <row r="501" spans="1:27" ht="28.5">
      <c r="A501" s="22">
        <v>500</v>
      </c>
      <c r="B501" s="22" t="s">
        <v>5354</v>
      </c>
      <c r="C501" s="22"/>
      <c r="D501" s="22" t="s">
        <v>493</v>
      </c>
      <c r="E501" s="22" t="s">
        <v>504</v>
      </c>
      <c r="F501" s="35" t="s">
        <v>5355</v>
      </c>
      <c r="G501" s="22" t="s">
        <v>1089</v>
      </c>
      <c r="H501" s="31" t="s">
        <v>5363</v>
      </c>
      <c r="I501" s="22" t="s">
        <v>1003</v>
      </c>
      <c r="J501" s="22" t="s">
        <v>5359</v>
      </c>
      <c r="K501" s="36" t="s">
        <v>5357</v>
      </c>
      <c r="L501" s="22" t="s">
        <v>782</v>
      </c>
      <c r="M501" s="22">
        <v>1925</v>
      </c>
      <c r="N501" s="22">
        <v>1935</v>
      </c>
      <c r="O501" s="22"/>
      <c r="P501" s="22">
        <v>357</v>
      </c>
      <c r="Q501" s="22" t="s">
        <v>5353</v>
      </c>
      <c r="R501" s="22" t="s">
        <v>1249</v>
      </c>
      <c r="S501" s="22"/>
      <c r="T501" s="22"/>
      <c r="U501" s="31" t="s">
        <v>5358</v>
      </c>
      <c r="V501" s="22"/>
      <c r="W501" s="45" t="s">
        <v>5428</v>
      </c>
      <c r="X501" s="45" t="s">
        <v>5429</v>
      </c>
      <c r="Y501" s="45" t="s">
        <v>5430</v>
      </c>
      <c r="Z501" s="45" t="s">
        <v>5431</v>
      </c>
      <c r="AA501" s="22"/>
    </row>
    <row r="502" spans="1:27" ht="57">
      <c r="A502" s="22">
        <v>501</v>
      </c>
      <c r="B502" s="22" t="s">
        <v>5360</v>
      </c>
      <c r="C502" s="22"/>
      <c r="D502" s="31" t="s">
        <v>501</v>
      </c>
      <c r="E502" s="22" t="s">
        <v>504</v>
      </c>
      <c r="F502" s="31" t="s">
        <v>5361</v>
      </c>
      <c r="G502" s="22" t="s">
        <v>756</v>
      </c>
      <c r="H502" s="31" t="s">
        <v>5362</v>
      </c>
      <c r="I502" s="22" t="s">
        <v>1340</v>
      </c>
      <c r="J502" s="22" t="s">
        <v>5371</v>
      </c>
      <c r="K502" s="33" t="s">
        <v>177</v>
      </c>
      <c r="L502" s="22" t="s">
        <v>758</v>
      </c>
      <c r="M502" s="22">
        <v>1965</v>
      </c>
      <c r="N502" s="22">
        <v>1970</v>
      </c>
      <c r="O502" s="31" t="s">
        <v>5364</v>
      </c>
      <c r="P502" s="22"/>
      <c r="Q502" s="22"/>
      <c r="R502" s="22"/>
      <c r="S502" s="22"/>
      <c r="T502" s="22"/>
      <c r="U502" s="31" t="s">
        <v>5365</v>
      </c>
      <c r="V502" s="22" t="s">
        <v>6636</v>
      </c>
      <c r="W502" s="45" t="s">
        <v>5432</v>
      </c>
      <c r="X502" s="45" t="s">
        <v>5433</v>
      </c>
      <c r="Y502" s="22"/>
      <c r="Z502" s="22"/>
      <c r="AA502" s="22"/>
    </row>
    <row r="503" spans="1:27" ht="71.25">
      <c r="A503" s="22">
        <v>502</v>
      </c>
      <c r="B503" s="31" t="s">
        <v>5366</v>
      </c>
      <c r="C503" s="22">
        <v>72568</v>
      </c>
      <c r="D503" s="22" t="s">
        <v>492</v>
      </c>
      <c r="E503" s="22" t="s">
        <v>504</v>
      </c>
      <c r="F503" s="31" t="s">
        <v>5367</v>
      </c>
      <c r="G503" s="22" t="s">
        <v>757</v>
      </c>
      <c r="H503" s="31" t="s">
        <v>5373</v>
      </c>
      <c r="I503" s="31" t="s">
        <v>5368</v>
      </c>
      <c r="J503" s="22" t="s">
        <v>5372</v>
      </c>
      <c r="K503" s="33" t="s">
        <v>127</v>
      </c>
      <c r="L503" s="22" t="s">
        <v>758</v>
      </c>
      <c r="M503" s="22">
        <v>1960</v>
      </c>
      <c r="N503" s="22">
        <v>1969</v>
      </c>
      <c r="O503" s="31" t="s">
        <v>5370</v>
      </c>
      <c r="P503" s="22"/>
      <c r="Q503" s="22"/>
      <c r="R503" s="22"/>
      <c r="S503" s="31" t="s">
        <v>5374</v>
      </c>
      <c r="T503" s="22" t="s">
        <v>5369</v>
      </c>
      <c r="U503" s="31" t="s">
        <v>6631</v>
      </c>
      <c r="V503" s="22" t="s">
        <v>6635</v>
      </c>
      <c r="W503" s="42" t="s">
        <v>5434</v>
      </c>
      <c r="X503" s="45" t="s">
        <v>5435</v>
      </c>
      <c r="Y503" s="45" t="s">
        <v>5436</v>
      </c>
      <c r="Z503" s="22"/>
    </row>
    <row r="504" spans="1:27" ht="42.75">
      <c r="A504" s="22">
        <v>503</v>
      </c>
      <c r="B504" s="22" t="s">
        <v>5375</v>
      </c>
      <c r="C504" s="22"/>
      <c r="D504" s="31" t="s">
        <v>499</v>
      </c>
      <c r="E504" s="22" t="s">
        <v>504</v>
      </c>
      <c r="F504" s="31" t="s">
        <v>5376</v>
      </c>
      <c r="G504" s="22" t="s">
        <v>757</v>
      </c>
      <c r="H504" s="31" t="s">
        <v>5377</v>
      </c>
      <c r="I504" s="22" t="s">
        <v>5378</v>
      </c>
      <c r="J504" s="22" t="s">
        <v>5379</v>
      </c>
      <c r="K504" s="33" t="s">
        <v>174</v>
      </c>
      <c r="L504" s="22" t="s">
        <v>758</v>
      </c>
      <c r="M504" s="22">
        <v>1960</v>
      </c>
      <c r="N504" s="22">
        <v>1969</v>
      </c>
      <c r="O504" s="31" t="s">
        <v>5380</v>
      </c>
      <c r="P504" s="22"/>
      <c r="Q504" s="22"/>
      <c r="R504" s="22"/>
      <c r="S504" s="31" t="s">
        <v>3339</v>
      </c>
      <c r="T504" s="22" t="s">
        <v>5381</v>
      </c>
      <c r="U504" s="31" t="s">
        <v>6632</v>
      </c>
      <c r="V504" s="22"/>
      <c r="W504" s="45" t="s">
        <v>5437</v>
      </c>
      <c r="X504" s="45" t="s">
        <v>5438</v>
      </c>
    </row>
    <row r="505" spans="1:27" ht="42.75">
      <c r="A505" s="22">
        <v>504</v>
      </c>
      <c r="B505" s="22" t="s">
        <v>5382</v>
      </c>
      <c r="C505" s="22"/>
      <c r="D505" s="31" t="s">
        <v>499</v>
      </c>
      <c r="E505" s="22" t="s">
        <v>504</v>
      </c>
      <c r="F505" s="31" t="s">
        <v>5383</v>
      </c>
      <c r="G505" s="22" t="s">
        <v>757</v>
      </c>
      <c r="H505" s="31" t="s">
        <v>5384</v>
      </c>
      <c r="I505" s="22" t="s">
        <v>5378</v>
      </c>
      <c r="J505" s="22" t="s">
        <v>5385</v>
      </c>
      <c r="K505" s="33" t="s">
        <v>5386</v>
      </c>
      <c r="L505" s="22" t="s">
        <v>782</v>
      </c>
      <c r="M505" s="22">
        <v>1960</v>
      </c>
      <c r="N505" s="22">
        <v>1969</v>
      </c>
      <c r="O505" s="31" t="s">
        <v>5388</v>
      </c>
      <c r="P505" s="22"/>
      <c r="Q505" s="22"/>
      <c r="R505" s="22"/>
      <c r="S505" s="31" t="s">
        <v>5351</v>
      </c>
      <c r="T505" s="22" t="s">
        <v>5389</v>
      </c>
      <c r="U505" s="31" t="s">
        <v>6633</v>
      </c>
      <c r="V505" s="22"/>
      <c r="W505" s="42" t="s">
        <v>5439</v>
      </c>
      <c r="X505" s="45" t="s">
        <v>5440</v>
      </c>
    </row>
    <row r="506" spans="1:27" ht="42.75">
      <c r="A506" s="22">
        <v>505</v>
      </c>
      <c r="B506" s="31" t="s">
        <v>5390</v>
      </c>
      <c r="C506" s="22">
        <v>1410</v>
      </c>
      <c r="D506" s="31" t="s">
        <v>499</v>
      </c>
      <c r="E506" s="22" t="s">
        <v>504</v>
      </c>
      <c r="F506" s="31" t="s">
        <v>5391</v>
      </c>
      <c r="G506" s="22" t="s">
        <v>757</v>
      </c>
      <c r="H506" s="31" t="s">
        <v>5392</v>
      </c>
      <c r="I506" s="22" t="s">
        <v>1848</v>
      </c>
      <c r="J506" s="22" t="s">
        <v>5394</v>
      </c>
      <c r="K506" s="33" t="s">
        <v>36</v>
      </c>
      <c r="L506" s="22" t="s">
        <v>782</v>
      </c>
      <c r="M506" s="22">
        <v>1965</v>
      </c>
      <c r="N506" s="22">
        <v>1970</v>
      </c>
      <c r="O506" s="31" t="s">
        <v>5388</v>
      </c>
      <c r="P506" s="22"/>
      <c r="Q506" s="22"/>
      <c r="R506" s="22"/>
      <c r="S506" s="31" t="s">
        <v>5393</v>
      </c>
      <c r="T506" s="22"/>
      <c r="U506" s="31" t="s">
        <v>6634</v>
      </c>
      <c r="V506" s="22"/>
      <c r="W506" s="45" t="s">
        <v>5441</v>
      </c>
      <c r="X506" s="45" t="s">
        <v>5442</v>
      </c>
      <c r="Y506" s="45" t="s">
        <v>5443</v>
      </c>
      <c r="Z506" s="22"/>
    </row>
    <row r="507" spans="1:27" ht="28.5">
      <c r="A507" s="22">
        <v>506</v>
      </c>
      <c r="B507" s="22" t="s">
        <v>5395</v>
      </c>
      <c r="C507" s="22"/>
      <c r="D507" s="31" t="s">
        <v>499</v>
      </c>
      <c r="E507" s="22" t="s">
        <v>504</v>
      </c>
      <c r="F507" s="31" t="s">
        <v>5396</v>
      </c>
      <c r="G507" s="22" t="s">
        <v>1089</v>
      </c>
      <c r="H507" s="31" t="s">
        <v>5397</v>
      </c>
      <c r="I507" s="22" t="s">
        <v>1848</v>
      </c>
      <c r="J507" s="22" t="s">
        <v>5398</v>
      </c>
      <c r="K507" s="33" t="s">
        <v>33</v>
      </c>
      <c r="L507" s="22" t="s">
        <v>782</v>
      </c>
      <c r="M507" s="22">
        <v>1965</v>
      </c>
      <c r="N507" s="22">
        <v>1970</v>
      </c>
      <c r="O507" s="22"/>
      <c r="P507" s="22"/>
      <c r="Q507" s="22"/>
      <c r="R507" s="22"/>
      <c r="S507" s="22"/>
      <c r="T507" s="22"/>
      <c r="U507" s="31"/>
      <c r="V507" s="22"/>
      <c r="W507" s="45" t="s">
        <v>5444</v>
      </c>
      <c r="X507" s="22"/>
      <c r="Y507" s="22"/>
    </row>
    <row r="508" spans="1:27" ht="57">
      <c r="A508" s="22">
        <v>507</v>
      </c>
      <c r="B508" s="22" t="s">
        <v>5399</v>
      </c>
      <c r="C508" s="22"/>
      <c r="D508" s="31" t="s">
        <v>499</v>
      </c>
      <c r="E508" s="22" t="s">
        <v>504</v>
      </c>
      <c r="F508" s="31" t="s">
        <v>5400</v>
      </c>
      <c r="G508" s="22" t="s">
        <v>755</v>
      </c>
      <c r="H508" s="31" t="s">
        <v>5405</v>
      </c>
      <c r="I508" s="22" t="s">
        <v>1666</v>
      </c>
      <c r="J508" s="22" t="s">
        <v>5401</v>
      </c>
      <c r="K508" s="33" t="s">
        <v>145</v>
      </c>
      <c r="L508" s="22" t="s">
        <v>758</v>
      </c>
      <c r="M508" s="22">
        <v>1975</v>
      </c>
      <c r="N508" s="22">
        <v>1985</v>
      </c>
      <c r="O508" s="22"/>
      <c r="P508" s="22"/>
      <c r="Q508" s="22"/>
      <c r="R508" s="22"/>
      <c r="S508" s="22" t="s">
        <v>5402</v>
      </c>
      <c r="T508" s="22"/>
      <c r="U508" s="31"/>
      <c r="V508" s="22"/>
      <c r="W508" s="45" t="s">
        <v>5445</v>
      </c>
      <c r="X508" s="22"/>
      <c r="Y508" s="22"/>
    </row>
    <row r="509" spans="1:27" ht="28.5">
      <c r="A509" s="22">
        <v>508</v>
      </c>
      <c r="B509" s="22" t="s">
        <v>5403</v>
      </c>
      <c r="C509" s="22">
        <v>230</v>
      </c>
      <c r="D509" s="31" t="s">
        <v>499</v>
      </c>
      <c r="E509" s="22" t="s">
        <v>504</v>
      </c>
      <c r="F509" s="31" t="s">
        <v>5404</v>
      </c>
      <c r="G509" s="22" t="s">
        <v>1089</v>
      </c>
      <c r="H509" s="31" t="s">
        <v>5406</v>
      </c>
      <c r="I509" s="22" t="s">
        <v>5407</v>
      </c>
      <c r="J509" s="22" t="s">
        <v>5408</v>
      </c>
      <c r="K509" s="33" t="s">
        <v>5409</v>
      </c>
      <c r="L509" s="22" t="s">
        <v>758</v>
      </c>
      <c r="M509" s="22">
        <v>1950</v>
      </c>
      <c r="N509" s="22">
        <v>1960</v>
      </c>
      <c r="O509" s="22" t="s">
        <v>1190</v>
      </c>
      <c r="P509" s="22"/>
      <c r="Q509" s="22"/>
      <c r="R509" s="31" t="s">
        <v>5412</v>
      </c>
      <c r="S509" s="22" t="s">
        <v>5413</v>
      </c>
      <c r="T509" s="22"/>
      <c r="U509" s="31" t="s">
        <v>6630</v>
      </c>
      <c r="V509" s="22"/>
      <c r="W509" s="45" t="s">
        <v>5446</v>
      </c>
      <c r="X509" s="45" t="s">
        <v>5447</v>
      </c>
      <c r="Y509" s="45" t="s">
        <v>5448</v>
      </c>
      <c r="Z509" s="22"/>
    </row>
    <row r="510" spans="1:27" ht="28.5">
      <c r="A510" s="22">
        <v>509</v>
      </c>
      <c r="B510" s="22" t="s">
        <v>5414</v>
      </c>
      <c r="C510" s="22"/>
      <c r="D510" s="31" t="s">
        <v>499</v>
      </c>
      <c r="E510" s="22" t="s">
        <v>504</v>
      </c>
      <c r="F510" s="31" t="s">
        <v>5415</v>
      </c>
      <c r="G510" s="22" t="s">
        <v>1089</v>
      </c>
      <c r="H510" s="22" t="s">
        <v>5416</v>
      </c>
      <c r="I510" s="22" t="s">
        <v>1666</v>
      </c>
      <c r="J510" s="22" t="s">
        <v>5417</v>
      </c>
      <c r="K510" s="33" t="s">
        <v>137</v>
      </c>
      <c r="L510" s="22" t="s">
        <v>782</v>
      </c>
      <c r="M510" s="22">
        <v>1955</v>
      </c>
      <c r="N510" s="22">
        <v>1960</v>
      </c>
      <c r="O510" s="22"/>
      <c r="P510" s="22"/>
      <c r="Q510" s="22"/>
      <c r="R510" s="22"/>
      <c r="S510" s="22" t="s">
        <v>5418</v>
      </c>
      <c r="T510" s="22"/>
      <c r="U510" s="31" t="s">
        <v>6627</v>
      </c>
      <c r="V510" s="22" t="s">
        <v>6628</v>
      </c>
      <c r="W510" s="45" t="s">
        <v>5449</v>
      </c>
    </row>
    <row r="511" spans="1:27" ht="42.75">
      <c r="A511" s="22">
        <v>510</v>
      </c>
      <c r="B511" s="22" t="s">
        <v>5453</v>
      </c>
      <c r="C511" s="22" t="s">
        <v>5463</v>
      </c>
      <c r="D511" s="22" t="s">
        <v>492</v>
      </c>
      <c r="E511" s="22" t="s">
        <v>492</v>
      </c>
      <c r="F511" s="31" t="s">
        <v>5454</v>
      </c>
      <c r="G511" s="22" t="s">
        <v>755</v>
      </c>
      <c r="H511" s="31" t="s">
        <v>5458</v>
      </c>
      <c r="I511" s="22" t="s">
        <v>5455</v>
      </c>
      <c r="J511" s="22" t="s">
        <v>5456</v>
      </c>
      <c r="K511" s="33" t="s">
        <v>177</v>
      </c>
      <c r="L511" s="22" t="s">
        <v>758</v>
      </c>
      <c r="M511" s="22">
        <v>1970</v>
      </c>
      <c r="N511" s="22">
        <v>1980</v>
      </c>
      <c r="O511" s="31" t="s">
        <v>5457</v>
      </c>
      <c r="P511" s="22"/>
      <c r="Q511" s="22"/>
      <c r="R511" s="22"/>
      <c r="S511" s="22"/>
      <c r="T511" s="22"/>
      <c r="U511" s="31"/>
      <c r="V511" s="22"/>
      <c r="W511" s="45" t="s">
        <v>5459</v>
      </c>
      <c r="X511" s="45" t="s">
        <v>5460</v>
      </c>
    </row>
    <row r="512" spans="1:27" ht="42.75">
      <c r="A512" s="22">
        <v>511</v>
      </c>
      <c r="B512" s="22" t="s">
        <v>5462</v>
      </c>
      <c r="C512" s="22"/>
      <c r="D512" s="22" t="s">
        <v>492</v>
      </c>
      <c r="E512" s="22" t="s">
        <v>492</v>
      </c>
      <c r="F512" s="31" t="s">
        <v>5464</v>
      </c>
      <c r="G512" s="22" t="s">
        <v>755</v>
      </c>
      <c r="H512" s="31" t="s">
        <v>5465</v>
      </c>
      <c r="I512" s="22" t="s">
        <v>1003</v>
      </c>
      <c r="J512" s="22" t="s">
        <v>5466</v>
      </c>
      <c r="K512" s="33" t="s">
        <v>5469</v>
      </c>
      <c r="L512" s="22" t="s">
        <v>758</v>
      </c>
      <c r="M512" s="22">
        <v>1975</v>
      </c>
      <c r="N512" s="22">
        <v>1985</v>
      </c>
      <c r="O512" s="22" t="s">
        <v>758</v>
      </c>
      <c r="P512" s="22">
        <v>15</v>
      </c>
      <c r="Q512" s="22"/>
      <c r="R512" s="31" t="s">
        <v>6629</v>
      </c>
      <c r="S512" s="31" t="s">
        <v>5467</v>
      </c>
      <c r="T512" s="22"/>
      <c r="U512" s="31" t="s">
        <v>6626</v>
      </c>
      <c r="V512" s="22"/>
      <c r="W512" s="45" t="s">
        <v>5461</v>
      </c>
      <c r="X512" s="45" t="s">
        <v>5474</v>
      </c>
    </row>
    <row r="513" spans="1:26" ht="28.5">
      <c r="A513" s="22">
        <v>512</v>
      </c>
      <c r="B513" s="22" t="s">
        <v>5477</v>
      </c>
      <c r="C513" s="22" t="s">
        <v>5478</v>
      </c>
      <c r="D513" s="22" t="s">
        <v>492</v>
      </c>
      <c r="E513" s="22" t="s">
        <v>492</v>
      </c>
      <c r="F513" s="31" t="s">
        <v>5483</v>
      </c>
      <c r="G513" s="22" t="s">
        <v>755</v>
      </c>
      <c r="H513" s="31" t="s">
        <v>5484</v>
      </c>
      <c r="I513" s="31" t="s">
        <v>5485</v>
      </c>
      <c r="J513" s="22" t="s">
        <v>5486</v>
      </c>
      <c r="K513" s="33" t="s">
        <v>5481</v>
      </c>
      <c r="L513" s="22" t="s">
        <v>758</v>
      </c>
      <c r="M513" s="22">
        <v>1980</v>
      </c>
      <c r="N513" s="22">
        <v>1985</v>
      </c>
      <c r="O513" s="22" t="s">
        <v>782</v>
      </c>
      <c r="P513" s="22">
        <v>3.5</v>
      </c>
      <c r="Q513" s="22"/>
      <c r="R513" s="22"/>
      <c r="S513" s="31" t="s">
        <v>5482</v>
      </c>
      <c r="T513" s="22"/>
      <c r="U513" s="31" t="s">
        <v>6625</v>
      </c>
      <c r="V513" s="22"/>
      <c r="W513" s="45" t="s">
        <v>5475</v>
      </c>
      <c r="X513" s="45" t="s">
        <v>5476</v>
      </c>
    </row>
    <row r="514" spans="1:26" ht="71.25">
      <c r="A514" s="22">
        <v>513</v>
      </c>
      <c r="B514" s="22" t="s">
        <v>5487</v>
      </c>
      <c r="C514" s="22">
        <v>3083</v>
      </c>
      <c r="D514" s="22" t="s">
        <v>492</v>
      </c>
      <c r="E514" s="22" t="s">
        <v>492</v>
      </c>
      <c r="F514" s="22" t="s">
        <v>5489</v>
      </c>
      <c r="G514" s="22" t="s">
        <v>755</v>
      </c>
      <c r="H514" s="22" t="s">
        <v>5490</v>
      </c>
      <c r="I514" s="22" t="s">
        <v>1666</v>
      </c>
      <c r="J514" s="22" t="s">
        <v>5491</v>
      </c>
      <c r="K514" s="33" t="s">
        <v>5492</v>
      </c>
      <c r="L514" s="22" t="s">
        <v>782</v>
      </c>
      <c r="M514" s="22">
        <v>1955</v>
      </c>
      <c r="N514" s="22">
        <v>1959</v>
      </c>
      <c r="O514" s="31" t="s">
        <v>5493</v>
      </c>
      <c r="P514" s="22"/>
      <c r="Q514" s="22"/>
      <c r="R514" s="22"/>
      <c r="S514" s="22"/>
      <c r="T514" s="22" t="s">
        <v>5091</v>
      </c>
      <c r="U514" s="31" t="s">
        <v>6624</v>
      </c>
      <c r="V514" s="22" t="s">
        <v>6623</v>
      </c>
      <c r="W514" s="45" t="s">
        <v>5488</v>
      </c>
      <c r="X514" s="45" t="s">
        <v>5494</v>
      </c>
      <c r="Y514" s="44" t="s">
        <v>5495</v>
      </c>
    </row>
    <row r="515" spans="1:26" ht="28.5">
      <c r="A515" s="22">
        <v>514</v>
      </c>
      <c r="B515" s="22" t="s">
        <v>5500</v>
      </c>
      <c r="C515" s="22"/>
      <c r="D515" s="22" t="s">
        <v>492</v>
      </c>
      <c r="E515" s="22" t="s">
        <v>492</v>
      </c>
      <c r="F515" s="31" t="s">
        <v>5499</v>
      </c>
      <c r="G515" s="22" t="s">
        <v>755</v>
      </c>
      <c r="H515" s="22" t="s">
        <v>5497</v>
      </c>
      <c r="I515" s="22" t="s">
        <v>1003</v>
      </c>
      <c r="J515" s="22" t="s">
        <v>5498</v>
      </c>
      <c r="K515" s="33" t="s">
        <v>99</v>
      </c>
      <c r="L515" s="22" t="s">
        <v>785</v>
      </c>
      <c r="M515" s="22">
        <v>1930</v>
      </c>
      <c r="N515" s="22">
        <v>1940</v>
      </c>
      <c r="O515" s="22"/>
      <c r="P515" s="22"/>
      <c r="Q515" s="22"/>
      <c r="R515" s="22"/>
      <c r="S515" s="22" t="s">
        <v>5502</v>
      </c>
      <c r="T515" s="22" t="s">
        <v>5501</v>
      </c>
      <c r="U515" s="31"/>
      <c r="V515" s="22" t="s">
        <v>6623</v>
      </c>
      <c r="W515" s="45" t="s">
        <v>5496</v>
      </c>
      <c r="X515" s="45" t="s">
        <v>5494</v>
      </c>
      <c r="Y515" s="45" t="s">
        <v>5495</v>
      </c>
    </row>
    <row r="516" spans="1:26" ht="28.5">
      <c r="A516" s="22">
        <v>515</v>
      </c>
      <c r="B516" s="22" t="s">
        <v>5503</v>
      </c>
      <c r="C516" s="22"/>
      <c r="D516" s="22" t="s">
        <v>492</v>
      </c>
      <c r="E516" s="22" t="s">
        <v>492</v>
      </c>
      <c r="F516" s="31" t="s">
        <v>5504</v>
      </c>
      <c r="G516" s="22" t="s">
        <v>755</v>
      </c>
      <c r="H516" s="22" t="s">
        <v>4790</v>
      </c>
      <c r="I516" s="22" t="s">
        <v>5505</v>
      </c>
      <c r="J516" s="22" t="s">
        <v>5506</v>
      </c>
      <c r="K516" s="33" t="s">
        <v>91</v>
      </c>
      <c r="L516" s="22" t="s">
        <v>782</v>
      </c>
      <c r="M516" s="22">
        <v>1945</v>
      </c>
      <c r="N516" s="22">
        <v>1954</v>
      </c>
      <c r="O516" s="22" t="s">
        <v>758</v>
      </c>
      <c r="P516" s="22"/>
      <c r="Q516" s="22"/>
      <c r="R516" s="22"/>
      <c r="S516" s="22" t="s">
        <v>5507</v>
      </c>
      <c r="T516" s="22"/>
      <c r="U516" s="31" t="s">
        <v>6621</v>
      </c>
      <c r="V516" s="31" t="s">
        <v>6622</v>
      </c>
      <c r="W516" s="45" t="s">
        <v>5508</v>
      </c>
      <c r="X516" s="45" t="s">
        <v>5509</v>
      </c>
      <c r="Y516" s="45" t="s">
        <v>5510</v>
      </c>
    </row>
    <row r="517" spans="1:26" ht="57">
      <c r="A517" s="22">
        <v>516</v>
      </c>
      <c r="B517" s="22" t="s">
        <v>5511</v>
      </c>
      <c r="C517" s="22">
        <v>1923</v>
      </c>
      <c r="D517" s="22" t="s">
        <v>492</v>
      </c>
      <c r="E517" s="22" t="s">
        <v>492</v>
      </c>
      <c r="F517" s="31" t="s">
        <v>5512</v>
      </c>
      <c r="G517" s="22" t="s">
        <v>757</v>
      </c>
      <c r="H517" s="32" t="s">
        <v>5515</v>
      </c>
      <c r="I517" s="22" t="s">
        <v>5513</v>
      </c>
      <c r="J517" s="22" t="s">
        <v>5514</v>
      </c>
      <c r="K517" s="33" t="s">
        <v>193</v>
      </c>
      <c r="L517" s="22" t="s">
        <v>758</v>
      </c>
      <c r="M517" s="22">
        <v>1955</v>
      </c>
      <c r="N517" s="22">
        <v>1960</v>
      </c>
      <c r="O517" s="31" t="s">
        <v>5517</v>
      </c>
      <c r="P517" s="22"/>
      <c r="Q517" s="22"/>
      <c r="R517" s="22"/>
      <c r="S517" s="22"/>
      <c r="T517" s="22" t="s">
        <v>5516</v>
      </c>
      <c r="U517" s="31" t="s">
        <v>6620</v>
      </c>
      <c r="V517" s="22"/>
      <c r="W517" s="45" t="s">
        <v>5518</v>
      </c>
      <c r="X517" s="45" t="s">
        <v>5519</v>
      </c>
    </row>
    <row r="518" spans="1:26" ht="71.25">
      <c r="A518" s="22">
        <v>517</v>
      </c>
      <c r="B518" s="22" t="s">
        <v>5523</v>
      </c>
      <c r="C518" s="22" t="s">
        <v>5524</v>
      </c>
      <c r="D518" s="22" t="s">
        <v>492</v>
      </c>
      <c r="E518" s="22" t="s">
        <v>492</v>
      </c>
      <c r="F518" s="31" t="s">
        <v>5525</v>
      </c>
      <c r="G518" s="22" t="s">
        <v>757</v>
      </c>
      <c r="H518" s="32" t="s">
        <v>5526</v>
      </c>
      <c r="I518" s="22" t="s">
        <v>5513</v>
      </c>
      <c r="J518" s="22" t="s">
        <v>5527</v>
      </c>
      <c r="K518" s="33" t="s">
        <v>159</v>
      </c>
      <c r="L518" s="22" t="s">
        <v>782</v>
      </c>
      <c r="M518" s="22">
        <v>1955</v>
      </c>
      <c r="N518" s="22">
        <v>1960</v>
      </c>
      <c r="O518" s="31" t="s">
        <v>5528</v>
      </c>
      <c r="P518" s="22"/>
      <c r="Q518" s="22"/>
      <c r="R518" s="22"/>
      <c r="S518" s="22"/>
      <c r="T518" s="22" t="s">
        <v>5516</v>
      </c>
      <c r="U518" s="31" t="s">
        <v>6619</v>
      </c>
      <c r="V518" s="22"/>
      <c r="W518" s="45" t="s">
        <v>5520</v>
      </c>
      <c r="X518" s="45" t="s">
        <v>5521</v>
      </c>
      <c r="Y518" s="45" t="s">
        <v>5522</v>
      </c>
    </row>
    <row r="519" spans="1:26" ht="185.25">
      <c r="A519" s="22">
        <v>518</v>
      </c>
      <c r="B519" s="31" t="s">
        <v>5530</v>
      </c>
      <c r="C519" s="22"/>
      <c r="D519" s="22" t="s">
        <v>492</v>
      </c>
      <c r="E519" s="22" t="s">
        <v>492</v>
      </c>
      <c r="F519" s="31" t="s">
        <v>5529</v>
      </c>
      <c r="G519" s="22" t="s">
        <v>1089</v>
      </c>
      <c r="H519" s="31" t="s">
        <v>5531</v>
      </c>
      <c r="I519" s="22" t="s">
        <v>1848</v>
      </c>
      <c r="J519" s="22" t="s">
        <v>5538</v>
      </c>
      <c r="K519" s="33" t="s">
        <v>33</v>
      </c>
      <c r="L519" s="22" t="s">
        <v>758</v>
      </c>
      <c r="M519" s="22">
        <v>1948</v>
      </c>
      <c r="N519" s="22">
        <v>1955</v>
      </c>
      <c r="O519" s="31" t="s">
        <v>5539</v>
      </c>
      <c r="P519" s="22">
        <v>168</v>
      </c>
      <c r="Q519" s="22" t="s">
        <v>6074</v>
      </c>
      <c r="R519" s="22"/>
      <c r="S519" s="31" t="s">
        <v>5540</v>
      </c>
      <c r="T519" s="22" t="s">
        <v>5533</v>
      </c>
      <c r="U519" s="31" t="s">
        <v>5542</v>
      </c>
      <c r="V519" s="22" t="s">
        <v>4827</v>
      </c>
      <c r="W519" s="45" t="s">
        <v>5534</v>
      </c>
      <c r="X519" s="45" t="s">
        <v>5535</v>
      </c>
      <c r="Y519" s="45" t="s">
        <v>5536</v>
      </c>
      <c r="Z519" s="22"/>
    </row>
    <row r="520" spans="1:26" ht="71.25">
      <c r="A520" s="22">
        <v>519</v>
      </c>
      <c r="B520" s="22" t="s">
        <v>5541</v>
      </c>
      <c r="C520" s="22"/>
      <c r="D520" s="22" t="s">
        <v>492</v>
      </c>
      <c r="E520" s="22" t="s">
        <v>492</v>
      </c>
      <c r="F520" s="31" t="s">
        <v>5543</v>
      </c>
      <c r="G520" s="22" t="s">
        <v>1089</v>
      </c>
      <c r="H520" s="31" t="s">
        <v>5531</v>
      </c>
      <c r="I520" s="22" t="s">
        <v>1666</v>
      </c>
      <c r="J520" s="22" t="s">
        <v>5532</v>
      </c>
      <c r="K520" s="33"/>
      <c r="L520" s="22" t="s">
        <v>758</v>
      </c>
      <c r="M520" s="22">
        <v>2000</v>
      </c>
      <c r="N520" s="22">
        <v>2020</v>
      </c>
      <c r="O520" s="31" t="s">
        <v>1670</v>
      </c>
      <c r="P520" s="22">
        <v>17</v>
      </c>
      <c r="Q520" s="22"/>
      <c r="R520" s="22"/>
      <c r="S520" s="31" t="s">
        <v>5544</v>
      </c>
      <c r="T520" s="22"/>
      <c r="U520" s="31" t="s">
        <v>6618</v>
      </c>
      <c r="V520" s="22"/>
      <c r="W520" s="45" t="s">
        <v>5537</v>
      </c>
      <c r="X520" s="45" t="s">
        <v>5536</v>
      </c>
      <c r="Y520" s="22"/>
      <c r="Z520" s="22"/>
    </row>
    <row r="521" spans="1:26" ht="57">
      <c r="A521" s="22">
        <v>520</v>
      </c>
      <c r="B521" s="22" t="s">
        <v>5545</v>
      </c>
      <c r="C521" s="22"/>
      <c r="D521" s="22" t="s">
        <v>492</v>
      </c>
      <c r="E521" s="22" t="s">
        <v>492</v>
      </c>
      <c r="F521" s="31" t="s">
        <v>5546</v>
      </c>
      <c r="G521" s="22" t="s">
        <v>756</v>
      </c>
      <c r="H521" s="31" t="s">
        <v>5547</v>
      </c>
      <c r="I521" s="22" t="s">
        <v>1848</v>
      </c>
      <c r="J521" s="22" t="s">
        <v>5548</v>
      </c>
      <c r="K521" s="33" t="s">
        <v>150</v>
      </c>
      <c r="L521" s="22" t="s">
        <v>782</v>
      </c>
      <c r="M521" s="22">
        <v>1965</v>
      </c>
      <c r="N521" s="22">
        <v>1969</v>
      </c>
      <c r="O521" s="31" t="s">
        <v>5549</v>
      </c>
      <c r="P521" s="22"/>
      <c r="Q521" s="22"/>
      <c r="R521" s="22"/>
      <c r="S521" s="31" t="s">
        <v>5550</v>
      </c>
      <c r="T521" s="22"/>
      <c r="U521" s="31"/>
      <c r="V521" s="22"/>
      <c r="W521" s="45" t="s">
        <v>5551</v>
      </c>
      <c r="X521" s="45" t="s">
        <v>5552</v>
      </c>
      <c r="Y521" s="22"/>
      <c r="Z521" s="22"/>
    </row>
    <row r="522" spans="1:26" ht="42.75">
      <c r="A522" s="22">
        <v>521</v>
      </c>
      <c r="B522" s="31" t="s">
        <v>5553</v>
      </c>
      <c r="C522" s="22">
        <v>615</v>
      </c>
      <c r="D522" s="22" t="s">
        <v>492</v>
      </c>
      <c r="E522" s="22" t="s">
        <v>492</v>
      </c>
      <c r="F522" s="31" t="s">
        <v>5554</v>
      </c>
      <c r="G522" s="22" t="s">
        <v>755</v>
      </c>
      <c r="H522" s="31" t="s">
        <v>5555</v>
      </c>
      <c r="I522" s="22" t="s">
        <v>5556</v>
      </c>
      <c r="J522" s="22" t="s">
        <v>5557</v>
      </c>
      <c r="K522" s="33" t="s">
        <v>2484</v>
      </c>
      <c r="L522" s="22" t="s">
        <v>758</v>
      </c>
      <c r="M522" s="22">
        <v>1971</v>
      </c>
      <c r="N522" s="22">
        <v>1980</v>
      </c>
      <c r="O522" s="22" t="s">
        <v>758</v>
      </c>
      <c r="P522" s="22"/>
      <c r="Q522" s="22"/>
      <c r="R522" s="22"/>
      <c r="S522" s="31" t="s">
        <v>5559</v>
      </c>
      <c r="T522" s="22"/>
      <c r="U522" s="31" t="s">
        <v>5558</v>
      </c>
      <c r="V522" s="22"/>
      <c r="W522" s="45" t="s">
        <v>5560</v>
      </c>
      <c r="X522" s="45" t="s">
        <v>5561</v>
      </c>
      <c r="Y522" s="22"/>
      <c r="Z522" s="22"/>
    </row>
    <row r="523" spans="1:26" ht="28.5">
      <c r="A523" s="22">
        <v>522</v>
      </c>
      <c r="B523" s="31" t="s">
        <v>5564</v>
      </c>
      <c r="C523" s="22">
        <v>482</v>
      </c>
      <c r="D523" s="22" t="s">
        <v>492</v>
      </c>
      <c r="E523" s="22" t="s">
        <v>492</v>
      </c>
      <c r="F523" s="22" t="s">
        <v>5565</v>
      </c>
      <c r="G523" s="22" t="s">
        <v>1089</v>
      </c>
      <c r="H523" s="31" t="s">
        <v>5566</v>
      </c>
      <c r="I523" s="22" t="s">
        <v>1666</v>
      </c>
      <c r="J523" s="22" t="s">
        <v>5567</v>
      </c>
      <c r="K523" s="33" t="s">
        <v>5569</v>
      </c>
      <c r="L523" s="22" t="s">
        <v>758</v>
      </c>
      <c r="M523" s="22">
        <v>1960</v>
      </c>
      <c r="N523" s="22">
        <v>1965</v>
      </c>
      <c r="O523" s="22" t="s">
        <v>782</v>
      </c>
      <c r="P523" s="22"/>
      <c r="Q523" s="22"/>
      <c r="R523" s="22"/>
      <c r="S523" s="22"/>
      <c r="T523" s="22"/>
      <c r="U523" s="31"/>
      <c r="V523" s="22"/>
      <c r="W523" s="45" t="s">
        <v>5562</v>
      </c>
      <c r="X523" s="45" t="s">
        <v>5563</v>
      </c>
      <c r="Y523" s="22"/>
      <c r="Z523" s="22"/>
    </row>
    <row r="524" spans="1:26" ht="42.75">
      <c r="A524" s="22">
        <v>523</v>
      </c>
      <c r="B524" s="31" t="s">
        <v>5570</v>
      </c>
      <c r="C524" s="51" t="s">
        <v>5579</v>
      </c>
      <c r="D524" s="22" t="s">
        <v>492</v>
      </c>
      <c r="E524" s="22" t="s">
        <v>492</v>
      </c>
      <c r="F524" s="31" t="s">
        <v>5571</v>
      </c>
      <c r="G524" s="22" t="s">
        <v>757</v>
      </c>
      <c r="H524" s="31" t="s">
        <v>5572</v>
      </c>
      <c r="I524" s="31" t="s">
        <v>5573</v>
      </c>
      <c r="J524" s="22" t="s">
        <v>5574</v>
      </c>
      <c r="K524" s="33" t="s">
        <v>1081</v>
      </c>
      <c r="L524" s="22" t="s">
        <v>758</v>
      </c>
      <c r="M524" s="22">
        <v>1965</v>
      </c>
      <c r="N524" s="22">
        <v>1970</v>
      </c>
      <c r="O524" s="22" t="s">
        <v>782</v>
      </c>
      <c r="P524" s="22"/>
      <c r="Q524" s="22"/>
      <c r="R524" s="22"/>
      <c r="S524" s="31" t="s">
        <v>5575</v>
      </c>
      <c r="T524" s="22" t="s">
        <v>5576</v>
      </c>
      <c r="U524" s="31" t="s">
        <v>5577</v>
      </c>
      <c r="V524" s="22"/>
      <c r="W524" s="45" t="s">
        <v>5585</v>
      </c>
      <c r="X524" s="22"/>
      <c r="Y524" s="22"/>
      <c r="Z524" s="22"/>
    </row>
    <row r="525" spans="1:26" ht="28.5">
      <c r="A525" s="22">
        <v>524</v>
      </c>
      <c r="B525" s="22" t="s">
        <v>5578</v>
      </c>
      <c r="C525" s="22">
        <v>767</v>
      </c>
      <c r="D525" s="22" t="s">
        <v>492</v>
      </c>
      <c r="E525" s="22" t="s">
        <v>492</v>
      </c>
      <c r="F525" s="31" t="s">
        <v>5580</v>
      </c>
      <c r="G525" s="22" t="s">
        <v>755</v>
      </c>
      <c r="H525" s="31" t="s">
        <v>5581</v>
      </c>
      <c r="I525" s="31" t="s">
        <v>5582</v>
      </c>
      <c r="J525" s="22" t="s">
        <v>5583</v>
      </c>
      <c r="K525" s="33" t="s">
        <v>1081</v>
      </c>
      <c r="L525" s="22" t="s">
        <v>758</v>
      </c>
      <c r="M525" s="22">
        <v>1971</v>
      </c>
      <c r="N525" s="22">
        <v>1979</v>
      </c>
      <c r="O525" s="22" t="s">
        <v>782</v>
      </c>
      <c r="P525" s="22"/>
      <c r="Q525" s="22"/>
      <c r="R525" s="22"/>
      <c r="S525" s="22"/>
      <c r="T525" s="22"/>
      <c r="U525" s="31" t="s">
        <v>6616</v>
      </c>
      <c r="V525" s="22"/>
      <c r="W525" s="45" t="s">
        <v>5586</v>
      </c>
      <c r="X525" s="22"/>
    </row>
    <row r="526" spans="1:26" ht="42.75">
      <c r="A526" s="22">
        <v>525</v>
      </c>
      <c r="B526" s="31" t="s">
        <v>5584</v>
      </c>
      <c r="C526" s="22">
        <v>1033</v>
      </c>
      <c r="D526" s="22" t="s">
        <v>504</v>
      </c>
      <c r="E526" s="22" t="s">
        <v>504</v>
      </c>
      <c r="F526" s="31" t="s">
        <v>5588</v>
      </c>
      <c r="G526" s="22" t="s">
        <v>757</v>
      </c>
      <c r="H526" s="31" t="s">
        <v>5595</v>
      </c>
      <c r="I526" s="22" t="s">
        <v>1666</v>
      </c>
      <c r="J526" s="22" t="s">
        <v>5589</v>
      </c>
      <c r="K526" s="33"/>
      <c r="L526" s="22" t="s">
        <v>758</v>
      </c>
      <c r="M526" s="22">
        <v>1980</v>
      </c>
      <c r="N526" s="22">
        <v>1985</v>
      </c>
      <c r="O526" s="22" t="s">
        <v>782</v>
      </c>
      <c r="P526" s="22"/>
      <c r="Q526" s="22"/>
      <c r="R526" s="22"/>
      <c r="S526" s="31" t="s">
        <v>5559</v>
      </c>
      <c r="T526" s="22"/>
      <c r="U526" s="31" t="s">
        <v>6615</v>
      </c>
      <c r="V526" s="22"/>
      <c r="W526" s="45" t="s">
        <v>5587</v>
      </c>
      <c r="X526" s="22"/>
    </row>
    <row r="527" spans="1:26" ht="85.5">
      <c r="A527" s="22">
        <v>526</v>
      </c>
      <c r="B527" s="22" t="s">
        <v>5591</v>
      </c>
      <c r="C527" s="22">
        <v>4850</v>
      </c>
      <c r="D527" s="22" t="s">
        <v>504</v>
      </c>
      <c r="E527" s="22" t="s">
        <v>504</v>
      </c>
      <c r="F527" s="31" t="s">
        <v>5592</v>
      </c>
      <c r="G527" s="22" t="s">
        <v>1089</v>
      </c>
      <c r="H527" s="31" t="s">
        <v>5597</v>
      </c>
      <c r="I527" s="22" t="s">
        <v>1003</v>
      </c>
      <c r="J527" s="22" t="s">
        <v>5598</v>
      </c>
      <c r="K527" s="33" t="s">
        <v>163</v>
      </c>
      <c r="L527" s="22" t="s">
        <v>782</v>
      </c>
      <c r="M527" s="22">
        <v>1954</v>
      </c>
      <c r="N527" s="22">
        <v>1959</v>
      </c>
      <c r="O527" s="22" t="s">
        <v>785</v>
      </c>
      <c r="P527" s="22"/>
      <c r="Q527" s="22"/>
      <c r="R527" s="22"/>
      <c r="S527" s="22"/>
      <c r="T527" s="22"/>
      <c r="U527" s="95" t="s">
        <v>5593</v>
      </c>
      <c r="V527" s="22" t="s">
        <v>5594</v>
      </c>
      <c r="W527" s="45" t="s">
        <v>5590</v>
      </c>
      <c r="X527" s="22"/>
    </row>
    <row r="528" spans="1:26" ht="28.5">
      <c r="A528" s="22">
        <v>527</v>
      </c>
      <c r="B528" s="22" t="s">
        <v>5602</v>
      </c>
      <c r="C528" s="22">
        <v>536</v>
      </c>
      <c r="D528" s="22" t="s">
        <v>492</v>
      </c>
      <c r="E528" s="22" t="s">
        <v>492</v>
      </c>
      <c r="F528" s="22" t="s">
        <v>5603</v>
      </c>
      <c r="G528" s="22" t="s">
        <v>755</v>
      </c>
      <c r="H528" s="31" t="s">
        <v>5604</v>
      </c>
      <c r="I528" s="22" t="s">
        <v>5455</v>
      </c>
      <c r="J528" s="22" t="s">
        <v>5605</v>
      </c>
      <c r="K528" s="33" t="s">
        <v>819</v>
      </c>
      <c r="L528" s="22" t="s">
        <v>785</v>
      </c>
      <c r="M528" s="22">
        <v>1965</v>
      </c>
      <c r="N528" s="22">
        <v>1969</v>
      </c>
      <c r="O528" s="22"/>
      <c r="P528" s="22"/>
      <c r="Q528" s="22"/>
      <c r="R528" s="22"/>
      <c r="S528" s="22" t="s">
        <v>5612</v>
      </c>
      <c r="T528" s="22" t="s">
        <v>5606</v>
      </c>
      <c r="U528" s="31"/>
      <c r="V528" s="22"/>
      <c r="W528" s="45" t="s">
        <v>5664</v>
      </c>
      <c r="X528" s="22"/>
    </row>
    <row r="529" spans="1:28">
      <c r="A529" s="22">
        <v>528</v>
      </c>
      <c r="B529" s="22" t="s">
        <v>5607</v>
      </c>
      <c r="C529" s="22">
        <v>589</v>
      </c>
      <c r="D529" s="22" t="s">
        <v>492</v>
      </c>
      <c r="E529" s="22" t="s">
        <v>492</v>
      </c>
      <c r="F529" s="22" t="s">
        <v>5608</v>
      </c>
      <c r="G529" s="22" t="s">
        <v>755</v>
      </c>
      <c r="H529" s="22" t="s">
        <v>5609</v>
      </c>
      <c r="I529" s="22" t="s">
        <v>5505</v>
      </c>
      <c r="J529" s="22" t="s">
        <v>5610</v>
      </c>
      <c r="K529" s="33" t="s">
        <v>819</v>
      </c>
      <c r="L529" s="22" t="s">
        <v>785</v>
      </c>
      <c r="M529" s="22">
        <v>1965</v>
      </c>
      <c r="N529" s="22">
        <v>1969</v>
      </c>
      <c r="O529" s="22"/>
      <c r="P529" s="22"/>
      <c r="Q529" s="22"/>
      <c r="R529" s="22"/>
      <c r="S529" s="22" t="s">
        <v>5613</v>
      </c>
      <c r="T529" s="22" t="s">
        <v>5611</v>
      </c>
      <c r="U529" s="31"/>
      <c r="V529" s="22" t="s">
        <v>6617</v>
      </c>
      <c r="W529" s="45" t="s">
        <v>5664</v>
      </c>
      <c r="X529" s="22"/>
    </row>
    <row r="530" spans="1:28" ht="28.5">
      <c r="A530" s="22">
        <v>529</v>
      </c>
      <c r="B530" s="22" t="s">
        <v>5614</v>
      </c>
      <c r="C530" s="22">
        <v>921</v>
      </c>
      <c r="D530" s="22" t="s">
        <v>492</v>
      </c>
      <c r="E530" s="22" t="s">
        <v>492</v>
      </c>
      <c r="F530" s="31" t="s">
        <v>5682</v>
      </c>
      <c r="G530" s="22" t="s">
        <v>756</v>
      </c>
      <c r="H530" s="22" t="s">
        <v>1227</v>
      </c>
      <c r="I530" s="22" t="s">
        <v>1848</v>
      </c>
      <c r="J530" s="22" t="s">
        <v>5615</v>
      </c>
      <c r="K530" s="33" t="s">
        <v>86</v>
      </c>
      <c r="L530" s="22" t="s">
        <v>758</v>
      </c>
      <c r="M530" s="22">
        <v>1959</v>
      </c>
      <c r="N530" s="22">
        <v>1978</v>
      </c>
      <c r="O530" s="22"/>
      <c r="P530" s="22"/>
      <c r="Q530" s="22"/>
      <c r="R530" s="22"/>
      <c r="S530" s="22" t="s">
        <v>4870</v>
      </c>
      <c r="T530" s="22" t="s">
        <v>5630</v>
      </c>
      <c r="U530" s="31"/>
      <c r="V530" s="22"/>
      <c r="W530" s="45" t="s">
        <v>5665</v>
      </c>
      <c r="X530" s="22"/>
    </row>
    <row r="531" spans="1:28" ht="28.5">
      <c r="A531" s="22">
        <v>530</v>
      </c>
      <c r="B531" s="22" t="s">
        <v>5616</v>
      </c>
      <c r="C531" s="22">
        <v>942</v>
      </c>
      <c r="D531" s="22" t="s">
        <v>492</v>
      </c>
      <c r="E531" s="22" t="s">
        <v>492</v>
      </c>
      <c r="F531" s="22" t="s">
        <v>5681</v>
      </c>
      <c r="G531" s="22" t="s">
        <v>755</v>
      </c>
      <c r="H531" s="22" t="s">
        <v>5618</v>
      </c>
      <c r="I531" s="22" t="s">
        <v>1848</v>
      </c>
      <c r="J531" s="22" t="s">
        <v>5620</v>
      </c>
      <c r="K531" s="33" t="s">
        <v>86</v>
      </c>
      <c r="L531" s="22" t="s">
        <v>758</v>
      </c>
      <c r="M531" s="22">
        <v>1968</v>
      </c>
      <c r="N531" s="22">
        <v>1989</v>
      </c>
      <c r="O531" s="22" t="s">
        <v>782</v>
      </c>
      <c r="P531" s="22"/>
      <c r="Q531" s="22"/>
      <c r="R531" s="22"/>
      <c r="S531" s="22" t="s">
        <v>5632</v>
      </c>
      <c r="T531" s="31" t="s">
        <v>5637</v>
      </c>
      <c r="U531" s="31" t="s">
        <v>6613</v>
      </c>
      <c r="V531" s="22"/>
      <c r="W531" s="45" t="s">
        <v>5666</v>
      </c>
      <c r="X531" s="22"/>
    </row>
    <row r="532" spans="1:28" ht="28.5">
      <c r="A532" s="22">
        <v>531</v>
      </c>
      <c r="B532" s="22" t="s">
        <v>5617</v>
      </c>
      <c r="C532" s="22">
        <v>943</v>
      </c>
      <c r="D532" s="22" t="s">
        <v>492</v>
      </c>
      <c r="E532" s="22" t="s">
        <v>492</v>
      </c>
      <c r="F532" s="22" t="s">
        <v>5619</v>
      </c>
      <c r="G532" s="22" t="s">
        <v>755</v>
      </c>
      <c r="H532" s="22" t="s">
        <v>5618</v>
      </c>
      <c r="I532" s="22" t="s">
        <v>1848</v>
      </c>
      <c r="J532" s="22" t="s">
        <v>5620</v>
      </c>
      <c r="K532" s="33" t="s">
        <v>86</v>
      </c>
      <c r="L532" s="22" t="s">
        <v>758</v>
      </c>
      <c r="M532" s="22">
        <v>1968</v>
      </c>
      <c r="N532" s="22">
        <v>1989</v>
      </c>
      <c r="O532" s="22"/>
      <c r="P532" s="22"/>
      <c r="Q532" s="22"/>
      <c r="R532" s="22"/>
      <c r="S532" s="22" t="s">
        <v>5632</v>
      </c>
      <c r="T532" s="31" t="s">
        <v>5638</v>
      </c>
      <c r="U532" s="31" t="s">
        <v>6614</v>
      </c>
      <c r="V532" s="22"/>
      <c r="W532" s="45" t="s">
        <v>5666</v>
      </c>
      <c r="X532" s="22"/>
    </row>
    <row r="533" spans="1:28" ht="28.5">
      <c r="A533" s="22">
        <v>532</v>
      </c>
      <c r="B533" s="22" t="s">
        <v>5621</v>
      </c>
      <c r="C533" s="22">
        <v>913</v>
      </c>
      <c r="D533" s="22" t="s">
        <v>492</v>
      </c>
      <c r="E533" s="22" t="s">
        <v>492</v>
      </c>
      <c r="F533" s="31" t="s">
        <v>5622</v>
      </c>
      <c r="G533" s="22" t="s">
        <v>756</v>
      </c>
      <c r="H533" s="22" t="s">
        <v>1227</v>
      </c>
      <c r="I533" s="22" t="s">
        <v>1848</v>
      </c>
      <c r="J533" s="22" t="s">
        <v>5623</v>
      </c>
      <c r="K533" s="33" t="s">
        <v>86</v>
      </c>
      <c r="L533" s="22" t="s">
        <v>1024</v>
      </c>
      <c r="M533" s="22">
        <v>1956</v>
      </c>
      <c r="N533" s="22">
        <v>1978</v>
      </c>
      <c r="O533" s="22"/>
      <c r="P533" s="22"/>
      <c r="Q533" s="22"/>
      <c r="R533" s="22"/>
      <c r="S533" s="22" t="s">
        <v>4870</v>
      </c>
      <c r="T533" s="22" t="s">
        <v>5629</v>
      </c>
      <c r="U533" s="31"/>
      <c r="V533" s="22"/>
      <c r="W533" s="45" t="s">
        <v>5665</v>
      </c>
      <c r="X533" s="22"/>
      <c r="Y533" s="22"/>
      <c r="Z533" s="22"/>
    </row>
    <row r="534" spans="1:28">
      <c r="A534" s="22">
        <v>533</v>
      </c>
      <c r="B534" s="22" t="s">
        <v>5624</v>
      </c>
      <c r="C534" s="22">
        <v>922</v>
      </c>
      <c r="D534" s="22" t="s">
        <v>492</v>
      </c>
      <c r="E534" s="22" t="s">
        <v>492</v>
      </c>
      <c r="F534" s="22" t="s">
        <v>5627</v>
      </c>
      <c r="G534" s="22" t="s">
        <v>756</v>
      </c>
      <c r="H534" s="22" t="s">
        <v>1227</v>
      </c>
      <c r="I534" s="22" t="s">
        <v>1666</v>
      </c>
      <c r="J534" s="22" t="s">
        <v>5625</v>
      </c>
      <c r="K534" s="33" t="s">
        <v>86</v>
      </c>
      <c r="L534" s="22" t="s">
        <v>758</v>
      </c>
      <c r="M534" s="22">
        <v>1960</v>
      </c>
      <c r="N534" s="22">
        <v>1989</v>
      </c>
      <c r="O534" s="22"/>
      <c r="P534" s="22"/>
      <c r="Q534" s="22"/>
      <c r="R534" s="22"/>
      <c r="S534" s="22" t="s">
        <v>5633</v>
      </c>
      <c r="T534" s="22" t="s">
        <v>5631</v>
      </c>
      <c r="W534" s="45" t="s">
        <v>5667</v>
      </c>
      <c r="X534" s="22"/>
      <c r="Y534" s="22"/>
      <c r="Z534" s="22"/>
    </row>
    <row r="535" spans="1:28" ht="28.5">
      <c r="A535" s="22">
        <v>534</v>
      </c>
      <c r="B535" s="22" t="s">
        <v>5626</v>
      </c>
      <c r="C535" s="22">
        <v>901</v>
      </c>
      <c r="D535" s="22" t="s">
        <v>492</v>
      </c>
      <c r="E535" s="22" t="s">
        <v>492</v>
      </c>
      <c r="F535" s="31" t="s">
        <v>5628</v>
      </c>
      <c r="G535" s="22" t="s">
        <v>756</v>
      </c>
      <c r="H535" s="22" t="s">
        <v>1227</v>
      </c>
      <c r="I535" s="22" t="s">
        <v>1340</v>
      </c>
      <c r="J535" s="22" t="s">
        <v>5623</v>
      </c>
      <c r="K535" s="33" t="s">
        <v>86</v>
      </c>
      <c r="L535" s="22" t="s">
        <v>782</v>
      </c>
      <c r="M535" s="22">
        <v>1955</v>
      </c>
      <c r="N535" s="22">
        <v>1981</v>
      </c>
      <c r="O535" s="22"/>
      <c r="P535" s="22"/>
      <c r="Q535" s="22"/>
      <c r="R535" s="22"/>
      <c r="S535" s="22" t="s">
        <v>5634</v>
      </c>
      <c r="T535" s="22" t="s">
        <v>4903</v>
      </c>
      <c r="W535" s="45" t="s">
        <v>5665</v>
      </c>
      <c r="X535" s="22"/>
      <c r="Y535" s="22"/>
      <c r="Z535" s="22"/>
    </row>
    <row r="536" spans="1:28" ht="28.5">
      <c r="A536" s="22">
        <v>535</v>
      </c>
      <c r="B536" s="22" t="s">
        <v>5740</v>
      </c>
      <c r="C536" s="22"/>
      <c r="D536" s="22" t="s">
        <v>492</v>
      </c>
      <c r="E536" s="22" t="s">
        <v>492</v>
      </c>
      <c r="F536" s="31" t="s">
        <v>5635</v>
      </c>
      <c r="G536" s="22" t="s">
        <v>755</v>
      </c>
      <c r="H536" s="22" t="s">
        <v>5618</v>
      </c>
      <c r="I536" s="22" t="s">
        <v>1003</v>
      </c>
      <c r="J536" s="22" t="s">
        <v>5636</v>
      </c>
      <c r="K536" s="33" t="s">
        <v>2665</v>
      </c>
      <c r="L536" s="22" t="s">
        <v>782</v>
      </c>
      <c r="M536" s="22">
        <v>1932</v>
      </c>
      <c r="N536" s="22">
        <v>1968</v>
      </c>
      <c r="O536" s="22"/>
      <c r="P536" s="22"/>
      <c r="Q536" s="22"/>
      <c r="R536" s="22"/>
      <c r="S536" s="22" t="s">
        <v>5739</v>
      </c>
      <c r="T536" s="22"/>
      <c r="U536" s="31"/>
      <c r="V536" s="22" t="s">
        <v>6612</v>
      </c>
      <c r="W536" s="45" t="s">
        <v>5668</v>
      </c>
      <c r="X536" s="22"/>
      <c r="Y536" s="22"/>
      <c r="Z536" s="22"/>
    </row>
    <row r="537" spans="1:28" ht="28.5">
      <c r="A537" s="22">
        <v>536</v>
      </c>
      <c r="B537" s="22" t="s">
        <v>5639</v>
      </c>
      <c r="C537" s="22"/>
      <c r="D537" s="22" t="s">
        <v>492</v>
      </c>
      <c r="E537" s="22" t="s">
        <v>492</v>
      </c>
      <c r="F537" s="31" t="s">
        <v>5640</v>
      </c>
      <c r="G537" s="22" t="s">
        <v>755</v>
      </c>
      <c r="H537" s="22" t="s">
        <v>5618</v>
      </c>
      <c r="I537" s="22" t="s">
        <v>1848</v>
      </c>
      <c r="J537" s="22" t="s">
        <v>5641</v>
      </c>
      <c r="K537" s="33" t="s">
        <v>2665</v>
      </c>
      <c r="L537" s="22" t="s">
        <v>1024</v>
      </c>
      <c r="M537" s="22">
        <v>1952</v>
      </c>
      <c r="N537" s="22">
        <v>1968</v>
      </c>
      <c r="O537" s="22"/>
      <c r="P537" s="22"/>
      <c r="Q537" s="22"/>
      <c r="R537" s="22"/>
      <c r="S537" s="22"/>
      <c r="T537" s="22" t="s">
        <v>5642</v>
      </c>
      <c r="U537" s="31"/>
      <c r="W537" s="45" t="s">
        <v>5668</v>
      </c>
      <c r="X537" s="22"/>
      <c r="Y537" s="22"/>
      <c r="Z537" s="22"/>
    </row>
    <row r="538" spans="1:28" ht="28.5">
      <c r="A538" s="22">
        <v>537</v>
      </c>
      <c r="B538" s="38" t="s">
        <v>5644</v>
      </c>
      <c r="C538" s="22"/>
      <c r="D538" s="22" t="s">
        <v>492</v>
      </c>
      <c r="E538" s="22" t="s">
        <v>492</v>
      </c>
      <c r="F538" s="31" t="s">
        <v>5680</v>
      </c>
      <c r="G538" s="22" t="s">
        <v>755</v>
      </c>
      <c r="H538" s="31" t="s">
        <v>5645</v>
      </c>
      <c r="I538" s="22" t="s">
        <v>1666</v>
      </c>
      <c r="J538" s="22" t="s">
        <v>5646</v>
      </c>
      <c r="K538" s="33" t="s">
        <v>2665</v>
      </c>
      <c r="L538" s="22" t="s">
        <v>782</v>
      </c>
      <c r="M538" s="22">
        <v>1960</v>
      </c>
      <c r="N538" s="22">
        <v>1969</v>
      </c>
      <c r="O538" s="22"/>
      <c r="P538" s="22"/>
      <c r="Q538" s="22"/>
      <c r="R538" s="22"/>
      <c r="S538" s="22" t="s">
        <v>5507</v>
      </c>
      <c r="T538" s="22"/>
      <c r="U538" s="31" t="s">
        <v>5643</v>
      </c>
      <c r="W538" s="45" t="s">
        <v>5669</v>
      </c>
      <c r="X538" s="45" t="s">
        <v>5670</v>
      </c>
      <c r="Y538" s="22"/>
      <c r="Z538" s="22"/>
    </row>
    <row r="539" spans="1:28">
      <c r="A539" s="22">
        <v>538</v>
      </c>
      <c r="B539" s="38" t="s">
        <v>5647</v>
      </c>
      <c r="C539" s="22"/>
      <c r="D539" s="22" t="s">
        <v>492</v>
      </c>
      <c r="E539" s="22" t="s">
        <v>492</v>
      </c>
      <c r="F539" s="22" t="s">
        <v>5648</v>
      </c>
      <c r="G539" s="22" t="s">
        <v>756</v>
      </c>
      <c r="H539" s="22" t="s">
        <v>5683</v>
      </c>
      <c r="I539" s="22" t="s">
        <v>1666</v>
      </c>
      <c r="J539" s="22" t="s">
        <v>5649</v>
      </c>
      <c r="K539" s="33" t="s">
        <v>2665</v>
      </c>
      <c r="L539" s="22" t="s">
        <v>758</v>
      </c>
      <c r="M539" s="22">
        <v>1960</v>
      </c>
      <c r="N539" s="22">
        <v>1969</v>
      </c>
      <c r="O539" s="22"/>
      <c r="P539" s="22"/>
      <c r="Q539" s="22"/>
      <c r="R539" s="22"/>
      <c r="S539" s="22"/>
      <c r="T539" s="22"/>
      <c r="U539" s="31"/>
      <c r="W539" s="45" t="s">
        <v>5671</v>
      </c>
      <c r="X539" s="45" t="s">
        <v>5670</v>
      </c>
      <c r="Y539" s="22"/>
      <c r="Z539" s="22"/>
    </row>
    <row r="540" spans="1:28">
      <c r="A540" s="22">
        <v>539</v>
      </c>
      <c r="B540" s="38" t="s">
        <v>5652</v>
      </c>
      <c r="C540" s="22"/>
      <c r="D540" s="22" t="s">
        <v>492</v>
      </c>
      <c r="E540" s="22" t="s">
        <v>492</v>
      </c>
      <c r="F540" s="31" t="s">
        <v>5651</v>
      </c>
      <c r="G540" s="22" t="s">
        <v>755</v>
      </c>
      <c r="H540" s="22" t="s">
        <v>5650</v>
      </c>
      <c r="I540" s="22" t="s">
        <v>1666</v>
      </c>
      <c r="J540" s="22" t="s">
        <v>5653</v>
      </c>
      <c r="K540" s="33" t="s">
        <v>2665</v>
      </c>
      <c r="L540" s="22" t="s">
        <v>758</v>
      </c>
      <c r="M540" s="22">
        <v>1965</v>
      </c>
      <c r="N540" s="22">
        <v>1970</v>
      </c>
      <c r="O540" s="22"/>
      <c r="P540" s="22"/>
      <c r="Q540" s="22"/>
      <c r="R540" s="22"/>
      <c r="S540" s="22" t="s">
        <v>5612</v>
      </c>
      <c r="T540" s="22"/>
      <c r="U540" s="31" t="s">
        <v>5851</v>
      </c>
      <c r="W540" s="45" t="s">
        <v>5672</v>
      </c>
      <c r="X540" s="45" t="s">
        <v>5674</v>
      </c>
      <c r="Y540" s="45" t="s">
        <v>5670</v>
      </c>
      <c r="Z540" s="22"/>
    </row>
    <row r="541" spans="1:28" ht="42.75">
      <c r="A541" s="22">
        <v>540</v>
      </c>
      <c r="B541" s="22" t="s">
        <v>5654</v>
      </c>
      <c r="C541" s="22">
        <v>697</v>
      </c>
      <c r="D541" s="22" t="s">
        <v>492</v>
      </c>
      <c r="E541" s="22" t="s">
        <v>511</v>
      </c>
      <c r="F541" s="31" t="s">
        <v>5679</v>
      </c>
      <c r="G541" s="22" t="s">
        <v>755</v>
      </c>
      <c r="H541" s="31" t="s">
        <v>5684</v>
      </c>
      <c r="I541" s="31" t="s">
        <v>5485</v>
      </c>
      <c r="J541" s="22" t="s">
        <v>5655</v>
      </c>
      <c r="K541" s="33" t="s">
        <v>2484</v>
      </c>
      <c r="L541" s="22" t="s">
        <v>782</v>
      </c>
      <c r="M541" s="22">
        <v>1965</v>
      </c>
      <c r="N541" s="22">
        <v>1975</v>
      </c>
      <c r="O541" s="22"/>
      <c r="P541" s="22"/>
      <c r="Q541" s="22"/>
      <c r="R541" s="22"/>
      <c r="S541" s="31" t="s">
        <v>5656</v>
      </c>
      <c r="T541" s="22"/>
      <c r="U541" s="31"/>
      <c r="V541" s="22"/>
      <c r="W541" s="45" t="s">
        <v>5673</v>
      </c>
      <c r="X541" s="42" t="s">
        <v>5677</v>
      </c>
      <c r="Y541" s="22"/>
      <c r="Z541" s="22"/>
      <c r="AA541" s="22"/>
      <c r="AB541" s="22"/>
    </row>
    <row r="542" spans="1:28" ht="42.75">
      <c r="A542" s="22">
        <v>541</v>
      </c>
      <c r="B542" s="22" t="s">
        <v>5660</v>
      </c>
      <c r="C542" s="22"/>
      <c r="D542" s="22" t="s">
        <v>492</v>
      </c>
      <c r="E542" s="22" t="s">
        <v>511</v>
      </c>
      <c r="F542" s="22" t="s">
        <v>5662</v>
      </c>
      <c r="G542" s="22" t="s">
        <v>755</v>
      </c>
      <c r="H542" s="31" t="s">
        <v>5661</v>
      </c>
      <c r="I542" s="22" t="s">
        <v>1003</v>
      </c>
      <c r="J542" s="22" t="s">
        <v>5663</v>
      </c>
      <c r="K542" s="33" t="s">
        <v>5658</v>
      </c>
      <c r="L542" s="22" t="s">
        <v>785</v>
      </c>
      <c r="M542" s="22">
        <v>1960</v>
      </c>
      <c r="N542" s="22">
        <v>1965</v>
      </c>
      <c r="O542" s="22"/>
      <c r="P542" s="22"/>
      <c r="Q542" s="22"/>
      <c r="R542" s="22"/>
      <c r="S542" s="22"/>
      <c r="T542" s="22"/>
      <c r="U542" s="31"/>
      <c r="V542" s="31" t="s">
        <v>6608</v>
      </c>
      <c r="W542" s="45" t="s">
        <v>5675</v>
      </c>
      <c r="X542" s="80" t="s">
        <v>5678</v>
      </c>
      <c r="Y542" s="45" t="s">
        <v>5676</v>
      </c>
      <c r="Z542" s="22"/>
      <c r="AA542" s="22"/>
      <c r="AB542" s="22"/>
    </row>
    <row r="543" spans="1:28" ht="28.5">
      <c r="A543" s="22">
        <v>542</v>
      </c>
      <c r="B543" s="22" t="s">
        <v>5688</v>
      </c>
      <c r="C543" s="22"/>
      <c r="D543" s="22" t="s">
        <v>492</v>
      </c>
      <c r="E543" s="22" t="s">
        <v>492</v>
      </c>
      <c r="F543" s="31" t="s">
        <v>5686</v>
      </c>
      <c r="G543" s="22" t="s">
        <v>1089</v>
      </c>
      <c r="H543" s="31" t="s">
        <v>5687</v>
      </c>
      <c r="I543" s="22" t="s">
        <v>1003</v>
      </c>
      <c r="J543" s="22" t="s">
        <v>5685</v>
      </c>
      <c r="K543" s="33" t="s">
        <v>5409</v>
      </c>
      <c r="L543" s="22" t="s">
        <v>782</v>
      </c>
      <c r="M543" s="22">
        <v>1935</v>
      </c>
      <c r="N543" s="22">
        <v>1945</v>
      </c>
      <c r="O543" s="22"/>
      <c r="P543" s="22">
        <v>0.25</v>
      </c>
      <c r="Q543" s="22"/>
      <c r="R543" s="22"/>
      <c r="S543" s="22" t="s">
        <v>5689</v>
      </c>
      <c r="T543" s="22"/>
      <c r="U543" s="31"/>
      <c r="V543" s="22" t="s">
        <v>6611</v>
      </c>
      <c r="W543" s="45" t="s">
        <v>5728</v>
      </c>
      <c r="X543" s="22"/>
      <c r="Y543" s="22"/>
    </row>
    <row r="544" spans="1:28" ht="28.5">
      <c r="A544" s="22">
        <v>543</v>
      </c>
      <c r="B544" s="22" t="s">
        <v>5690</v>
      </c>
      <c r="C544" s="22"/>
      <c r="D544" s="22" t="s">
        <v>492</v>
      </c>
      <c r="E544" s="22" t="s">
        <v>492</v>
      </c>
      <c r="F544" s="31" t="s">
        <v>5691</v>
      </c>
      <c r="G544" s="22" t="s">
        <v>755</v>
      </c>
      <c r="H544" s="22" t="s">
        <v>5618</v>
      </c>
      <c r="I544" s="22" t="s">
        <v>1003</v>
      </c>
      <c r="J544" s="22" t="s">
        <v>5692</v>
      </c>
      <c r="K544" s="33" t="s">
        <v>5492</v>
      </c>
      <c r="L544" s="22" t="s">
        <v>758</v>
      </c>
      <c r="M544" s="22">
        <v>1955</v>
      </c>
      <c r="N544" s="22">
        <v>1965</v>
      </c>
      <c r="O544" s="22"/>
      <c r="P544" s="22"/>
      <c r="Q544" s="22"/>
      <c r="R544" s="22"/>
      <c r="S544" s="22" t="s">
        <v>5693</v>
      </c>
      <c r="T544" s="22"/>
      <c r="U544" s="31"/>
      <c r="V544" s="22"/>
      <c r="W544" s="45" t="s">
        <v>5668</v>
      </c>
      <c r="X544" s="22"/>
      <c r="Y544" s="22"/>
    </row>
    <row r="545" spans="1:26" ht="42.75">
      <c r="A545" s="22">
        <v>544</v>
      </c>
      <c r="B545" s="38" t="s">
        <v>5702</v>
      </c>
      <c r="C545" s="22"/>
      <c r="D545" s="22" t="s">
        <v>492</v>
      </c>
      <c r="E545" s="22" t="s">
        <v>492</v>
      </c>
      <c r="F545" s="31" t="s">
        <v>5694</v>
      </c>
      <c r="G545" s="22" t="s">
        <v>755</v>
      </c>
      <c r="H545" s="31" t="s">
        <v>5738</v>
      </c>
      <c r="I545" s="22" t="s">
        <v>1848</v>
      </c>
      <c r="J545" s="22" t="s">
        <v>5696</v>
      </c>
      <c r="K545" s="33" t="s">
        <v>1225</v>
      </c>
      <c r="L545" s="22" t="s">
        <v>785</v>
      </c>
      <c r="M545" s="22">
        <v>1970</v>
      </c>
      <c r="N545" s="22">
        <v>1975</v>
      </c>
      <c r="O545" s="22"/>
      <c r="P545" s="22"/>
      <c r="Q545" s="22"/>
      <c r="R545" s="22"/>
      <c r="S545" s="22" t="s">
        <v>5695</v>
      </c>
      <c r="T545" s="22"/>
      <c r="U545" s="31"/>
      <c r="V545" s="22"/>
      <c r="W545" s="45" t="s">
        <v>5729</v>
      </c>
      <c r="X545" s="22"/>
      <c r="Y545" s="22"/>
    </row>
    <row r="546" spans="1:26" ht="28.5">
      <c r="A546" s="22">
        <v>545</v>
      </c>
      <c r="B546" s="38" t="s">
        <v>5702</v>
      </c>
      <c r="C546" s="22"/>
      <c r="D546" s="22" t="s">
        <v>492</v>
      </c>
      <c r="E546" s="22" t="s">
        <v>492</v>
      </c>
      <c r="F546" s="31" t="s">
        <v>5697</v>
      </c>
      <c r="G546" s="22" t="s">
        <v>756</v>
      </c>
      <c r="H546" s="22" t="s">
        <v>1227</v>
      </c>
      <c r="I546" s="22" t="s">
        <v>1003</v>
      </c>
      <c r="J546" s="22" t="s">
        <v>5701</v>
      </c>
      <c r="K546" s="33" t="s">
        <v>5698</v>
      </c>
      <c r="L546" s="22" t="s">
        <v>782</v>
      </c>
      <c r="M546" s="22">
        <v>1970</v>
      </c>
      <c r="N546" s="22">
        <v>1975</v>
      </c>
      <c r="O546" s="22"/>
      <c r="P546" s="22"/>
      <c r="Q546" s="22"/>
      <c r="R546" s="22"/>
      <c r="S546" s="22" t="s">
        <v>5695</v>
      </c>
      <c r="T546" s="22"/>
      <c r="U546" s="31"/>
      <c r="V546" s="22"/>
      <c r="W546" s="45" t="s">
        <v>5729</v>
      </c>
      <c r="X546" s="22"/>
      <c r="Y546" s="22"/>
    </row>
    <row r="547" spans="1:26">
      <c r="A547" s="22">
        <v>546</v>
      </c>
      <c r="B547" s="22" t="s">
        <v>5706</v>
      </c>
      <c r="C547" s="22"/>
      <c r="D547" s="22" t="s">
        <v>492</v>
      </c>
      <c r="E547" s="22" t="s">
        <v>492</v>
      </c>
      <c r="F547" s="31" t="s">
        <v>5703</v>
      </c>
      <c r="G547" s="22" t="s">
        <v>755</v>
      </c>
      <c r="H547" s="31" t="s">
        <v>5704</v>
      </c>
      <c r="I547" s="22" t="s">
        <v>1340</v>
      </c>
      <c r="J547" s="22" t="s">
        <v>5705</v>
      </c>
      <c r="K547" s="33" t="s">
        <v>5707</v>
      </c>
      <c r="L547" s="22" t="s">
        <v>785</v>
      </c>
      <c r="M547" s="22">
        <v>1960</v>
      </c>
      <c r="N547" s="22">
        <v>1965</v>
      </c>
      <c r="O547" s="22"/>
      <c r="P547" s="22"/>
      <c r="Q547" s="22"/>
      <c r="R547" s="22"/>
      <c r="S547" s="22" t="s">
        <v>5693</v>
      </c>
      <c r="T547" s="22"/>
      <c r="U547" s="31"/>
      <c r="V547" s="22"/>
      <c r="W547" s="45" t="s">
        <v>5730</v>
      </c>
      <c r="X547" s="45" t="s">
        <v>5731</v>
      </c>
      <c r="Y547" s="22"/>
    </row>
    <row r="548" spans="1:26" ht="42.75">
      <c r="A548" s="22">
        <v>547</v>
      </c>
      <c r="B548" s="38" t="s">
        <v>5709</v>
      </c>
      <c r="C548" s="22"/>
      <c r="D548" s="22" t="s">
        <v>492</v>
      </c>
      <c r="E548" s="22" t="s">
        <v>492</v>
      </c>
      <c r="F548" s="31" t="s">
        <v>5711</v>
      </c>
      <c r="G548" s="22" t="s">
        <v>755</v>
      </c>
      <c r="H548" s="31" t="s">
        <v>5710</v>
      </c>
      <c r="I548" s="22" t="s">
        <v>1003</v>
      </c>
      <c r="J548" s="22" t="s">
        <v>5713</v>
      </c>
      <c r="K548" s="33" t="s">
        <v>5712</v>
      </c>
      <c r="L548" s="22" t="s">
        <v>785</v>
      </c>
      <c r="M548" s="22">
        <v>1960</v>
      </c>
      <c r="N548" s="22">
        <v>1965</v>
      </c>
      <c r="O548" s="22"/>
      <c r="P548" s="22"/>
      <c r="Q548" s="22"/>
      <c r="R548" s="22"/>
      <c r="S548" s="22" t="s">
        <v>5693</v>
      </c>
      <c r="T548" s="22"/>
      <c r="U548" s="31" t="s">
        <v>6606</v>
      </c>
      <c r="V548" s="22"/>
      <c r="W548" s="45" t="s">
        <v>5732</v>
      </c>
      <c r="X548" s="22"/>
      <c r="Y548" s="22"/>
    </row>
    <row r="549" spans="1:26" ht="28.5">
      <c r="A549" s="22">
        <v>548</v>
      </c>
      <c r="B549" s="22" t="s">
        <v>4630</v>
      </c>
      <c r="C549" s="22"/>
      <c r="D549" s="22" t="s">
        <v>492</v>
      </c>
      <c r="E549" s="22" t="s">
        <v>492</v>
      </c>
      <c r="F549" s="31" t="s">
        <v>5716</v>
      </c>
      <c r="G549" s="22" t="s">
        <v>755</v>
      </c>
      <c r="H549" s="31" t="s">
        <v>5715</v>
      </c>
      <c r="I549" s="31" t="s">
        <v>5717</v>
      </c>
      <c r="J549" s="22" t="s">
        <v>5718</v>
      </c>
      <c r="K549" s="33" t="s">
        <v>174</v>
      </c>
      <c r="L549" s="22" t="s">
        <v>1024</v>
      </c>
      <c r="M549" s="22">
        <v>1965</v>
      </c>
      <c r="N549" s="22">
        <v>1969</v>
      </c>
      <c r="O549" s="22"/>
      <c r="P549" s="22"/>
      <c r="Q549" s="22"/>
      <c r="R549" s="22"/>
      <c r="S549" s="31" t="s">
        <v>5714</v>
      </c>
      <c r="T549" s="22" t="s">
        <v>5719</v>
      </c>
      <c r="U549" s="31" t="s">
        <v>6610</v>
      </c>
      <c r="V549" s="22"/>
      <c r="W549" s="45" t="s">
        <v>5733</v>
      </c>
      <c r="X549" s="22"/>
      <c r="Y549" s="22"/>
    </row>
    <row r="550" spans="1:26">
      <c r="A550" s="22">
        <v>549</v>
      </c>
      <c r="B550" s="22" t="s">
        <v>5706</v>
      </c>
      <c r="C550" s="22" t="s">
        <v>5720</v>
      </c>
      <c r="D550" s="22" t="s">
        <v>492</v>
      </c>
      <c r="E550" s="22" t="s">
        <v>492</v>
      </c>
      <c r="F550" s="22" t="s">
        <v>5721</v>
      </c>
      <c r="G550" s="22" t="s">
        <v>755</v>
      </c>
      <c r="H550" s="22" t="s">
        <v>5722</v>
      </c>
      <c r="I550" s="22" t="s">
        <v>1003</v>
      </c>
      <c r="J550" s="22" t="s">
        <v>5723</v>
      </c>
      <c r="K550" s="33" t="s">
        <v>1042</v>
      </c>
      <c r="L550" s="22" t="s">
        <v>785</v>
      </c>
      <c r="M550" s="22">
        <v>1931</v>
      </c>
      <c r="N550" s="22">
        <v>1940</v>
      </c>
      <c r="O550" s="22"/>
      <c r="P550" s="22"/>
      <c r="Q550" s="22"/>
      <c r="R550" s="22"/>
      <c r="S550" s="22" t="s">
        <v>5724</v>
      </c>
      <c r="T550" s="22"/>
      <c r="U550" s="31"/>
      <c r="V550" s="22" t="s">
        <v>6609</v>
      </c>
      <c r="W550" s="45" t="s">
        <v>5734</v>
      </c>
      <c r="X550" s="22"/>
      <c r="Y550" s="22"/>
    </row>
    <row r="551" spans="1:26" ht="28.5">
      <c r="A551" s="22">
        <v>550</v>
      </c>
      <c r="B551" s="22" t="s">
        <v>5725</v>
      </c>
      <c r="C551" s="22"/>
      <c r="D551" s="22" t="s">
        <v>492</v>
      </c>
      <c r="E551" s="22" t="s">
        <v>492</v>
      </c>
      <c r="F551" s="31" t="s">
        <v>5726</v>
      </c>
      <c r="G551" s="22" t="s">
        <v>1089</v>
      </c>
      <c r="H551" s="31" t="s">
        <v>5737</v>
      </c>
      <c r="I551" s="22" t="s">
        <v>1003</v>
      </c>
      <c r="J551" s="22" t="s">
        <v>5727</v>
      </c>
      <c r="K551" s="33"/>
      <c r="L551" s="22" t="s">
        <v>758</v>
      </c>
      <c r="M551" s="22">
        <v>1990</v>
      </c>
      <c r="N551" s="22">
        <v>1990</v>
      </c>
      <c r="O551" s="22"/>
      <c r="P551" s="22"/>
      <c r="Q551" s="22"/>
      <c r="R551" s="22"/>
      <c r="S551" s="22" t="s">
        <v>5736</v>
      </c>
      <c r="T551" s="22" t="s">
        <v>4875</v>
      </c>
      <c r="U551" s="31" t="s">
        <v>6605</v>
      </c>
      <c r="V551" s="22"/>
      <c r="W551" s="45" t="s">
        <v>5735</v>
      </c>
      <c r="X551" s="22"/>
      <c r="Y551" s="22"/>
    </row>
    <row r="552" spans="1:26" ht="71.25">
      <c r="A552" s="22">
        <v>551</v>
      </c>
      <c r="B552" s="22" t="s">
        <v>5741</v>
      </c>
      <c r="C552" s="22"/>
      <c r="D552" s="22" t="s">
        <v>504</v>
      </c>
      <c r="E552" s="22" t="s">
        <v>504</v>
      </c>
      <c r="F552" s="31" t="s">
        <v>5742</v>
      </c>
      <c r="G552" s="22" t="s">
        <v>757</v>
      </c>
      <c r="H552" s="31" t="s">
        <v>5743</v>
      </c>
      <c r="I552" s="22" t="s">
        <v>1666</v>
      </c>
      <c r="J552" s="22" t="s">
        <v>5774</v>
      </c>
      <c r="K552" s="33" t="s">
        <v>268</v>
      </c>
      <c r="L552" s="22" t="s">
        <v>782</v>
      </c>
      <c r="M552" s="22">
        <v>1982</v>
      </c>
      <c r="N552" s="22">
        <v>1985</v>
      </c>
      <c r="O552" s="22"/>
      <c r="P552" s="22"/>
      <c r="Q552" s="22"/>
      <c r="R552" s="22"/>
      <c r="S552" s="22" t="s">
        <v>5744</v>
      </c>
      <c r="T552" s="22"/>
      <c r="U552" s="31" t="s">
        <v>6604</v>
      </c>
      <c r="V552" s="22" t="s">
        <v>6607</v>
      </c>
      <c r="W552" s="45" t="s">
        <v>5765</v>
      </c>
      <c r="X552" s="22"/>
      <c r="Y552" s="22"/>
    </row>
    <row r="553" spans="1:26" ht="28.5">
      <c r="A553" s="22">
        <v>552</v>
      </c>
      <c r="B553" s="22" t="s">
        <v>5745</v>
      </c>
      <c r="C553" s="22"/>
      <c r="D553" s="22" t="s">
        <v>504</v>
      </c>
      <c r="E553" s="22" t="s">
        <v>504</v>
      </c>
      <c r="F553" s="31" t="s">
        <v>5746</v>
      </c>
      <c r="G553" s="22" t="s">
        <v>1089</v>
      </c>
      <c r="H553" s="31" t="s">
        <v>5747</v>
      </c>
      <c r="I553" s="22" t="s">
        <v>1666</v>
      </c>
      <c r="J553" s="22" t="s">
        <v>5775</v>
      </c>
      <c r="K553" s="33" t="s">
        <v>5748</v>
      </c>
      <c r="L553" s="22" t="s">
        <v>785</v>
      </c>
      <c r="M553" s="22">
        <v>1975</v>
      </c>
      <c r="N553" s="22">
        <v>1980</v>
      </c>
      <c r="O553" s="22"/>
      <c r="P553" s="22"/>
      <c r="Q553" s="22"/>
      <c r="R553" s="22"/>
      <c r="S553" s="22" t="s">
        <v>5750</v>
      </c>
      <c r="T553" s="22"/>
      <c r="U553" s="31"/>
      <c r="V553" s="22"/>
      <c r="W553" s="45" t="s">
        <v>5766</v>
      </c>
      <c r="X553" s="22"/>
      <c r="Y553" s="22"/>
    </row>
    <row r="554" spans="1:26" ht="28.5">
      <c r="A554" s="22">
        <v>553</v>
      </c>
      <c r="B554" s="38" t="s">
        <v>5753</v>
      </c>
      <c r="C554" s="22">
        <v>351</v>
      </c>
      <c r="D554" s="22" t="s">
        <v>492</v>
      </c>
      <c r="E554" s="22" t="s">
        <v>492</v>
      </c>
      <c r="F554" s="31" t="s">
        <v>5751</v>
      </c>
      <c r="G554" s="22" t="s">
        <v>755</v>
      </c>
      <c r="H554" s="31" t="s">
        <v>5752</v>
      </c>
      <c r="I554" s="22" t="s">
        <v>1666</v>
      </c>
      <c r="J554" s="22" t="s">
        <v>5776</v>
      </c>
      <c r="K554" s="33" t="s">
        <v>5755</v>
      </c>
      <c r="L554" s="22" t="s">
        <v>782</v>
      </c>
      <c r="M554" s="22">
        <v>1975</v>
      </c>
      <c r="N554" s="22">
        <v>1979</v>
      </c>
      <c r="O554" s="22"/>
      <c r="P554" s="22"/>
      <c r="Q554" s="22"/>
      <c r="R554" s="22"/>
      <c r="S554" s="22" t="s">
        <v>5756</v>
      </c>
      <c r="T554" s="22"/>
      <c r="U554" s="31"/>
      <c r="V554" s="22"/>
      <c r="W554" s="45" t="s">
        <v>5767</v>
      </c>
    </row>
    <row r="555" spans="1:26" ht="42.75">
      <c r="A555" s="22">
        <v>554</v>
      </c>
      <c r="B555" s="22" t="s">
        <v>5757</v>
      </c>
      <c r="C555" s="22"/>
      <c r="D555" s="22" t="s">
        <v>492</v>
      </c>
      <c r="E555" s="22" t="s">
        <v>492</v>
      </c>
      <c r="F555" s="31" t="s">
        <v>5759</v>
      </c>
      <c r="G555" s="22" t="s">
        <v>755</v>
      </c>
      <c r="H555" s="31" t="s">
        <v>5760</v>
      </c>
      <c r="I555" s="31" t="s">
        <v>5761</v>
      </c>
      <c r="J555" s="22" t="s">
        <v>904</v>
      </c>
      <c r="K555" s="33"/>
      <c r="L555" s="22" t="s">
        <v>785</v>
      </c>
      <c r="M555" s="22">
        <v>1965</v>
      </c>
      <c r="N555" s="22">
        <v>1969</v>
      </c>
      <c r="O555" s="22"/>
      <c r="P555" s="22"/>
      <c r="Q555" s="22"/>
      <c r="R555" s="22"/>
      <c r="S555" s="22" t="s">
        <v>5763</v>
      </c>
      <c r="T555" s="22"/>
      <c r="U555" s="31" t="s">
        <v>6603</v>
      </c>
      <c r="V555" s="22" t="s">
        <v>1139</v>
      </c>
      <c r="W555" s="45" t="s">
        <v>5768</v>
      </c>
      <c r="X555" s="45" t="s">
        <v>5769</v>
      </c>
      <c r="Y555" s="45" t="s">
        <v>5770</v>
      </c>
      <c r="Z555" s="22"/>
    </row>
    <row r="556" spans="1:26" ht="42.75">
      <c r="A556" s="22">
        <v>555</v>
      </c>
      <c r="B556" s="22" t="s">
        <v>5764</v>
      </c>
      <c r="C556" s="22"/>
      <c r="D556" s="22" t="s">
        <v>492</v>
      </c>
      <c r="E556" s="22" t="s">
        <v>492</v>
      </c>
      <c r="F556" s="31" t="s">
        <v>5758</v>
      </c>
      <c r="G556" s="22" t="s">
        <v>755</v>
      </c>
      <c r="H556" s="31" t="s">
        <v>5762</v>
      </c>
      <c r="I556" s="31" t="s">
        <v>5761</v>
      </c>
      <c r="J556" s="22" t="s">
        <v>904</v>
      </c>
      <c r="K556" s="33"/>
      <c r="L556" s="22" t="s">
        <v>785</v>
      </c>
      <c r="M556" s="22">
        <v>1965</v>
      </c>
      <c r="N556" s="22">
        <v>1969</v>
      </c>
      <c r="O556" s="22"/>
      <c r="P556" s="22"/>
      <c r="Q556" s="22"/>
      <c r="R556" s="22"/>
      <c r="S556" s="22" t="s">
        <v>5763</v>
      </c>
      <c r="T556" s="22"/>
      <c r="U556" s="31" t="s">
        <v>6602</v>
      </c>
      <c r="V556" s="22" t="s">
        <v>1139</v>
      </c>
      <c r="W556" s="45" t="s">
        <v>5771</v>
      </c>
      <c r="X556" s="45" t="s">
        <v>5772</v>
      </c>
      <c r="Y556" s="45" t="s">
        <v>5773</v>
      </c>
      <c r="Z556" s="22"/>
    </row>
    <row r="557" spans="1:26" ht="42.75">
      <c r="A557" s="22">
        <v>556</v>
      </c>
      <c r="B557" s="22" t="s">
        <v>5778</v>
      </c>
      <c r="C557" s="22">
        <v>990</v>
      </c>
      <c r="D557" s="22" t="s">
        <v>492</v>
      </c>
      <c r="E557" s="22" t="s">
        <v>492</v>
      </c>
      <c r="F557" s="22" t="s">
        <v>5779</v>
      </c>
      <c r="G557" s="22" t="s">
        <v>755</v>
      </c>
      <c r="H557" s="22" t="s">
        <v>5786</v>
      </c>
      <c r="I557" s="22" t="s">
        <v>5780</v>
      </c>
      <c r="J557" s="22" t="s">
        <v>5781</v>
      </c>
      <c r="K557" s="33" t="s">
        <v>99</v>
      </c>
      <c r="L557" s="22" t="s">
        <v>1190</v>
      </c>
      <c r="M557" s="22">
        <v>1950</v>
      </c>
      <c r="N557" s="22">
        <v>1959</v>
      </c>
      <c r="O557" s="22"/>
      <c r="P557" s="22"/>
      <c r="Q557" s="22"/>
      <c r="R557" s="31" t="s">
        <v>5777</v>
      </c>
      <c r="S557" s="22" t="s">
        <v>5784</v>
      </c>
      <c r="T557" s="22" t="s">
        <v>5783</v>
      </c>
      <c r="U557" s="31"/>
      <c r="V557" s="31" t="s">
        <v>5782</v>
      </c>
      <c r="W557" s="45" t="s">
        <v>5791</v>
      </c>
      <c r="X557" s="22"/>
    </row>
    <row r="558" spans="1:26" ht="57">
      <c r="A558" s="22">
        <v>557</v>
      </c>
      <c r="B558" s="22" t="s">
        <v>5788</v>
      </c>
      <c r="C558" s="22"/>
      <c r="D558" s="22" t="s">
        <v>492</v>
      </c>
      <c r="E558" s="22" t="s">
        <v>492</v>
      </c>
      <c r="F558" s="31" t="s">
        <v>5785</v>
      </c>
      <c r="G558" s="22" t="s">
        <v>757</v>
      </c>
      <c r="H558" s="31" t="s">
        <v>5969</v>
      </c>
      <c r="I558" s="22" t="s">
        <v>1848</v>
      </c>
      <c r="J558" s="22" t="s">
        <v>5790</v>
      </c>
      <c r="K558" s="33" t="s">
        <v>91</v>
      </c>
      <c r="L558" s="22" t="s">
        <v>1190</v>
      </c>
      <c r="M558" s="22">
        <v>1960</v>
      </c>
      <c r="N558" s="22">
        <v>1965</v>
      </c>
      <c r="O558" s="22"/>
      <c r="P558" s="22"/>
      <c r="Q558" s="22"/>
      <c r="R558" s="22"/>
      <c r="S558" s="22" t="s">
        <v>4899</v>
      </c>
      <c r="T558" s="31" t="s">
        <v>5789</v>
      </c>
      <c r="U558" s="31" t="s">
        <v>6601</v>
      </c>
      <c r="V558" s="31" t="s">
        <v>5787</v>
      </c>
      <c r="W558" s="45" t="s">
        <v>5792</v>
      </c>
      <c r="X558" s="22"/>
    </row>
    <row r="559" spans="1:26" ht="71.25">
      <c r="A559" s="22">
        <v>558</v>
      </c>
      <c r="B559" s="22" t="s">
        <v>5793</v>
      </c>
      <c r="C559" s="22"/>
      <c r="D559" s="22" t="s">
        <v>496</v>
      </c>
      <c r="E559" s="22" t="s">
        <v>514</v>
      </c>
      <c r="F559" s="31" t="s">
        <v>5794</v>
      </c>
      <c r="G559" s="22" t="s">
        <v>757</v>
      </c>
      <c r="H559" s="31" t="s">
        <v>5795</v>
      </c>
      <c r="I559" s="22" t="s">
        <v>1848</v>
      </c>
      <c r="J559" s="22" t="s">
        <v>5796</v>
      </c>
      <c r="K559" s="33" t="s">
        <v>175</v>
      </c>
      <c r="L559" s="22" t="s">
        <v>785</v>
      </c>
      <c r="M559" s="22">
        <v>1969</v>
      </c>
      <c r="N559" s="22">
        <v>1981</v>
      </c>
      <c r="O559" s="22"/>
      <c r="P559" s="22"/>
      <c r="Q559" s="22"/>
      <c r="R559" s="22"/>
      <c r="S559" s="22" t="s">
        <v>5800</v>
      </c>
      <c r="T559" s="22" t="s">
        <v>5799</v>
      </c>
      <c r="U559" s="31" t="s">
        <v>5798</v>
      </c>
      <c r="V559" s="31" t="s">
        <v>5797</v>
      </c>
      <c r="W559" s="45" t="s">
        <v>5822</v>
      </c>
      <c r="X559" s="45" t="s">
        <v>5823</v>
      </c>
      <c r="Y559" s="22"/>
    </row>
    <row r="560" spans="1:26" ht="42.75">
      <c r="A560" s="22">
        <v>559</v>
      </c>
      <c r="B560" s="22" t="s">
        <v>5801</v>
      </c>
      <c r="C560" s="22"/>
      <c r="D560" s="22" t="s">
        <v>496</v>
      </c>
      <c r="E560" s="22" t="s">
        <v>506</v>
      </c>
      <c r="F560" s="31" t="s">
        <v>5804</v>
      </c>
      <c r="G560" s="22" t="s">
        <v>757</v>
      </c>
      <c r="H560" s="38" t="s">
        <v>5810</v>
      </c>
      <c r="I560" s="22" t="s">
        <v>1848</v>
      </c>
      <c r="J560" s="22" t="s">
        <v>5811</v>
      </c>
      <c r="K560" s="83" t="s">
        <v>5809</v>
      </c>
      <c r="L560" s="1" t="s">
        <v>1024</v>
      </c>
      <c r="M560" s="22">
        <v>1965</v>
      </c>
      <c r="N560" s="22">
        <v>1970</v>
      </c>
      <c r="O560" s="22"/>
      <c r="P560" s="22"/>
      <c r="Q560" s="22"/>
      <c r="R560" s="22"/>
      <c r="S560" s="22" t="s">
        <v>5802</v>
      </c>
      <c r="T560" s="22" t="s">
        <v>5813</v>
      </c>
      <c r="U560" s="31" t="s">
        <v>5803</v>
      </c>
      <c r="W560" s="45" t="s">
        <v>5824</v>
      </c>
    </row>
    <row r="561" spans="1:27" ht="71.25">
      <c r="A561" s="22">
        <v>560</v>
      </c>
      <c r="B561" s="22" t="s">
        <v>5812</v>
      </c>
      <c r="C561" s="22">
        <v>3845</v>
      </c>
      <c r="D561" s="22" t="s">
        <v>495</v>
      </c>
      <c r="E561" s="22" t="s">
        <v>516</v>
      </c>
      <c r="F561" s="31" t="s">
        <v>5814</v>
      </c>
      <c r="G561" s="22" t="s">
        <v>757</v>
      </c>
      <c r="H561" s="31" t="s">
        <v>5815</v>
      </c>
      <c r="I561" s="22" t="s">
        <v>1848</v>
      </c>
      <c r="J561" s="22" t="s">
        <v>5816</v>
      </c>
      <c r="K561" s="33" t="s">
        <v>91</v>
      </c>
      <c r="L561" s="22" t="s">
        <v>1190</v>
      </c>
      <c r="M561" s="22">
        <v>1970</v>
      </c>
      <c r="N561" s="22">
        <v>1974</v>
      </c>
      <c r="O561" s="22"/>
      <c r="P561" s="22"/>
      <c r="Q561" s="22"/>
      <c r="R561" s="22"/>
      <c r="S561" s="22" t="s">
        <v>5819</v>
      </c>
      <c r="T561" s="31" t="s">
        <v>5817</v>
      </c>
      <c r="U561" s="31" t="s">
        <v>6214</v>
      </c>
      <c r="V561" s="31" t="s">
        <v>5818</v>
      </c>
      <c r="W561" s="45" t="s">
        <v>5820</v>
      </c>
      <c r="X561" s="45" t="s">
        <v>5821</v>
      </c>
      <c r="Y561" s="22"/>
    </row>
    <row r="562" spans="1:27" ht="42.75">
      <c r="A562" s="22">
        <v>561</v>
      </c>
      <c r="B562" s="31" t="s">
        <v>5829</v>
      </c>
      <c r="C562" s="22">
        <v>199</v>
      </c>
      <c r="D562" s="31" t="s">
        <v>499</v>
      </c>
      <c r="E562" s="31" t="s">
        <v>510</v>
      </c>
      <c r="F562" s="31" t="s">
        <v>5830</v>
      </c>
      <c r="G562" s="22" t="s">
        <v>755</v>
      </c>
      <c r="H562" s="31" t="s">
        <v>5831</v>
      </c>
      <c r="I562" s="22" t="s">
        <v>2266</v>
      </c>
      <c r="J562" s="22" t="s">
        <v>5832</v>
      </c>
      <c r="K562" s="33" t="s">
        <v>36</v>
      </c>
      <c r="L562" s="22" t="s">
        <v>785</v>
      </c>
      <c r="M562" s="22">
        <v>1968</v>
      </c>
      <c r="N562" s="22">
        <v>1975</v>
      </c>
      <c r="O562" s="22"/>
      <c r="P562" s="22"/>
      <c r="Q562" s="22"/>
      <c r="R562" s="22"/>
      <c r="S562" s="22" t="s">
        <v>5834</v>
      </c>
      <c r="T562" s="22"/>
      <c r="U562" s="31" t="s">
        <v>6600</v>
      </c>
      <c r="V562" s="31" t="s">
        <v>5833</v>
      </c>
      <c r="W562" s="45" t="s">
        <v>5825</v>
      </c>
      <c r="X562" s="45" t="s">
        <v>5826</v>
      </c>
      <c r="Y562" s="22"/>
      <c r="Z562" s="22"/>
      <c r="AA562" s="22"/>
    </row>
    <row r="563" spans="1:27" ht="28.5">
      <c r="A563" s="22">
        <v>562</v>
      </c>
      <c r="B563" s="22" t="s">
        <v>5836</v>
      </c>
      <c r="C563" s="22">
        <v>7000</v>
      </c>
      <c r="D563" s="22" t="s">
        <v>505</v>
      </c>
      <c r="E563" s="22" t="s">
        <v>510</v>
      </c>
      <c r="F563" s="22" t="s">
        <v>5837</v>
      </c>
      <c r="G563" s="22" t="s">
        <v>757</v>
      </c>
      <c r="H563" s="22" t="s">
        <v>5838</v>
      </c>
      <c r="I563" s="22" t="s">
        <v>1003</v>
      </c>
      <c r="J563" s="22" t="s">
        <v>5839</v>
      </c>
      <c r="K563" s="33" t="s">
        <v>33</v>
      </c>
      <c r="L563" s="22" t="s">
        <v>1024</v>
      </c>
      <c r="M563" s="22">
        <v>1955</v>
      </c>
      <c r="N563" s="22">
        <v>1959</v>
      </c>
      <c r="O563" s="22"/>
      <c r="P563" s="22"/>
      <c r="Q563" s="22"/>
      <c r="R563" s="31" t="s">
        <v>3092</v>
      </c>
      <c r="S563" s="22"/>
      <c r="T563" s="22" t="s">
        <v>5841</v>
      </c>
      <c r="U563" s="31" t="s">
        <v>5840</v>
      </c>
      <c r="V563" s="22" t="s">
        <v>5835</v>
      </c>
      <c r="W563" s="45" t="s">
        <v>5827</v>
      </c>
      <c r="X563" s="22"/>
      <c r="Y563" s="22"/>
      <c r="Z563" s="22"/>
      <c r="AA563" s="22"/>
    </row>
    <row r="564" spans="1:27" ht="42.75">
      <c r="A564" s="22">
        <v>563</v>
      </c>
      <c r="B564" s="22" t="s">
        <v>5842</v>
      </c>
      <c r="C564" s="22">
        <v>2015</v>
      </c>
      <c r="D564" s="31" t="s">
        <v>499</v>
      </c>
      <c r="E564" s="22" t="s">
        <v>506</v>
      </c>
      <c r="F564" s="31" t="s">
        <v>5854</v>
      </c>
      <c r="G564" s="22" t="s">
        <v>755</v>
      </c>
      <c r="H564" s="31" t="s">
        <v>5856</v>
      </c>
      <c r="I564" s="22" t="s">
        <v>1003</v>
      </c>
      <c r="J564" s="31" t="s">
        <v>5853</v>
      </c>
      <c r="K564" s="33" t="s">
        <v>154</v>
      </c>
      <c r="L564" s="22" t="s">
        <v>782</v>
      </c>
      <c r="M564" s="22">
        <v>1965</v>
      </c>
      <c r="N564" s="22">
        <v>1969</v>
      </c>
      <c r="O564" s="22" t="s">
        <v>785</v>
      </c>
      <c r="P564" s="22">
        <v>138</v>
      </c>
      <c r="Q564" s="51">
        <v>43862</v>
      </c>
      <c r="R564" s="22"/>
      <c r="S564" s="22" t="s">
        <v>5844</v>
      </c>
      <c r="T564" s="22" t="s">
        <v>5855</v>
      </c>
      <c r="U564" s="31" t="s">
        <v>6599</v>
      </c>
      <c r="V564" s="31" t="s">
        <v>5857</v>
      </c>
      <c r="W564" s="45" t="s">
        <v>5846</v>
      </c>
      <c r="X564" s="45" t="s">
        <v>5847</v>
      </c>
      <c r="Y564" s="45" t="s">
        <v>5848</v>
      </c>
      <c r="Z564" s="22"/>
      <c r="AA564" s="22"/>
    </row>
    <row r="565" spans="1:27" ht="85.5">
      <c r="A565" s="22">
        <v>564</v>
      </c>
      <c r="B565" s="22" t="s">
        <v>5843</v>
      </c>
      <c r="C565" s="22"/>
      <c r="D565" s="22" t="s">
        <v>496</v>
      </c>
      <c r="E565" s="22" t="s">
        <v>506</v>
      </c>
      <c r="F565" s="31" t="s">
        <v>5845</v>
      </c>
      <c r="G565" s="22" t="s">
        <v>755</v>
      </c>
      <c r="H565" s="31" t="s">
        <v>5859</v>
      </c>
      <c r="I565" s="22" t="s">
        <v>1003</v>
      </c>
      <c r="J565" s="22" t="s">
        <v>5860</v>
      </c>
      <c r="K565" s="33" t="s">
        <v>372</v>
      </c>
      <c r="L565" s="22" t="s">
        <v>782</v>
      </c>
      <c r="M565" s="22">
        <v>1930</v>
      </c>
      <c r="N565" s="22">
        <v>1950</v>
      </c>
      <c r="O565" s="22"/>
      <c r="P565" s="22">
        <v>291</v>
      </c>
      <c r="Q565" s="51">
        <v>45352</v>
      </c>
      <c r="R565" s="22" t="s">
        <v>5266</v>
      </c>
      <c r="S565" s="22" t="s">
        <v>5226</v>
      </c>
      <c r="T565" s="22"/>
      <c r="U565" s="31" t="s">
        <v>5858</v>
      </c>
      <c r="V565" s="22"/>
      <c r="W565" s="45" t="s">
        <v>5849</v>
      </c>
      <c r="X565" s="45" t="s">
        <v>5850</v>
      </c>
      <c r="Y565" s="45" t="s">
        <v>5886</v>
      </c>
      <c r="Z565" s="22"/>
      <c r="AA565" s="22"/>
    </row>
    <row r="566" spans="1:27" ht="28.5">
      <c r="A566" s="22">
        <v>565</v>
      </c>
      <c r="B566" s="31" t="s">
        <v>5861</v>
      </c>
      <c r="C566" s="22"/>
      <c r="D566" s="22" t="s">
        <v>497</v>
      </c>
      <c r="E566" s="22" t="s">
        <v>506</v>
      </c>
      <c r="F566" s="31" t="s">
        <v>5862</v>
      </c>
      <c r="G566" s="22" t="s">
        <v>755</v>
      </c>
      <c r="H566" s="31" t="s">
        <v>5970</v>
      </c>
      <c r="I566" s="22" t="s">
        <v>1003</v>
      </c>
      <c r="J566" s="22" t="s">
        <v>5863</v>
      </c>
      <c r="K566" s="33" t="s">
        <v>170</v>
      </c>
      <c r="L566" s="22" t="s">
        <v>785</v>
      </c>
      <c r="M566" s="22">
        <v>1963</v>
      </c>
      <c r="N566" s="22">
        <v>1969</v>
      </c>
      <c r="O566" s="22" t="s">
        <v>785</v>
      </c>
      <c r="P566" s="22"/>
      <c r="Q566" s="22"/>
      <c r="R566" s="22"/>
      <c r="S566" s="31" t="s">
        <v>5864</v>
      </c>
      <c r="T566" s="22"/>
      <c r="U566" s="31" t="s">
        <v>5865</v>
      </c>
      <c r="V566" s="22"/>
      <c r="W566" s="45" t="s">
        <v>5888</v>
      </c>
      <c r="X566" s="45" t="s">
        <v>5889</v>
      </c>
      <c r="Y566" s="45" t="s">
        <v>5890</v>
      </c>
      <c r="Z566" s="22"/>
    </row>
    <row r="567" spans="1:27" ht="99.75">
      <c r="A567" s="22">
        <v>566</v>
      </c>
      <c r="B567" s="22" t="s">
        <v>5866</v>
      </c>
      <c r="C567" s="22"/>
      <c r="D567" s="22" t="s">
        <v>497</v>
      </c>
      <c r="E567" s="22" t="s">
        <v>511</v>
      </c>
      <c r="F567" s="31" t="s">
        <v>5867</v>
      </c>
      <c r="G567" s="22" t="s">
        <v>755</v>
      </c>
      <c r="H567" s="31" t="s">
        <v>5970</v>
      </c>
      <c r="I567" s="22" t="s">
        <v>1003</v>
      </c>
      <c r="J567" s="22" t="s">
        <v>5868</v>
      </c>
      <c r="K567" s="33" t="s">
        <v>170</v>
      </c>
      <c r="L567" s="22" t="s">
        <v>785</v>
      </c>
      <c r="M567" s="22">
        <v>1950</v>
      </c>
      <c r="N567" s="22">
        <v>1968</v>
      </c>
      <c r="O567" s="22" t="s">
        <v>782</v>
      </c>
      <c r="P567" s="22"/>
      <c r="Q567" s="22"/>
      <c r="R567" s="22"/>
      <c r="S567" s="31" t="s">
        <v>5869</v>
      </c>
      <c r="T567" s="22"/>
      <c r="U567" s="31" t="s">
        <v>5885</v>
      </c>
      <c r="V567" s="22"/>
      <c r="W567" s="45" t="s">
        <v>5891</v>
      </c>
      <c r="X567" s="45" t="s">
        <v>5887</v>
      </c>
    </row>
    <row r="568" spans="1:27" ht="28.5">
      <c r="A568" s="22">
        <v>567</v>
      </c>
      <c r="B568" s="31" t="s">
        <v>5870</v>
      </c>
      <c r="C568" s="22">
        <v>1935</v>
      </c>
      <c r="D568" s="22" t="s">
        <v>497</v>
      </c>
      <c r="E568" s="22" t="s">
        <v>511</v>
      </c>
      <c r="F568" s="31" t="s">
        <v>5871</v>
      </c>
      <c r="G568" s="22" t="s">
        <v>755</v>
      </c>
      <c r="H568" s="31" t="s">
        <v>5970</v>
      </c>
      <c r="I568" s="22" t="s">
        <v>1003</v>
      </c>
      <c r="J568" s="22" t="s">
        <v>5872</v>
      </c>
      <c r="K568" s="33" t="s">
        <v>33</v>
      </c>
      <c r="L568" s="22" t="s">
        <v>782</v>
      </c>
      <c r="M568" s="22">
        <v>1955</v>
      </c>
      <c r="N568" s="22">
        <v>1959</v>
      </c>
      <c r="O568" s="22" t="s">
        <v>5873</v>
      </c>
      <c r="P568" s="22"/>
      <c r="Q568" s="22"/>
      <c r="R568" s="22"/>
      <c r="S568" s="22"/>
      <c r="T568" s="22" t="s">
        <v>5875</v>
      </c>
      <c r="U568" s="31" t="s">
        <v>5876</v>
      </c>
      <c r="V568" s="31" t="s">
        <v>5874</v>
      </c>
      <c r="W568" s="45" t="s">
        <v>5892</v>
      </c>
      <c r="X568" s="45" t="s">
        <v>5893</v>
      </c>
      <c r="Y568" s="45" t="s">
        <v>5894</v>
      </c>
      <c r="Z568" s="22"/>
    </row>
    <row r="569" spans="1:27" ht="28.5">
      <c r="A569" s="22">
        <v>568</v>
      </c>
      <c r="B569" s="49" t="s">
        <v>5878</v>
      </c>
      <c r="C569" s="22" t="s">
        <v>5877</v>
      </c>
      <c r="D569" s="22" t="s">
        <v>497</v>
      </c>
      <c r="E569" s="22" t="s">
        <v>511</v>
      </c>
      <c r="F569" s="31" t="s">
        <v>5879</v>
      </c>
      <c r="G569" s="22" t="s">
        <v>757</v>
      </c>
      <c r="H569" s="31" t="s">
        <v>5971</v>
      </c>
      <c r="I569" s="22" t="s">
        <v>1666</v>
      </c>
      <c r="J569" s="22" t="s">
        <v>5884</v>
      </c>
      <c r="K569" s="33" t="s">
        <v>5881</v>
      </c>
      <c r="L569" s="22" t="s">
        <v>758</v>
      </c>
      <c r="M569" s="22">
        <v>1965</v>
      </c>
      <c r="N569" s="22">
        <v>1975</v>
      </c>
      <c r="O569" s="22" t="s">
        <v>782</v>
      </c>
      <c r="P569" s="22"/>
      <c r="Q569" s="22"/>
      <c r="R569" s="22"/>
      <c r="S569" s="22"/>
      <c r="T569" s="22"/>
      <c r="U569" s="31" t="s">
        <v>5880</v>
      </c>
      <c r="V569" s="22"/>
      <c r="W569" s="45" t="s">
        <v>5895</v>
      </c>
      <c r="X569" s="45" t="s">
        <v>5896</v>
      </c>
      <c r="Y569" s="45" t="s">
        <v>5897</v>
      </c>
      <c r="Z569" s="22"/>
    </row>
    <row r="570" spans="1:27" ht="28.5">
      <c r="A570" s="22">
        <v>569</v>
      </c>
      <c r="B570" s="57" t="s">
        <v>5898</v>
      </c>
      <c r="C570" s="22"/>
      <c r="D570" s="22" t="s">
        <v>492</v>
      </c>
      <c r="E570" s="22" t="s">
        <v>492</v>
      </c>
      <c r="F570" s="31" t="s">
        <v>5901</v>
      </c>
      <c r="G570" s="22" t="s">
        <v>755</v>
      </c>
      <c r="H570" s="31" t="s">
        <v>5972</v>
      </c>
      <c r="I570" s="22" t="s">
        <v>1003</v>
      </c>
      <c r="J570" s="22" t="s">
        <v>5902</v>
      </c>
      <c r="K570" s="33" t="s">
        <v>2235</v>
      </c>
      <c r="L570" s="22" t="s">
        <v>782</v>
      </c>
      <c r="M570" s="22">
        <v>1965</v>
      </c>
      <c r="N570" s="22">
        <v>1970</v>
      </c>
      <c r="S570" s="22" t="s">
        <v>5900</v>
      </c>
      <c r="U570" s="31" t="s">
        <v>5899</v>
      </c>
      <c r="V570" s="22"/>
      <c r="W570" s="45" t="s">
        <v>5945</v>
      </c>
      <c r="X570" s="45" t="s">
        <v>5946</v>
      </c>
      <c r="Y570" s="22"/>
      <c r="Z570" s="22"/>
    </row>
    <row r="571" spans="1:27" ht="28.5">
      <c r="A571" s="22">
        <v>570</v>
      </c>
      <c r="B571" s="22" t="s">
        <v>5903</v>
      </c>
      <c r="C571" s="22">
        <v>650</v>
      </c>
      <c r="D571" s="22" t="s">
        <v>492</v>
      </c>
      <c r="E571" s="22" t="s">
        <v>492</v>
      </c>
      <c r="F571" s="22" t="s">
        <v>5904</v>
      </c>
      <c r="G571" s="22" t="s">
        <v>755</v>
      </c>
      <c r="H571" s="22" t="s">
        <v>5973</v>
      </c>
      <c r="I571" s="22" t="s">
        <v>1003</v>
      </c>
      <c r="J571" s="22" t="s">
        <v>5905</v>
      </c>
      <c r="K571" s="33" t="s">
        <v>33</v>
      </c>
      <c r="L571" s="22" t="s">
        <v>758</v>
      </c>
      <c r="M571" s="22">
        <v>1935</v>
      </c>
      <c r="N571" s="22">
        <v>1955</v>
      </c>
      <c r="O571" s="22" t="s">
        <v>782</v>
      </c>
      <c r="P571" s="22"/>
      <c r="Q571" s="22"/>
      <c r="R571" s="22"/>
      <c r="S571" s="31" t="s">
        <v>6026</v>
      </c>
      <c r="T571" s="22" t="s">
        <v>5906</v>
      </c>
      <c r="U571" s="31" t="s">
        <v>6594</v>
      </c>
      <c r="V571" s="22" t="s">
        <v>4827</v>
      </c>
      <c r="W571" s="45" t="s">
        <v>5947</v>
      </c>
      <c r="X571" s="45" t="s">
        <v>5948</v>
      </c>
      <c r="Y571" s="22"/>
      <c r="Z571" s="22"/>
    </row>
    <row r="572" spans="1:27">
      <c r="A572" s="22">
        <v>571</v>
      </c>
      <c r="B572" s="22" t="s">
        <v>5907</v>
      </c>
      <c r="C572" s="22">
        <v>911</v>
      </c>
      <c r="D572" s="22" t="s">
        <v>492</v>
      </c>
      <c r="E572" s="22" t="s">
        <v>492</v>
      </c>
      <c r="F572" s="22" t="s">
        <v>5908</v>
      </c>
      <c r="G572" s="22" t="s">
        <v>756</v>
      </c>
      <c r="H572" s="22" t="s">
        <v>1227</v>
      </c>
      <c r="I572" s="22" t="s">
        <v>1666</v>
      </c>
      <c r="J572" s="22" t="s">
        <v>5909</v>
      </c>
      <c r="K572" s="33" t="s">
        <v>86</v>
      </c>
      <c r="L572" s="22" t="s">
        <v>758</v>
      </c>
      <c r="M572" s="22">
        <v>1963</v>
      </c>
      <c r="N572" s="22">
        <v>1989</v>
      </c>
      <c r="O572" s="22"/>
      <c r="P572" s="22"/>
      <c r="Q572" s="22"/>
      <c r="R572" s="22"/>
      <c r="S572" s="22" t="s">
        <v>5910</v>
      </c>
      <c r="T572" s="22" t="s">
        <v>5629</v>
      </c>
      <c r="U572" s="31"/>
      <c r="V572" s="22"/>
      <c r="W572" s="45" t="s">
        <v>5949</v>
      </c>
      <c r="X572" s="45" t="s">
        <v>5950</v>
      </c>
      <c r="Y572" s="22"/>
      <c r="Z572" s="22"/>
    </row>
    <row r="573" spans="1:27" ht="28.5">
      <c r="A573" s="22">
        <v>572</v>
      </c>
      <c r="B573" s="22" t="s">
        <v>5911</v>
      </c>
      <c r="C573" s="22">
        <v>3713</v>
      </c>
      <c r="D573" s="22" t="s">
        <v>497</v>
      </c>
      <c r="E573" s="22" t="s">
        <v>510</v>
      </c>
      <c r="F573" s="31" t="s">
        <v>5912</v>
      </c>
      <c r="G573" s="22" t="s">
        <v>757</v>
      </c>
      <c r="H573" s="31" t="s">
        <v>5913</v>
      </c>
      <c r="I573" s="22" t="s">
        <v>1340</v>
      </c>
      <c r="J573" s="22" t="s">
        <v>5914</v>
      </c>
      <c r="K573" s="33" t="s">
        <v>91</v>
      </c>
      <c r="L573" s="22" t="s">
        <v>1024</v>
      </c>
      <c r="M573" s="22">
        <v>1969</v>
      </c>
      <c r="N573" s="22">
        <v>1973</v>
      </c>
      <c r="O573" s="22"/>
      <c r="P573" s="22"/>
      <c r="Q573" s="22"/>
      <c r="R573" s="31" t="s">
        <v>3092</v>
      </c>
      <c r="S573" s="22" t="s">
        <v>5916</v>
      </c>
      <c r="T573" s="22" t="s">
        <v>5915</v>
      </c>
      <c r="U573" s="31" t="s">
        <v>6595</v>
      </c>
      <c r="V573" s="31" t="s">
        <v>6593</v>
      </c>
      <c r="W573" s="45" t="s">
        <v>5951</v>
      </c>
      <c r="X573" s="45" t="s">
        <v>5952</v>
      </c>
      <c r="Y573" s="45" t="s">
        <v>5953</v>
      </c>
      <c r="Z573" s="22"/>
    </row>
    <row r="574" spans="1:27" ht="71.25">
      <c r="A574" s="22">
        <v>573</v>
      </c>
      <c r="B574" s="22" t="s">
        <v>5917</v>
      </c>
      <c r="C574" s="22"/>
      <c r="D574" s="22" t="s">
        <v>502</v>
      </c>
      <c r="E574" s="22" t="s">
        <v>511</v>
      </c>
      <c r="F574" s="31" t="s">
        <v>5918</v>
      </c>
      <c r="G574" s="22" t="s">
        <v>757</v>
      </c>
      <c r="H574" s="31" t="s">
        <v>5974</v>
      </c>
      <c r="I574" s="22" t="s">
        <v>1003</v>
      </c>
      <c r="J574" s="22" t="s">
        <v>1364</v>
      </c>
      <c r="K574" s="33" t="s">
        <v>2200</v>
      </c>
      <c r="L574" s="22" t="s">
        <v>785</v>
      </c>
      <c r="M574" s="22">
        <v>1955</v>
      </c>
      <c r="N574" s="22">
        <v>1960</v>
      </c>
      <c r="O574" s="22"/>
      <c r="P574" s="22"/>
      <c r="Q574" s="22"/>
      <c r="R574" s="22"/>
      <c r="S574" s="22" t="s">
        <v>5921</v>
      </c>
      <c r="T574" s="22" t="s">
        <v>5920</v>
      </c>
      <c r="U574" s="31" t="s">
        <v>6596</v>
      </c>
      <c r="V574" s="22" t="s">
        <v>5919</v>
      </c>
      <c r="W574" s="45" t="s">
        <v>5954</v>
      </c>
      <c r="X574" s="45" t="s">
        <v>5955</v>
      </c>
      <c r="Y574" s="45" t="s">
        <v>5956</v>
      </c>
      <c r="Z574" s="22"/>
    </row>
    <row r="575" spans="1:27" ht="28.5">
      <c r="A575" s="22">
        <v>574</v>
      </c>
      <c r="B575" s="22" t="s">
        <v>5925</v>
      </c>
      <c r="C575" s="22">
        <v>2104</v>
      </c>
      <c r="D575" s="22" t="s">
        <v>493</v>
      </c>
      <c r="E575" s="22" t="s">
        <v>511</v>
      </c>
      <c r="F575" s="22" t="s">
        <v>5922</v>
      </c>
      <c r="G575" s="22" t="s">
        <v>755</v>
      </c>
      <c r="H575" s="31" t="s">
        <v>5923</v>
      </c>
      <c r="I575" s="22" t="s">
        <v>1848</v>
      </c>
      <c r="J575" s="22" t="s">
        <v>5924</v>
      </c>
      <c r="K575" s="33" t="s">
        <v>178</v>
      </c>
      <c r="L575" s="22" t="s">
        <v>758</v>
      </c>
      <c r="M575" s="22">
        <v>1965</v>
      </c>
      <c r="N575" s="22">
        <v>1970</v>
      </c>
      <c r="O575" s="22"/>
      <c r="P575" s="22"/>
      <c r="Q575" s="22"/>
      <c r="R575" s="22"/>
      <c r="S575" s="22" t="s">
        <v>5926</v>
      </c>
      <c r="T575" s="22"/>
      <c r="U575" s="31"/>
      <c r="V575" s="22"/>
      <c r="W575" s="45" t="s">
        <v>5957</v>
      </c>
      <c r="X575" s="45" t="s">
        <v>5958</v>
      </c>
      <c r="Y575" s="22"/>
      <c r="Z575" s="22"/>
    </row>
    <row r="576" spans="1:27" ht="28.5">
      <c r="A576" s="22">
        <v>575</v>
      </c>
      <c r="B576" s="22" t="s">
        <v>5927</v>
      </c>
      <c r="C576" s="22">
        <v>6330</v>
      </c>
      <c r="D576" s="22" t="s">
        <v>493</v>
      </c>
      <c r="E576" s="22" t="s">
        <v>511</v>
      </c>
      <c r="F576" s="31" t="s">
        <v>5929</v>
      </c>
      <c r="G576" s="22" t="s">
        <v>755</v>
      </c>
      <c r="H576" s="31" t="s">
        <v>5923</v>
      </c>
      <c r="I576" s="22" t="s">
        <v>1848</v>
      </c>
      <c r="J576" s="22" t="s">
        <v>5930</v>
      </c>
      <c r="K576" s="33" t="s">
        <v>163</v>
      </c>
      <c r="L576" s="22" t="s">
        <v>782</v>
      </c>
      <c r="M576" s="22">
        <v>1955</v>
      </c>
      <c r="N576" s="22">
        <v>1960</v>
      </c>
      <c r="O576" s="22"/>
      <c r="P576" s="22"/>
      <c r="Q576" s="22"/>
      <c r="R576" s="22"/>
      <c r="S576" s="22" t="s">
        <v>5928</v>
      </c>
      <c r="T576" s="22"/>
      <c r="U576" s="31" t="s">
        <v>6597</v>
      </c>
      <c r="V576" s="22"/>
      <c r="W576" s="45" t="s">
        <v>5959</v>
      </c>
      <c r="X576" s="22"/>
      <c r="Y576" s="22"/>
      <c r="Z576" s="22"/>
    </row>
    <row r="577" spans="1:26" ht="28.5">
      <c r="A577" s="22">
        <v>576</v>
      </c>
      <c r="B577" s="22" t="s">
        <v>5931</v>
      </c>
      <c r="C577" s="22">
        <v>1006</v>
      </c>
      <c r="D577" s="22" t="s">
        <v>493</v>
      </c>
      <c r="E577" s="22" t="s">
        <v>511</v>
      </c>
      <c r="F577" s="31" t="s">
        <v>5932</v>
      </c>
      <c r="G577" s="22" t="s">
        <v>755</v>
      </c>
      <c r="H577" s="31" t="s">
        <v>5923</v>
      </c>
      <c r="I577" s="22" t="s">
        <v>1848</v>
      </c>
      <c r="J577" s="22" t="s">
        <v>5933</v>
      </c>
      <c r="K577" s="33" t="s">
        <v>154</v>
      </c>
      <c r="L577" s="22" t="s">
        <v>758</v>
      </c>
      <c r="M577" s="22">
        <v>1960</v>
      </c>
      <c r="N577" s="22">
        <v>1965</v>
      </c>
      <c r="O577" s="22"/>
      <c r="P577" s="22"/>
      <c r="Q577" s="22"/>
      <c r="R577" s="22"/>
      <c r="S577" s="22" t="s">
        <v>5935</v>
      </c>
      <c r="T577" s="22" t="s">
        <v>5934</v>
      </c>
      <c r="U577" s="31"/>
      <c r="V577" s="22"/>
      <c r="W577" s="45" t="s">
        <v>5960</v>
      </c>
      <c r="X577" s="45" t="s">
        <v>5961</v>
      </c>
      <c r="Y577" s="22"/>
      <c r="Z577" s="22"/>
    </row>
    <row r="578" spans="1:26" ht="42.75">
      <c r="A578" s="22">
        <v>577</v>
      </c>
      <c r="B578" s="22" t="s">
        <v>5936</v>
      </c>
      <c r="D578" s="22" t="s">
        <v>492</v>
      </c>
      <c r="E578" s="22" t="s">
        <v>511</v>
      </c>
      <c r="F578" s="31" t="s">
        <v>5937</v>
      </c>
      <c r="G578" s="22" t="s">
        <v>757</v>
      </c>
      <c r="H578" s="31" t="s">
        <v>5938</v>
      </c>
      <c r="I578" s="22" t="s">
        <v>2383</v>
      </c>
      <c r="J578" s="22" t="s">
        <v>5939</v>
      </c>
      <c r="K578" s="33" t="s">
        <v>127</v>
      </c>
      <c r="L578" s="22" t="s">
        <v>785</v>
      </c>
      <c r="M578" s="22">
        <v>1955</v>
      </c>
      <c r="N578" s="22">
        <v>1960</v>
      </c>
      <c r="S578" s="22" t="s">
        <v>4785</v>
      </c>
      <c r="T578" s="22" t="s">
        <v>5940</v>
      </c>
      <c r="U578" s="31" t="s">
        <v>6598</v>
      </c>
      <c r="V578" s="22" t="s">
        <v>6590</v>
      </c>
      <c r="W578" s="45" t="s">
        <v>5962</v>
      </c>
      <c r="X578" s="45" t="s">
        <v>5963</v>
      </c>
      <c r="Y578" s="45" t="s">
        <v>5964</v>
      </c>
      <c r="Z578" s="22"/>
    </row>
    <row r="579" spans="1:26" ht="57">
      <c r="A579" s="22">
        <v>578</v>
      </c>
      <c r="B579" s="32" t="s">
        <v>5941</v>
      </c>
      <c r="C579" s="22"/>
      <c r="D579" s="31" t="s">
        <v>499</v>
      </c>
      <c r="E579" s="22" t="s">
        <v>510</v>
      </c>
      <c r="F579" s="31" t="s">
        <v>5942</v>
      </c>
      <c r="G579" s="22" t="s">
        <v>757</v>
      </c>
      <c r="H579" s="31" t="s">
        <v>5968</v>
      </c>
      <c r="I579" s="22" t="s">
        <v>1666</v>
      </c>
      <c r="J579" s="22" t="s">
        <v>5943</v>
      </c>
      <c r="K579" s="33" t="s">
        <v>43</v>
      </c>
      <c r="L579" s="22" t="s">
        <v>758</v>
      </c>
      <c r="M579" s="22">
        <v>1962</v>
      </c>
      <c r="N579" s="22">
        <v>1968</v>
      </c>
      <c r="O579" s="22" t="s">
        <v>782</v>
      </c>
      <c r="P579" s="22"/>
      <c r="Q579" s="22"/>
      <c r="R579" s="22"/>
      <c r="S579" s="22"/>
      <c r="T579" s="22"/>
      <c r="U579" s="31" t="s">
        <v>5944</v>
      </c>
      <c r="V579" s="22"/>
      <c r="W579" s="45" t="s">
        <v>5965</v>
      </c>
      <c r="X579" s="45" t="s">
        <v>5966</v>
      </c>
      <c r="Y579" s="45" t="s">
        <v>5967</v>
      </c>
      <c r="Z579" s="22"/>
    </row>
    <row r="580" spans="1:26" ht="28.5">
      <c r="A580" s="22">
        <v>579</v>
      </c>
      <c r="B580" s="22" t="s">
        <v>5975</v>
      </c>
      <c r="C580" s="22">
        <v>711</v>
      </c>
      <c r="D580" s="22" t="s">
        <v>497</v>
      </c>
      <c r="E580" s="22" t="s">
        <v>512</v>
      </c>
      <c r="F580" s="31" t="s">
        <v>5976</v>
      </c>
      <c r="G580" s="22" t="s">
        <v>756</v>
      </c>
      <c r="H580" s="31" t="s">
        <v>1227</v>
      </c>
      <c r="I580" s="22" t="s">
        <v>1003</v>
      </c>
      <c r="J580" s="22" t="s">
        <v>5977</v>
      </c>
      <c r="K580" s="33" t="s">
        <v>5979</v>
      </c>
      <c r="L580" s="22" t="s">
        <v>782</v>
      </c>
      <c r="M580" s="22">
        <v>1960</v>
      </c>
      <c r="N580" s="22">
        <v>1965</v>
      </c>
      <c r="O580" s="22"/>
      <c r="P580" s="22"/>
      <c r="Q580" s="22"/>
      <c r="R580" s="22"/>
      <c r="S580" s="22" t="s">
        <v>5982</v>
      </c>
      <c r="T580" s="22"/>
      <c r="U580" s="31"/>
      <c r="V580" s="22"/>
      <c r="W580" s="45" t="s">
        <v>6079</v>
      </c>
      <c r="X580" s="45" t="s">
        <v>6080</v>
      </c>
      <c r="Y580" s="22"/>
      <c r="Z580" s="22"/>
    </row>
    <row r="581" spans="1:26" ht="28.5">
      <c r="A581" s="22">
        <v>580</v>
      </c>
      <c r="B581" s="22" t="s">
        <v>5983</v>
      </c>
      <c r="C581" s="22">
        <v>3093</v>
      </c>
      <c r="D581" s="22" t="s">
        <v>497</v>
      </c>
      <c r="E581" s="22" t="s">
        <v>506</v>
      </c>
      <c r="F581" s="31" t="s">
        <v>5984</v>
      </c>
      <c r="G581" s="22" t="s">
        <v>755</v>
      </c>
      <c r="H581" s="31" t="s">
        <v>5985</v>
      </c>
      <c r="I581" s="22" t="s">
        <v>4859</v>
      </c>
      <c r="J581" s="22" t="s">
        <v>5986</v>
      </c>
      <c r="K581" s="33" t="s">
        <v>5492</v>
      </c>
      <c r="L581" s="22" t="s">
        <v>782</v>
      </c>
      <c r="M581" s="22">
        <v>1955</v>
      </c>
      <c r="N581" s="22">
        <v>1959</v>
      </c>
      <c r="O581" s="22"/>
      <c r="P581" s="22"/>
      <c r="Q581" s="22"/>
      <c r="R581" s="22"/>
      <c r="S581" s="22" t="s">
        <v>5988</v>
      </c>
      <c r="T581" s="22" t="s">
        <v>5987</v>
      </c>
      <c r="U581" s="31" t="s">
        <v>6586</v>
      </c>
      <c r="V581" s="22"/>
      <c r="W581" s="45" t="s">
        <v>6081</v>
      </c>
      <c r="X581" s="45" t="s">
        <v>6082</v>
      </c>
      <c r="Y581" s="22"/>
    </row>
    <row r="582" spans="1:26" ht="28.5">
      <c r="A582" s="22">
        <v>581</v>
      </c>
      <c r="B582" s="22" t="s">
        <v>5936</v>
      </c>
      <c r="C582" s="22"/>
      <c r="D582" s="22" t="s">
        <v>492</v>
      </c>
      <c r="E582" s="22" t="s">
        <v>511</v>
      </c>
      <c r="F582" s="31" t="s">
        <v>5989</v>
      </c>
      <c r="G582" s="22" t="s">
        <v>755</v>
      </c>
      <c r="H582" s="31" t="s">
        <v>5990</v>
      </c>
      <c r="I582" s="22" t="s">
        <v>1003</v>
      </c>
      <c r="J582" s="22" t="s">
        <v>5991</v>
      </c>
      <c r="K582" s="33" t="s">
        <v>175</v>
      </c>
      <c r="L582" s="22" t="s">
        <v>758</v>
      </c>
      <c r="M582" s="22">
        <v>1957</v>
      </c>
      <c r="N582" s="22">
        <v>1960</v>
      </c>
      <c r="O582" s="22"/>
      <c r="P582" s="22"/>
      <c r="Q582" s="22"/>
      <c r="R582" s="22"/>
      <c r="S582" s="22" t="s">
        <v>5993</v>
      </c>
      <c r="T582" s="22" t="s">
        <v>5992</v>
      </c>
      <c r="U582" s="31" t="s">
        <v>6587</v>
      </c>
      <c r="V582" s="22"/>
      <c r="W582" s="45" t="s">
        <v>6083</v>
      </c>
      <c r="X582" s="45" t="s">
        <v>6084</v>
      </c>
      <c r="Y582" s="22"/>
    </row>
    <row r="583" spans="1:26" ht="28.5">
      <c r="A583" s="22">
        <v>582</v>
      </c>
      <c r="B583" s="22" t="s">
        <v>5994</v>
      </c>
      <c r="C583" s="22">
        <v>200</v>
      </c>
      <c r="D583" s="31" t="s">
        <v>499</v>
      </c>
      <c r="E583" s="22" t="s">
        <v>514</v>
      </c>
      <c r="F583" s="31" t="s">
        <v>5995</v>
      </c>
      <c r="G583" s="22" t="s">
        <v>755</v>
      </c>
      <c r="H583" s="31" t="s">
        <v>5996</v>
      </c>
      <c r="I583" s="22" t="s">
        <v>4859</v>
      </c>
      <c r="J583" s="22" t="s">
        <v>5997</v>
      </c>
      <c r="K583" s="33" t="s">
        <v>36</v>
      </c>
      <c r="L583" s="22" t="s">
        <v>758</v>
      </c>
      <c r="M583" s="22">
        <v>1968</v>
      </c>
      <c r="N583" s="22">
        <v>1970</v>
      </c>
      <c r="O583" s="22" t="s">
        <v>758</v>
      </c>
      <c r="P583" s="22"/>
      <c r="Q583" s="22"/>
      <c r="R583" s="22"/>
      <c r="S583" s="22" t="s">
        <v>5998</v>
      </c>
      <c r="T583" s="22"/>
      <c r="U583" s="31"/>
      <c r="V583" s="22"/>
      <c r="W583" s="45" t="s">
        <v>6085</v>
      </c>
      <c r="X583" s="45" t="s">
        <v>6114</v>
      </c>
      <c r="Y583" s="22"/>
    </row>
    <row r="584" spans="1:26" ht="57">
      <c r="A584" s="22">
        <v>583</v>
      </c>
      <c r="B584" s="22" t="s">
        <v>5999</v>
      </c>
      <c r="C584" s="22"/>
      <c r="D584" s="22" t="s">
        <v>493</v>
      </c>
      <c r="E584" s="22" t="s">
        <v>511</v>
      </c>
      <c r="F584" s="31" t="s">
        <v>6000</v>
      </c>
      <c r="G584" s="22" t="s">
        <v>755</v>
      </c>
      <c r="H584" s="31" t="s">
        <v>6001</v>
      </c>
      <c r="I584" s="31" t="s">
        <v>6002</v>
      </c>
      <c r="J584" s="22" t="s">
        <v>6003</v>
      </c>
      <c r="K584" s="33" t="s">
        <v>127</v>
      </c>
      <c r="L584" s="22" t="s">
        <v>758</v>
      </c>
      <c r="M584" s="22">
        <v>1955</v>
      </c>
      <c r="N584" s="22">
        <v>1960</v>
      </c>
      <c r="O584" s="22" t="s">
        <v>782</v>
      </c>
      <c r="P584" s="22"/>
      <c r="Q584" s="22"/>
      <c r="R584" s="22"/>
      <c r="S584" s="31" t="s">
        <v>6004</v>
      </c>
      <c r="T584" s="22"/>
      <c r="U584" s="31" t="s">
        <v>6588</v>
      </c>
      <c r="V584" s="22" t="s">
        <v>6591</v>
      </c>
      <c r="W584" s="45" t="s">
        <v>6086</v>
      </c>
      <c r="X584" s="45" t="s">
        <v>6087</v>
      </c>
      <c r="Y584" s="45" t="s">
        <v>6088</v>
      </c>
    </row>
    <row r="585" spans="1:26" ht="42.75">
      <c r="A585" s="22">
        <v>584</v>
      </c>
      <c r="B585" s="22" t="s">
        <v>6005</v>
      </c>
      <c r="D585" s="22" t="s">
        <v>493</v>
      </c>
      <c r="E585" s="22" t="s">
        <v>510</v>
      </c>
      <c r="F585" s="31" t="s">
        <v>6006</v>
      </c>
      <c r="G585" s="22" t="s">
        <v>1089</v>
      </c>
      <c r="H585" s="31" t="s">
        <v>6007</v>
      </c>
      <c r="I585" s="22" t="s">
        <v>1003</v>
      </c>
      <c r="J585" s="22" t="s">
        <v>6008</v>
      </c>
      <c r="K585" s="33" t="s">
        <v>175</v>
      </c>
      <c r="L585" s="22" t="s">
        <v>758</v>
      </c>
      <c r="M585" s="22">
        <v>1962</v>
      </c>
      <c r="N585" s="22">
        <v>1965</v>
      </c>
      <c r="O585" s="22" t="s">
        <v>782</v>
      </c>
      <c r="P585" s="22"/>
      <c r="Q585" s="22"/>
      <c r="R585" s="22"/>
      <c r="S585" s="31" t="s">
        <v>6056</v>
      </c>
      <c r="T585" s="22" t="s">
        <v>6009</v>
      </c>
      <c r="U585" s="31" t="s">
        <v>6589</v>
      </c>
      <c r="W585" s="45" t="s">
        <v>6089</v>
      </c>
      <c r="X585" s="45" t="s">
        <v>6090</v>
      </c>
      <c r="Y585" s="22"/>
      <c r="Z585" s="22"/>
    </row>
    <row r="586" spans="1:26" ht="42.75">
      <c r="A586" s="22">
        <v>585</v>
      </c>
      <c r="B586" s="22" t="s">
        <v>6010</v>
      </c>
      <c r="C586" s="22">
        <v>914</v>
      </c>
      <c r="D586" s="22" t="s">
        <v>493</v>
      </c>
      <c r="E586" s="22" t="s">
        <v>510</v>
      </c>
      <c r="F586" s="31" t="s">
        <v>6011</v>
      </c>
      <c r="G586" s="22" t="s">
        <v>1089</v>
      </c>
      <c r="H586" s="31" t="s">
        <v>6012</v>
      </c>
      <c r="I586" s="22" t="s">
        <v>1003</v>
      </c>
      <c r="J586" s="22" t="s">
        <v>6013</v>
      </c>
      <c r="K586" s="33" t="s">
        <v>86</v>
      </c>
      <c r="L586" s="22" t="s">
        <v>758</v>
      </c>
      <c r="M586" s="22">
        <v>1955</v>
      </c>
      <c r="N586" s="22">
        <v>1970</v>
      </c>
      <c r="O586" s="22" t="s">
        <v>782</v>
      </c>
      <c r="S586" s="31" t="s">
        <v>6055</v>
      </c>
      <c r="T586" s="31" t="s">
        <v>6014</v>
      </c>
      <c r="U586" s="31"/>
      <c r="W586" s="45" t="s">
        <v>6091</v>
      </c>
      <c r="X586" s="22"/>
      <c r="Y586" s="22"/>
      <c r="Z586" s="22"/>
    </row>
    <row r="587" spans="1:26" ht="57">
      <c r="A587" s="22">
        <v>586</v>
      </c>
      <c r="B587" s="22" t="s">
        <v>6015</v>
      </c>
      <c r="C587" s="22">
        <v>535</v>
      </c>
      <c r="D587" s="22" t="s">
        <v>493</v>
      </c>
      <c r="E587" s="22" t="s">
        <v>515</v>
      </c>
      <c r="F587" s="31" t="s">
        <v>6016</v>
      </c>
      <c r="G587" s="22" t="s">
        <v>755</v>
      </c>
      <c r="H587" s="31" t="s">
        <v>6020</v>
      </c>
      <c r="I587" s="22" t="s">
        <v>1874</v>
      </c>
      <c r="J587" s="22" t="s">
        <v>6017</v>
      </c>
      <c r="K587" s="33" t="s">
        <v>86</v>
      </c>
      <c r="L587" s="22" t="s">
        <v>782</v>
      </c>
      <c r="M587" s="22">
        <v>1904</v>
      </c>
      <c r="N587" s="22">
        <v>1948</v>
      </c>
      <c r="P587" s="22">
        <v>557</v>
      </c>
      <c r="Q587" s="51">
        <v>44136</v>
      </c>
      <c r="R587" s="22" t="s">
        <v>1249</v>
      </c>
      <c r="S587" s="22" t="s">
        <v>6021</v>
      </c>
      <c r="T587" s="22" t="s">
        <v>6019</v>
      </c>
      <c r="U587" s="6" t="s">
        <v>6018</v>
      </c>
      <c r="W587" s="45" t="s">
        <v>6092</v>
      </c>
      <c r="X587" s="45" t="s">
        <v>6093</v>
      </c>
      <c r="Y587" s="22"/>
      <c r="Z587" s="22"/>
    </row>
    <row r="588" spans="1:26" ht="42.75">
      <c r="A588" s="22">
        <v>587</v>
      </c>
      <c r="B588" s="22" t="s">
        <v>6022</v>
      </c>
      <c r="C588" s="22">
        <v>1743</v>
      </c>
      <c r="D588" s="22" t="s">
        <v>497</v>
      </c>
      <c r="E588" s="22" t="s">
        <v>506</v>
      </c>
      <c r="F588" s="31" t="s">
        <v>6023</v>
      </c>
      <c r="G588" s="22" t="s">
        <v>756</v>
      </c>
      <c r="H588" s="22" t="s">
        <v>6024</v>
      </c>
      <c r="I588" s="22" t="s">
        <v>1003</v>
      </c>
      <c r="J588" s="22" t="s">
        <v>6025</v>
      </c>
      <c r="K588" s="33" t="s">
        <v>91</v>
      </c>
      <c r="L588" s="22" t="s">
        <v>758</v>
      </c>
      <c r="M588" s="22">
        <v>1957</v>
      </c>
      <c r="N588" s="22">
        <v>1958</v>
      </c>
      <c r="O588" s="31" t="s">
        <v>6078</v>
      </c>
      <c r="S588" s="31" t="s">
        <v>6027</v>
      </c>
      <c r="T588" s="22" t="s">
        <v>5915</v>
      </c>
      <c r="W588" s="45" t="s">
        <v>6094</v>
      </c>
      <c r="X588" s="45" t="s">
        <v>6095</v>
      </c>
      <c r="Y588" s="22"/>
      <c r="Z588" s="22"/>
    </row>
    <row r="589" spans="1:26" ht="28.5">
      <c r="A589" s="22">
        <v>588</v>
      </c>
      <c r="B589" s="22" t="s">
        <v>6028</v>
      </c>
      <c r="C589" s="22">
        <v>5552</v>
      </c>
      <c r="D589" s="22" t="s">
        <v>497</v>
      </c>
      <c r="E589" s="22" t="s">
        <v>506</v>
      </c>
      <c r="F589" s="31" t="s">
        <v>6029</v>
      </c>
      <c r="G589" s="22" t="s">
        <v>757</v>
      </c>
      <c r="H589" s="31" t="s">
        <v>5970</v>
      </c>
      <c r="I589" s="22" t="s">
        <v>1848</v>
      </c>
      <c r="J589" s="22" t="s">
        <v>6030</v>
      </c>
      <c r="K589" s="33" t="s">
        <v>99</v>
      </c>
      <c r="L589" s="22" t="s">
        <v>758</v>
      </c>
      <c r="M589" s="22">
        <v>1963</v>
      </c>
      <c r="N589" s="22">
        <v>1975</v>
      </c>
      <c r="O589" s="22" t="s">
        <v>782</v>
      </c>
      <c r="P589" s="22"/>
      <c r="Q589" s="22"/>
      <c r="R589" s="22"/>
      <c r="S589" s="31" t="s">
        <v>6032</v>
      </c>
      <c r="T589" s="22" t="s">
        <v>6031</v>
      </c>
      <c r="U589" s="31" t="s">
        <v>6583</v>
      </c>
      <c r="V589" s="22"/>
      <c r="W589" s="45" t="s">
        <v>6096</v>
      </c>
      <c r="X589" s="45" t="s">
        <v>6097</v>
      </c>
      <c r="Y589" s="22"/>
      <c r="Z589" s="22"/>
    </row>
    <row r="590" spans="1:26" ht="28.5">
      <c r="A590" s="22">
        <v>589</v>
      </c>
      <c r="B590" s="22" t="s">
        <v>6033</v>
      </c>
      <c r="C590" s="22"/>
      <c r="D590" s="22" t="s">
        <v>497</v>
      </c>
      <c r="E590" s="22" t="s">
        <v>517</v>
      </c>
      <c r="F590" s="31" t="s">
        <v>6034</v>
      </c>
      <c r="G590" s="22" t="s">
        <v>755</v>
      </c>
      <c r="H590" s="31" t="s">
        <v>5970</v>
      </c>
      <c r="I590" s="22" t="s">
        <v>1003</v>
      </c>
      <c r="J590" s="22" t="s">
        <v>6035</v>
      </c>
      <c r="K590" s="33" t="s">
        <v>170</v>
      </c>
      <c r="L590" s="22" t="s">
        <v>758</v>
      </c>
      <c r="M590" s="22">
        <v>1955</v>
      </c>
      <c r="N590" s="22">
        <v>1978</v>
      </c>
      <c r="O590" s="22" t="s">
        <v>758</v>
      </c>
      <c r="P590" s="22"/>
      <c r="Q590" s="22"/>
      <c r="R590" s="22"/>
      <c r="S590" s="31" t="s">
        <v>6032</v>
      </c>
      <c r="T590" s="22" t="s">
        <v>6036</v>
      </c>
      <c r="U590" s="31" t="s">
        <v>6584</v>
      </c>
      <c r="V590" s="22"/>
      <c r="W590" s="45" t="s">
        <v>6098</v>
      </c>
      <c r="X590" s="45" t="s">
        <v>6099</v>
      </c>
      <c r="Y590" s="22"/>
      <c r="Z590" s="22"/>
    </row>
    <row r="591" spans="1:26" ht="57">
      <c r="A591" s="22">
        <v>590</v>
      </c>
      <c r="B591" s="22" t="s">
        <v>6037</v>
      </c>
      <c r="C591" s="22"/>
      <c r="D591" s="22" t="s">
        <v>497</v>
      </c>
      <c r="E591" s="22" t="s">
        <v>512</v>
      </c>
      <c r="F591" s="31" t="s">
        <v>6038</v>
      </c>
      <c r="G591" s="22" t="s">
        <v>757</v>
      </c>
      <c r="H591" s="31" t="s">
        <v>6039</v>
      </c>
      <c r="I591" s="22" t="s">
        <v>1003</v>
      </c>
      <c r="J591" s="22" t="s">
        <v>6040</v>
      </c>
      <c r="K591" s="33" t="s">
        <v>137</v>
      </c>
      <c r="L591" s="22" t="s">
        <v>758</v>
      </c>
      <c r="M591" s="22">
        <v>1960</v>
      </c>
      <c r="N591" s="22">
        <v>1965</v>
      </c>
      <c r="O591" s="31" t="s">
        <v>3682</v>
      </c>
      <c r="P591" s="22"/>
      <c r="Q591" s="22"/>
      <c r="R591" s="22"/>
      <c r="S591" s="31" t="s">
        <v>6042</v>
      </c>
      <c r="T591" s="22" t="s">
        <v>6041</v>
      </c>
      <c r="U591" s="31" t="s">
        <v>6585</v>
      </c>
      <c r="V591" s="22"/>
      <c r="W591" s="45" t="s">
        <v>6100</v>
      </c>
      <c r="X591" s="45" t="s">
        <v>6101</v>
      </c>
      <c r="Y591" s="22"/>
      <c r="Z591" s="22"/>
    </row>
    <row r="592" spans="1:26" ht="28.5">
      <c r="A592" s="22">
        <v>591</v>
      </c>
      <c r="B592" s="38" t="s">
        <v>6043</v>
      </c>
      <c r="C592" s="22"/>
      <c r="D592" s="22" t="s">
        <v>497</v>
      </c>
      <c r="E592" s="22" t="s">
        <v>512</v>
      </c>
      <c r="F592" s="31" t="s">
        <v>6044</v>
      </c>
      <c r="G592" s="22" t="s">
        <v>755</v>
      </c>
      <c r="H592" s="31" t="s">
        <v>6045</v>
      </c>
      <c r="I592" s="22" t="s">
        <v>1003</v>
      </c>
      <c r="J592" s="22" t="s">
        <v>6046</v>
      </c>
      <c r="K592" s="33" t="s">
        <v>147</v>
      </c>
      <c r="L592" s="22" t="s">
        <v>782</v>
      </c>
      <c r="M592" s="22">
        <v>1930</v>
      </c>
      <c r="N592" s="22">
        <v>1939</v>
      </c>
      <c r="O592" s="22"/>
      <c r="P592" s="22"/>
      <c r="Q592" s="22"/>
      <c r="R592" s="22"/>
      <c r="S592" s="31" t="s">
        <v>6047</v>
      </c>
      <c r="T592" s="22" t="s">
        <v>6048</v>
      </c>
      <c r="U592" s="31" t="s">
        <v>6159</v>
      </c>
      <c r="V592" s="22"/>
      <c r="W592" s="45" t="s">
        <v>6102</v>
      </c>
      <c r="X592" s="45" t="s">
        <v>6103</v>
      </c>
      <c r="Y592" s="22"/>
      <c r="Z592" s="22"/>
    </row>
    <row r="593" spans="1:26" ht="42.75">
      <c r="A593" s="22">
        <v>592</v>
      </c>
      <c r="B593" s="22" t="s">
        <v>6049</v>
      </c>
      <c r="C593" s="22">
        <v>660</v>
      </c>
      <c r="D593" s="31" t="s">
        <v>499</v>
      </c>
      <c r="E593" s="22" t="s">
        <v>506</v>
      </c>
      <c r="F593" s="31" t="s">
        <v>6051</v>
      </c>
      <c r="G593" s="22" t="s">
        <v>755</v>
      </c>
      <c r="H593" s="31" t="s">
        <v>6052</v>
      </c>
      <c r="I593" s="22" t="s">
        <v>1003</v>
      </c>
      <c r="J593" s="22" t="s">
        <v>6053</v>
      </c>
      <c r="K593" s="33" t="s">
        <v>33</v>
      </c>
      <c r="L593" s="22" t="s">
        <v>782</v>
      </c>
      <c r="M593" s="22">
        <v>1950</v>
      </c>
      <c r="N593" s="22">
        <v>1955</v>
      </c>
      <c r="O593" s="31" t="s">
        <v>6054</v>
      </c>
      <c r="P593" s="22"/>
      <c r="Q593" s="22"/>
      <c r="R593" s="22"/>
      <c r="S593" s="31" t="s">
        <v>6058</v>
      </c>
      <c r="T593" s="31" t="s">
        <v>6057</v>
      </c>
      <c r="U593" s="31" t="s">
        <v>6160</v>
      </c>
      <c r="V593" s="22" t="s">
        <v>4827</v>
      </c>
      <c r="W593" s="45" t="s">
        <v>6104</v>
      </c>
      <c r="X593" s="45" t="s">
        <v>6105</v>
      </c>
      <c r="Y593" s="45" t="s">
        <v>6106</v>
      </c>
      <c r="Z593" s="45" t="s">
        <v>6107</v>
      </c>
    </row>
    <row r="594" spans="1:26" ht="99.75">
      <c r="A594" s="22">
        <v>593</v>
      </c>
      <c r="B594" s="22" t="s">
        <v>6050</v>
      </c>
      <c r="C594" s="22">
        <v>940</v>
      </c>
      <c r="D594" s="31" t="s">
        <v>499</v>
      </c>
      <c r="E594" s="22" t="s">
        <v>506</v>
      </c>
      <c r="F594" s="31" t="s">
        <v>6059</v>
      </c>
      <c r="G594" s="22" t="s">
        <v>755</v>
      </c>
      <c r="H594" s="31" t="s">
        <v>6077</v>
      </c>
      <c r="I594" s="22" t="s">
        <v>1003</v>
      </c>
      <c r="J594" s="22" t="s">
        <v>6060</v>
      </c>
      <c r="K594" s="33" t="s">
        <v>177</v>
      </c>
      <c r="L594" s="22" t="s">
        <v>758</v>
      </c>
      <c r="M594" s="22">
        <v>1960</v>
      </c>
      <c r="N594" s="22">
        <v>1970</v>
      </c>
      <c r="O594" s="22" t="s">
        <v>782</v>
      </c>
      <c r="P594" s="22">
        <v>240</v>
      </c>
      <c r="Q594" s="22" t="s">
        <v>6075</v>
      </c>
      <c r="R594" s="22" t="s">
        <v>1249</v>
      </c>
      <c r="S594" s="31" t="s">
        <v>6061</v>
      </c>
      <c r="T594" s="22"/>
      <c r="U594" s="31" t="s">
        <v>6567</v>
      </c>
      <c r="W594" s="45" t="s">
        <v>6108</v>
      </c>
      <c r="X594" s="45" t="s">
        <v>6109</v>
      </c>
      <c r="Y594" s="45" t="s">
        <v>6110</v>
      </c>
      <c r="Z594" s="22"/>
    </row>
    <row r="595" spans="1:26" ht="28.5">
      <c r="A595" s="22">
        <v>594</v>
      </c>
      <c r="B595" s="31" t="s">
        <v>6062</v>
      </c>
      <c r="C595" s="22">
        <v>5555</v>
      </c>
      <c r="D595" s="22" t="s">
        <v>497</v>
      </c>
      <c r="E595" s="22" t="s">
        <v>511</v>
      </c>
      <c r="F595" s="31" t="s">
        <v>6063</v>
      </c>
      <c r="G595" s="22" t="s">
        <v>757</v>
      </c>
      <c r="H595" s="31" t="s">
        <v>5970</v>
      </c>
      <c r="I595" s="22" t="s">
        <v>1666</v>
      </c>
      <c r="J595" s="22" t="s">
        <v>6064</v>
      </c>
      <c r="K595" s="33" t="s">
        <v>99</v>
      </c>
      <c r="L595" s="22" t="s">
        <v>782</v>
      </c>
      <c r="M595" s="22">
        <v>1960</v>
      </c>
      <c r="N595" s="22">
        <v>1960</v>
      </c>
      <c r="O595" s="22"/>
      <c r="P595" s="22"/>
      <c r="Q595" s="22"/>
      <c r="R595" s="22"/>
      <c r="S595" s="31" t="s">
        <v>6066</v>
      </c>
      <c r="T595" s="22" t="s">
        <v>6065</v>
      </c>
      <c r="U595" s="31"/>
      <c r="W595" s="45" t="s">
        <v>6111</v>
      </c>
      <c r="X595" s="22"/>
      <c r="Y595" s="22"/>
      <c r="Z595" s="22"/>
    </row>
    <row r="596" spans="1:26" ht="28.5">
      <c r="A596" s="22">
        <v>595</v>
      </c>
      <c r="B596" s="31" t="s">
        <v>6067</v>
      </c>
      <c r="C596" s="22">
        <v>95</v>
      </c>
      <c r="D596" s="31" t="s">
        <v>499</v>
      </c>
      <c r="E596" s="22" t="s">
        <v>510</v>
      </c>
      <c r="F596" s="31" t="s">
        <v>6068</v>
      </c>
      <c r="G596" s="22" t="s">
        <v>755</v>
      </c>
      <c r="H596" s="31" t="s">
        <v>6076</v>
      </c>
      <c r="I596" s="22" t="s">
        <v>1003</v>
      </c>
      <c r="J596" s="22" t="s">
        <v>6069</v>
      </c>
      <c r="K596" s="33" t="s">
        <v>36</v>
      </c>
      <c r="L596" s="22" t="s">
        <v>785</v>
      </c>
      <c r="M596" s="22">
        <v>1955</v>
      </c>
      <c r="N596" s="22">
        <v>1960</v>
      </c>
      <c r="O596" s="22"/>
      <c r="P596" s="22"/>
      <c r="Q596" s="22"/>
      <c r="R596" s="22"/>
      <c r="S596" s="31" t="s">
        <v>6070</v>
      </c>
      <c r="T596" s="22"/>
      <c r="U596" s="31" t="s">
        <v>6161</v>
      </c>
      <c r="V596" s="31" t="s">
        <v>6592</v>
      </c>
      <c r="W596" s="45" t="s">
        <v>6112</v>
      </c>
      <c r="X596" s="45" t="s">
        <v>6113</v>
      </c>
      <c r="Y596" s="22"/>
      <c r="Z596" s="22"/>
    </row>
    <row r="597" spans="1:26" ht="71.25">
      <c r="A597" s="22">
        <v>596</v>
      </c>
      <c r="B597" s="22" t="s">
        <v>6152</v>
      </c>
      <c r="C597" s="22" t="s">
        <v>6146</v>
      </c>
      <c r="D597" s="31" t="s">
        <v>499</v>
      </c>
      <c r="E597" s="22" t="s">
        <v>506</v>
      </c>
      <c r="F597" s="31" t="s">
        <v>6142</v>
      </c>
      <c r="G597" s="22" t="s">
        <v>755</v>
      </c>
      <c r="H597" s="31" t="s">
        <v>6143</v>
      </c>
      <c r="I597" s="22" t="s">
        <v>1003</v>
      </c>
      <c r="J597" s="22" t="s">
        <v>6145</v>
      </c>
      <c r="K597" s="33" t="s">
        <v>6136</v>
      </c>
      <c r="L597" s="22" t="s">
        <v>758</v>
      </c>
      <c r="M597" s="22">
        <v>1945</v>
      </c>
      <c r="N597" s="22">
        <v>1965</v>
      </c>
      <c r="O597" s="31" t="s">
        <v>6144</v>
      </c>
      <c r="P597" s="22"/>
      <c r="Q597" s="22"/>
      <c r="R597" s="22"/>
      <c r="S597" s="31" t="s">
        <v>6147</v>
      </c>
      <c r="T597" s="22"/>
      <c r="U597" s="31" t="s">
        <v>6213</v>
      </c>
      <c r="V597" s="22"/>
      <c r="W597" s="45" t="s">
        <v>6148</v>
      </c>
      <c r="X597" s="45" t="s">
        <v>6149</v>
      </c>
      <c r="Y597" s="45" t="s">
        <v>6150</v>
      </c>
      <c r="Z597" s="22"/>
    </row>
    <row r="598" spans="1:26" ht="57">
      <c r="A598" s="22">
        <v>597</v>
      </c>
      <c r="B598" s="22" t="s">
        <v>6153</v>
      </c>
      <c r="C598" s="22">
        <v>316</v>
      </c>
      <c r="D598" s="31" t="s">
        <v>499</v>
      </c>
      <c r="E598" s="22" t="s">
        <v>509</v>
      </c>
      <c r="F598" s="31" t="s">
        <v>6155</v>
      </c>
      <c r="G598" s="22" t="s">
        <v>757</v>
      </c>
      <c r="H598" s="31" t="s">
        <v>6156</v>
      </c>
      <c r="I598" s="22" t="s">
        <v>1003</v>
      </c>
      <c r="J598" s="22" t="s">
        <v>6154</v>
      </c>
      <c r="K598" s="33" t="s">
        <v>106</v>
      </c>
      <c r="L598" s="22" t="s">
        <v>782</v>
      </c>
      <c r="M598" s="22">
        <v>1965</v>
      </c>
      <c r="N598" s="22">
        <v>1969</v>
      </c>
      <c r="O598" s="31" t="s">
        <v>6671</v>
      </c>
      <c r="P598" s="22"/>
      <c r="Q598" s="22"/>
      <c r="R598" s="22"/>
      <c r="S598" s="31" t="s">
        <v>6158</v>
      </c>
      <c r="T598" s="22" t="s">
        <v>6157</v>
      </c>
      <c r="U598" s="31"/>
      <c r="V598" s="22"/>
      <c r="W598" s="45" t="s">
        <v>6151</v>
      </c>
      <c r="X598" s="22"/>
      <c r="Y598" s="22"/>
      <c r="Z598" s="22"/>
    </row>
    <row r="599" spans="1:26" ht="71.25">
      <c r="A599" s="22">
        <v>598</v>
      </c>
      <c r="B599" s="31" t="s">
        <v>6166</v>
      </c>
      <c r="C599" s="22">
        <v>478</v>
      </c>
      <c r="D599" s="31" t="s">
        <v>500</v>
      </c>
      <c r="E599" s="22" t="s">
        <v>506</v>
      </c>
      <c r="F599" s="31" t="s">
        <v>6162</v>
      </c>
      <c r="G599" s="22" t="s">
        <v>1089</v>
      </c>
      <c r="H599" s="31" t="s">
        <v>6163</v>
      </c>
      <c r="I599" s="22" t="s">
        <v>1666</v>
      </c>
      <c r="J599" s="22" t="s">
        <v>6164</v>
      </c>
      <c r="K599" s="33" t="s">
        <v>6115</v>
      </c>
      <c r="L599" s="22" t="s">
        <v>758</v>
      </c>
      <c r="M599" s="22">
        <v>1955</v>
      </c>
      <c r="N599" s="22">
        <v>1980</v>
      </c>
      <c r="O599" s="22" t="s">
        <v>758</v>
      </c>
      <c r="P599" s="22">
        <v>1</v>
      </c>
      <c r="Q599" s="22"/>
      <c r="R599" s="31" t="s">
        <v>6165</v>
      </c>
      <c r="S599" s="31" t="s">
        <v>6167</v>
      </c>
      <c r="T599" s="22"/>
      <c r="U599" s="31" t="s">
        <v>6571</v>
      </c>
      <c r="V599" s="22"/>
      <c r="W599" s="45" t="s">
        <v>6168</v>
      </c>
      <c r="X599" s="45" t="s">
        <v>6169</v>
      </c>
      <c r="Y599" s="22"/>
    </row>
    <row r="600" spans="1:26" ht="71.25">
      <c r="A600" s="22">
        <v>599</v>
      </c>
      <c r="B600" s="31" t="s">
        <v>6172</v>
      </c>
      <c r="C600" s="22">
        <v>448</v>
      </c>
      <c r="D600" s="31" t="s">
        <v>500</v>
      </c>
      <c r="E600" s="22" t="s">
        <v>510</v>
      </c>
      <c r="F600" s="31" t="s">
        <v>6173</v>
      </c>
      <c r="G600" s="22" t="s">
        <v>1089</v>
      </c>
      <c r="H600" s="31" t="s">
        <v>6191</v>
      </c>
      <c r="I600" s="22" t="s">
        <v>1666</v>
      </c>
      <c r="J600" s="22" t="s">
        <v>6174</v>
      </c>
      <c r="K600" s="33" t="s">
        <v>6115</v>
      </c>
      <c r="L600" s="22" t="s">
        <v>758</v>
      </c>
      <c r="M600" s="22">
        <v>1955</v>
      </c>
      <c r="N600" s="22">
        <v>1970</v>
      </c>
      <c r="O600" s="22" t="s">
        <v>758</v>
      </c>
      <c r="P600" s="22">
        <v>1</v>
      </c>
      <c r="Q600" s="22"/>
      <c r="R600" s="31" t="s">
        <v>6165</v>
      </c>
      <c r="S600" s="22"/>
      <c r="T600" s="22"/>
      <c r="U600" s="31"/>
      <c r="V600" s="22"/>
      <c r="W600" s="45" t="s">
        <v>6170</v>
      </c>
      <c r="X600" s="45" t="s">
        <v>6171</v>
      </c>
      <c r="Y600" s="22"/>
    </row>
    <row r="601" spans="1:26" ht="71.25">
      <c r="A601" s="22">
        <v>600</v>
      </c>
      <c r="B601" s="31" t="s">
        <v>6175</v>
      </c>
      <c r="C601" s="22">
        <v>1017</v>
      </c>
      <c r="D601" s="31" t="s">
        <v>500</v>
      </c>
      <c r="E601" s="22" t="s">
        <v>506</v>
      </c>
      <c r="F601" s="31" t="s">
        <v>6176</v>
      </c>
      <c r="G601" s="22" t="s">
        <v>755</v>
      </c>
      <c r="H601" s="31" t="s">
        <v>6192</v>
      </c>
      <c r="I601" s="22" t="s">
        <v>1666</v>
      </c>
      <c r="J601" s="22" t="s">
        <v>6177</v>
      </c>
      <c r="K601" s="33" t="s">
        <v>6115</v>
      </c>
      <c r="L601" s="22" t="s">
        <v>782</v>
      </c>
      <c r="M601" s="22">
        <v>1955</v>
      </c>
      <c r="N601" s="22">
        <v>1970</v>
      </c>
      <c r="O601" s="22"/>
      <c r="P601" s="22">
        <v>1</v>
      </c>
      <c r="Q601" s="22"/>
      <c r="R601" s="31" t="s">
        <v>6165</v>
      </c>
      <c r="S601" s="22"/>
      <c r="T601" s="22"/>
      <c r="U601" s="31"/>
      <c r="V601" s="22"/>
      <c r="W601" s="45" t="s">
        <v>6182</v>
      </c>
      <c r="X601" s="22"/>
      <c r="Y601" s="22"/>
    </row>
    <row r="602" spans="1:26" ht="71.25">
      <c r="A602" s="22">
        <v>601</v>
      </c>
      <c r="B602" s="31" t="s">
        <v>6178</v>
      </c>
      <c r="C602" s="22">
        <v>1014</v>
      </c>
      <c r="D602" s="31" t="s">
        <v>500</v>
      </c>
      <c r="E602" s="22" t="s">
        <v>506</v>
      </c>
      <c r="F602" s="31" t="s">
        <v>6179</v>
      </c>
      <c r="G602" s="22" t="s">
        <v>755</v>
      </c>
      <c r="H602" s="31" t="s">
        <v>1227</v>
      </c>
      <c r="I602" s="22" t="s">
        <v>1666</v>
      </c>
      <c r="J602" s="22" t="s">
        <v>6180</v>
      </c>
      <c r="K602" s="33" t="s">
        <v>6115</v>
      </c>
      <c r="L602" s="22" t="s">
        <v>782</v>
      </c>
      <c r="M602" s="22">
        <v>1955</v>
      </c>
      <c r="N602" s="22">
        <v>1970</v>
      </c>
      <c r="O602" s="22"/>
      <c r="P602" s="22">
        <v>0.75</v>
      </c>
      <c r="Q602" s="22"/>
      <c r="R602" s="31" t="s">
        <v>6165</v>
      </c>
      <c r="S602" s="22"/>
      <c r="T602" s="22"/>
      <c r="U602" s="31" t="s">
        <v>6565</v>
      </c>
      <c r="V602" s="22" t="s">
        <v>6181</v>
      </c>
      <c r="W602" s="45" t="s">
        <v>6183</v>
      </c>
      <c r="X602" s="22"/>
      <c r="Y602" s="22"/>
    </row>
    <row r="603" spans="1:26" ht="71.25">
      <c r="A603" s="22">
        <v>602</v>
      </c>
      <c r="B603" s="31" t="s">
        <v>6184</v>
      </c>
      <c r="C603" s="22">
        <v>472</v>
      </c>
      <c r="D603" s="31" t="s">
        <v>490</v>
      </c>
      <c r="E603" s="22" t="s">
        <v>508</v>
      </c>
      <c r="F603" s="31" t="s">
        <v>6190</v>
      </c>
      <c r="G603" s="22" t="s">
        <v>1089</v>
      </c>
      <c r="H603" s="31" t="s">
        <v>6188</v>
      </c>
      <c r="I603" s="22" t="s">
        <v>1666</v>
      </c>
      <c r="J603" s="22" t="s">
        <v>6189</v>
      </c>
      <c r="K603" s="33" t="s">
        <v>6115</v>
      </c>
      <c r="L603" s="22" t="s">
        <v>758</v>
      </c>
      <c r="M603" s="22">
        <v>1955</v>
      </c>
      <c r="N603" s="22">
        <v>1980</v>
      </c>
      <c r="O603" s="22" t="s">
        <v>6187</v>
      </c>
      <c r="P603" s="22">
        <v>0.25</v>
      </c>
      <c r="Q603" s="22"/>
      <c r="R603" s="31" t="s">
        <v>6165</v>
      </c>
      <c r="S603" s="22"/>
      <c r="T603" s="22"/>
      <c r="U603" s="31" t="s">
        <v>6568</v>
      </c>
      <c r="V603" s="31" t="s">
        <v>6185</v>
      </c>
      <c r="W603" s="45" t="s">
        <v>6186</v>
      </c>
      <c r="X603" s="22"/>
    </row>
    <row r="604" spans="1:26" ht="71.25">
      <c r="A604" s="22">
        <v>603</v>
      </c>
      <c r="B604" s="31" t="s">
        <v>6193</v>
      </c>
      <c r="C604" s="22">
        <v>1011</v>
      </c>
      <c r="D604" s="31" t="s">
        <v>501</v>
      </c>
      <c r="E604" s="22" t="s">
        <v>512</v>
      </c>
      <c r="F604" s="31" t="s">
        <v>6194</v>
      </c>
      <c r="G604" s="22" t="s">
        <v>755</v>
      </c>
      <c r="H604" s="31" t="s">
        <v>1227</v>
      </c>
      <c r="I604" s="22" t="s">
        <v>1666</v>
      </c>
      <c r="J604" s="22" t="s">
        <v>6195</v>
      </c>
      <c r="K604" s="33" t="s">
        <v>6115</v>
      </c>
      <c r="L604" s="22" t="s">
        <v>758</v>
      </c>
      <c r="M604" s="22">
        <v>1955</v>
      </c>
      <c r="N604" s="22">
        <v>1970</v>
      </c>
      <c r="O604" s="22"/>
      <c r="P604" s="22">
        <v>0.25</v>
      </c>
      <c r="Q604" s="22"/>
      <c r="R604" s="31" t="s">
        <v>6165</v>
      </c>
      <c r="S604" s="22"/>
      <c r="T604" s="22"/>
      <c r="U604" s="31"/>
      <c r="V604" s="22"/>
      <c r="W604" s="45" t="s">
        <v>6196</v>
      </c>
      <c r="X604" s="45" t="s">
        <v>6197</v>
      </c>
      <c r="Y604" s="22"/>
    </row>
    <row r="605" spans="1:26" ht="71.25">
      <c r="A605" s="22">
        <v>604</v>
      </c>
      <c r="B605" s="31" t="s">
        <v>6198</v>
      </c>
      <c r="C605" s="22">
        <v>4001</v>
      </c>
      <c r="D605" s="22" t="s">
        <v>489</v>
      </c>
      <c r="E605" s="22" t="s">
        <v>506</v>
      </c>
      <c r="F605" s="31" t="s">
        <v>6199</v>
      </c>
      <c r="G605" s="22" t="s">
        <v>757</v>
      </c>
      <c r="H605" s="31" t="s">
        <v>6200</v>
      </c>
      <c r="I605" s="22" t="s">
        <v>1666</v>
      </c>
      <c r="J605" s="22" t="s">
        <v>6201</v>
      </c>
      <c r="K605" s="33" t="s">
        <v>6115</v>
      </c>
      <c r="L605" s="22" t="s">
        <v>758</v>
      </c>
      <c r="M605" s="22">
        <v>1969</v>
      </c>
      <c r="N605" s="22">
        <v>1980</v>
      </c>
      <c r="O605" s="22" t="s">
        <v>758</v>
      </c>
      <c r="P605" s="22">
        <v>1</v>
      </c>
      <c r="Q605" s="22"/>
      <c r="R605" s="31" t="s">
        <v>6165</v>
      </c>
      <c r="S605" s="31" t="s">
        <v>6061</v>
      </c>
      <c r="T605" s="22"/>
      <c r="U605" s="31" t="s">
        <v>6564</v>
      </c>
      <c r="V605" s="22"/>
      <c r="W605" s="45" t="s">
        <v>6202</v>
      </c>
      <c r="X605" s="45" t="s">
        <v>6203</v>
      </c>
      <c r="Y605" s="22"/>
    </row>
    <row r="606" spans="1:26" ht="28.5">
      <c r="A606" s="22">
        <v>605</v>
      </c>
      <c r="B606" s="38" t="s">
        <v>6204</v>
      </c>
      <c r="C606" s="22"/>
      <c r="D606" s="31" t="s">
        <v>500</v>
      </c>
      <c r="E606" s="22" t="s">
        <v>506</v>
      </c>
      <c r="F606" s="31" t="s">
        <v>6205</v>
      </c>
      <c r="G606" s="22" t="s">
        <v>755</v>
      </c>
      <c r="H606" s="31" t="s">
        <v>1227</v>
      </c>
      <c r="I606" s="22" t="s">
        <v>1003</v>
      </c>
      <c r="J606" s="22" t="s">
        <v>6206</v>
      </c>
      <c r="K606" s="33" t="s">
        <v>6126</v>
      </c>
      <c r="L606" s="22" t="s">
        <v>785</v>
      </c>
      <c r="M606" s="22">
        <v>1948</v>
      </c>
      <c r="N606" s="22">
        <v>1955</v>
      </c>
      <c r="O606" s="22"/>
      <c r="P606" s="22"/>
      <c r="Q606" s="22"/>
      <c r="R606" s="22"/>
      <c r="S606" s="22" t="s">
        <v>5834</v>
      </c>
      <c r="T606" s="22" t="s">
        <v>6220</v>
      </c>
      <c r="U606" s="31"/>
      <c r="V606" s="22"/>
      <c r="W606" s="45" t="s">
        <v>6207</v>
      </c>
      <c r="X606" s="45" t="s">
        <v>6208</v>
      </c>
      <c r="Y606" s="22"/>
    </row>
    <row r="607" spans="1:26" ht="28.5">
      <c r="A607" s="22">
        <v>606</v>
      </c>
      <c r="B607" s="31" t="s">
        <v>6210</v>
      </c>
      <c r="C607" s="22">
        <v>1002</v>
      </c>
      <c r="D607" s="22" t="s">
        <v>489</v>
      </c>
      <c r="E607" s="22" t="s">
        <v>514</v>
      </c>
      <c r="F607" s="31" t="s">
        <v>6572</v>
      </c>
      <c r="G607" s="22" t="s">
        <v>756</v>
      </c>
      <c r="H607" s="31" t="s">
        <v>1227</v>
      </c>
      <c r="I607" s="22" t="s">
        <v>1666</v>
      </c>
      <c r="J607" s="22" t="s">
        <v>6211</v>
      </c>
      <c r="K607" s="33" t="s">
        <v>6124</v>
      </c>
      <c r="L607" s="22" t="s">
        <v>758</v>
      </c>
      <c r="M607" s="22">
        <v>1977</v>
      </c>
      <c r="N607" s="22">
        <v>2010</v>
      </c>
      <c r="O607" s="22" t="s">
        <v>758</v>
      </c>
      <c r="P607" s="22"/>
      <c r="Q607" s="22"/>
      <c r="R607" s="22"/>
      <c r="S607" s="31" t="s">
        <v>6209</v>
      </c>
      <c r="T607" s="22" t="s">
        <v>6534</v>
      </c>
      <c r="W607" s="45" t="s">
        <v>6212</v>
      </c>
    </row>
    <row r="608" spans="1:26" ht="71.25">
      <c r="A608" s="22">
        <v>607</v>
      </c>
      <c r="B608" s="31" t="s">
        <v>6217</v>
      </c>
      <c r="C608" s="22">
        <v>1001</v>
      </c>
      <c r="D608" s="22" t="s">
        <v>489</v>
      </c>
      <c r="E608" s="22" t="s">
        <v>506</v>
      </c>
      <c r="F608" s="31" t="s">
        <v>6218</v>
      </c>
      <c r="G608" s="22" t="s">
        <v>755</v>
      </c>
      <c r="H608" s="31" t="s">
        <v>1227</v>
      </c>
      <c r="I608" s="22" t="s">
        <v>1666</v>
      </c>
      <c r="J608" s="22" t="s">
        <v>6219</v>
      </c>
      <c r="K608" s="33" t="s">
        <v>6115</v>
      </c>
      <c r="L608" s="22" t="s">
        <v>758</v>
      </c>
      <c r="M608" s="22">
        <v>1950</v>
      </c>
      <c r="N608" s="22">
        <v>1970</v>
      </c>
      <c r="O608" s="22" t="s">
        <v>758</v>
      </c>
      <c r="P608" s="22">
        <v>0.75</v>
      </c>
      <c r="Q608" s="22"/>
      <c r="R608" s="31" t="s">
        <v>6165</v>
      </c>
      <c r="S608" s="22"/>
      <c r="T608" s="22" t="s">
        <v>6221</v>
      </c>
      <c r="U608" s="31" t="s">
        <v>6569</v>
      </c>
      <c r="V608" s="22"/>
      <c r="W608" s="45" t="s">
        <v>6222</v>
      </c>
      <c r="X608" s="45" t="s">
        <v>6223</v>
      </c>
    </row>
    <row r="609" spans="1:25" ht="71.25">
      <c r="A609" s="22">
        <v>608</v>
      </c>
      <c r="B609" s="31" t="s">
        <v>6224</v>
      </c>
      <c r="C609" s="22">
        <v>1021</v>
      </c>
      <c r="D609" s="22" t="s">
        <v>489</v>
      </c>
      <c r="E609" s="22" t="s">
        <v>506</v>
      </c>
      <c r="F609" s="31" t="s">
        <v>6225</v>
      </c>
      <c r="G609" s="22" t="s">
        <v>755</v>
      </c>
      <c r="H609" s="31" t="s">
        <v>1227</v>
      </c>
      <c r="I609" s="22" t="s">
        <v>1666</v>
      </c>
      <c r="J609" s="22" t="s">
        <v>6226</v>
      </c>
      <c r="K609" s="33" t="s">
        <v>6115</v>
      </c>
      <c r="L609" s="22" t="s">
        <v>782</v>
      </c>
      <c r="M609" s="22">
        <v>1955</v>
      </c>
      <c r="N609" s="22">
        <v>1970</v>
      </c>
      <c r="O609" s="22" t="s">
        <v>758</v>
      </c>
      <c r="P609" s="22">
        <v>1</v>
      </c>
      <c r="Q609" s="22"/>
      <c r="R609" s="31" t="s">
        <v>6165</v>
      </c>
      <c r="S609" s="22"/>
      <c r="T609" s="22"/>
      <c r="U609" s="31" t="s">
        <v>6563</v>
      </c>
      <c r="V609" s="31" t="s">
        <v>6467</v>
      </c>
      <c r="W609" s="45" t="s">
        <v>6227</v>
      </c>
      <c r="X609" s="45" t="s">
        <v>6228</v>
      </c>
      <c r="Y609" s="45" t="s">
        <v>6418</v>
      </c>
    </row>
    <row r="610" spans="1:25" ht="71.25">
      <c r="A610" s="22">
        <v>609</v>
      </c>
      <c r="B610" s="31" t="s">
        <v>6229</v>
      </c>
      <c r="C610" s="22">
        <v>561</v>
      </c>
      <c r="D610" s="22" t="s">
        <v>493</v>
      </c>
      <c r="E610" s="22" t="s">
        <v>508</v>
      </c>
      <c r="F610" s="31" t="s">
        <v>6230</v>
      </c>
      <c r="G610" s="22" t="s">
        <v>1089</v>
      </c>
      <c r="H610" s="31" t="s">
        <v>6231</v>
      </c>
      <c r="I610" s="22" t="s">
        <v>1666</v>
      </c>
      <c r="J610" s="22" t="s">
        <v>1719</v>
      </c>
      <c r="K610" s="33" t="s">
        <v>6115</v>
      </c>
      <c r="L610" s="22" t="s">
        <v>758</v>
      </c>
      <c r="M610" s="22">
        <v>1955</v>
      </c>
      <c r="N610" s="22">
        <v>1970</v>
      </c>
      <c r="O610" s="22" t="s">
        <v>6187</v>
      </c>
      <c r="P610" s="22">
        <v>0.25</v>
      </c>
      <c r="Q610" s="22"/>
      <c r="R610" s="31" t="s">
        <v>6165</v>
      </c>
      <c r="S610" s="22"/>
      <c r="T610" s="22"/>
      <c r="U610" s="31" t="s">
        <v>6562</v>
      </c>
      <c r="V610" s="22"/>
      <c r="W610" s="45" t="s">
        <v>6236</v>
      </c>
      <c r="X610" s="22"/>
      <c r="Y610" s="22"/>
    </row>
    <row r="611" spans="1:25" ht="71.25">
      <c r="A611" s="22">
        <v>610</v>
      </c>
      <c r="B611" s="31" t="s">
        <v>6232</v>
      </c>
      <c r="C611" s="22">
        <v>504</v>
      </c>
      <c r="D611" s="22" t="s">
        <v>493</v>
      </c>
      <c r="E611" s="22" t="s">
        <v>510</v>
      </c>
      <c r="F611" s="31" t="s">
        <v>6233</v>
      </c>
      <c r="G611" s="22" t="s">
        <v>1089</v>
      </c>
      <c r="H611" s="31" t="s">
        <v>6234</v>
      </c>
      <c r="I611" s="22" t="s">
        <v>1666</v>
      </c>
      <c r="J611" s="22" t="s">
        <v>6235</v>
      </c>
      <c r="K611" s="33" t="s">
        <v>6115</v>
      </c>
      <c r="L611" s="22" t="s">
        <v>758</v>
      </c>
      <c r="M611" s="22">
        <v>1955</v>
      </c>
      <c r="N611" s="22">
        <v>1970</v>
      </c>
      <c r="O611" s="22"/>
      <c r="P611" s="22">
        <v>0.25</v>
      </c>
      <c r="Q611" s="22"/>
      <c r="R611" s="31" t="s">
        <v>6165</v>
      </c>
      <c r="S611" s="22"/>
      <c r="T611" s="22" t="s">
        <v>6537</v>
      </c>
      <c r="U611" s="31" t="s">
        <v>6561</v>
      </c>
      <c r="V611" s="22"/>
      <c r="W611" s="45" t="s">
        <v>6237</v>
      </c>
      <c r="X611" s="22"/>
      <c r="Y611" s="22"/>
    </row>
    <row r="612" spans="1:25" ht="71.25">
      <c r="A612" s="22">
        <v>611</v>
      </c>
      <c r="B612" s="31" t="s">
        <v>6238</v>
      </c>
      <c r="C612" s="22">
        <v>1007</v>
      </c>
      <c r="D612" s="22" t="s">
        <v>493</v>
      </c>
      <c r="E612" s="22" t="s">
        <v>511</v>
      </c>
      <c r="F612" s="31" t="s">
        <v>6239</v>
      </c>
      <c r="G612" s="22" t="s">
        <v>755</v>
      </c>
      <c r="H612" s="31" t="s">
        <v>6240</v>
      </c>
      <c r="I612" s="22" t="s">
        <v>1666</v>
      </c>
      <c r="J612" s="22" t="s">
        <v>6241</v>
      </c>
      <c r="K612" s="33" t="s">
        <v>6115</v>
      </c>
      <c r="L612" s="22" t="s">
        <v>758</v>
      </c>
      <c r="M612" s="22">
        <v>1955</v>
      </c>
      <c r="N612" s="22">
        <v>1970</v>
      </c>
      <c r="O612" s="22" t="s">
        <v>785</v>
      </c>
      <c r="P612" s="22">
        <v>0.75</v>
      </c>
      <c r="R612" s="31" t="s">
        <v>6165</v>
      </c>
      <c r="W612" s="45" t="s">
        <v>6242</v>
      </c>
    </row>
    <row r="613" spans="1:25" ht="71.25">
      <c r="A613" s="22">
        <v>612</v>
      </c>
      <c r="B613" s="31" t="s">
        <v>6243</v>
      </c>
      <c r="C613" s="22">
        <v>1058</v>
      </c>
      <c r="D613" s="22" t="s">
        <v>492</v>
      </c>
      <c r="E613" s="22" t="s">
        <v>517</v>
      </c>
      <c r="F613" s="31" t="s">
        <v>6244</v>
      </c>
      <c r="G613" s="22" t="s">
        <v>755</v>
      </c>
      <c r="H613" s="31" t="s">
        <v>6246</v>
      </c>
      <c r="I613" s="22" t="s">
        <v>1666</v>
      </c>
      <c r="J613" s="22" t="s">
        <v>6245</v>
      </c>
      <c r="K613" s="33" t="s">
        <v>6115</v>
      </c>
      <c r="L613" s="22" t="s">
        <v>758</v>
      </c>
      <c r="M613" s="22">
        <v>1955</v>
      </c>
      <c r="N613" s="22">
        <v>1970</v>
      </c>
      <c r="O613" s="22"/>
      <c r="P613" s="22">
        <v>1</v>
      </c>
      <c r="Q613" s="22"/>
      <c r="R613" s="31" t="s">
        <v>6165</v>
      </c>
      <c r="S613" s="22"/>
      <c r="T613" s="22" t="s">
        <v>6541</v>
      </c>
      <c r="U613" s="31"/>
      <c r="V613" s="22"/>
      <c r="W613" s="45" t="s">
        <v>6247</v>
      </c>
      <c r="X613" s="45" t="s">
        <v>6248</v>
      </c>
      <c r="Y613" s="45" t="s">
        <v>6249</v>
      </c>
    </row>
    <row r="614" spans="1:25" ht="71.25">
      <c r="A614" s="22">
        <v>613</v>
      </c>
      <c r="B614" s="31" t="s">
        <v>6250</v>
      </c>
      <c r="C614" s="22">
        <v>1057</v>
      </c>
      <c r="D614" s="22" t="s">
        <v>492</v>
      </c>
      <c r="E614" s="22" t="s">
        <v>492</v>
      </c>
      <c r="F614" s="31" t="s">
        <v>6251</v>
      </c>
      <c r="G614" s="22" t="s">
        <v>755</v>
      </c>
      <c r="H614" s="31" t="s">
        <v>6252</v>
      </c>
      <c r="I614" s="22" t="s">
        <v>1666</v>
      </c>
      <c r="J614" s="22" t="s">
        <v>6256</v>
      </c>
      <c r="K614" s="33" t="s">
        <v>6115</v>
      </c>
      <c r="L614" s="22" t="s">
        <v>1024</v>
      </c>
      <c r="M614" s="22">
        <v>1955</v>
      </c>
      <c r="N614" s="22">
        <v>1970</v>
      </c>
      <c r="O614" s="22" t="s">
        <v>782</v>
      </c>
      <c r="P614" s="22">
        <v>0.25</v>
      </c>
      <c r="Q614" s="22"/>
      <c r="R614" s="31" t="s">
        <v>6165</v>
      </c>
      <c r="S614" s="22"/>
      <c r="T614" s="22" t="s">
        <v>6257</v>
      </c>
      <c r="U614" s="31"/>
      <c r="V614" s="22" t="s">
        <v>6253</v>
      </c>
      <c r="W614" s="45" t="s">
        <v>6254</v>
      </c>
      <c r="X614" s="45" t="s">
        <v>6255</v>
      </c>
      <c r="Y614" s="22"/>
    </row>
    <row r="615" spans="1:25" ht="71.25">
      <c r="A615" s="22">
        <v>614</v>
      </c>
      <c r="B615" s="31" t="s">
        <v>6258</v>
      </c>
      <c r="C615" s="22">
        <v>1059</v>
      </c>
      <c r="D615" s="22" t="s">
        <v>492</v>
      </c>
      <c r="E615" s="22" t="s">
        <v>492</v>
      </c>
      <c r="F615" s="31" t="s">
        <v>6260</v>
      </c>
      <c r="G615" s="22" t="s">
        <v>755</v>
      </c>
      <c r="H615" s="31" t="s">
        <v>6261</v>
      </c>
      <c r="I615" s="22" t="s">
        <v>1666</v>
      </c>
      <c r="J615" s="22" t="s">
        <v>6262</v>
      </c>
      <c r="K615" s="33" t="s">
        <v>6115</v>
      </c>
      <c r="L615" s="22" t="s">
        <v>782</v>
      </c>
      <c r="M615" s="22">
        <v>1955</v>
      </c>
      <c r="N615" s="22">
        <v>1970</v>
      </c>
      <c r="O615" s="22" t="s">
        <v>758</v>
      </c>
      <c r="P615" s="22">
        <v>0.5</v>
      </c>
      <c r="Q615" s="22"/>
      <c r="R615" s="31" t="s">
        <v>6165</v>
      </c>
      <c r="S615" s="22"/>
      <c r="T615" s="22"/>
      <c r="U615" s="31"/>
      <c r="V615" s="22" t="s">
        <v>6259</v>
      </c>
      <c r="W615" s="45" t="s">
        <v>6263</v>
      </c>
      <c r="X615" s="45" t="s">
        <v>6264</v>
      </c>
      <c r="Y615" s="22"/>
    </row>
    <row r="616" spans="1:25" ht="71.25">
      <c r="A616" s="22">
        <v>615</v>
      </c>
      <c r="B616" s="31" t="s">
        <v>6265</v>
      </c>
      <c r="C616" s="22">
        <v>1052</v>
      </c>
      <c r="D616" s="22" t="s">
        <v>493</v>
      </c>
      <c r="E616" s="22" t="s">
        <v>512</v>
      </c>
      <c r="F616" s="31" t="s">
        <v>6266</v>
      </c>
      <c r="G616" s="22" t="s">
        <v>755</v>
      </c>
      <c r="H616" s="31" t="s">
        <v>6267</v>
      </c>
      <c r="I616" s="22" t="s">
        <v>1666</v>
      </c>
      <c r="J616" s="22" t="s">
        <v>6268</v>
      </c>
      <c r="K616" s="33" t="s">
        <v>6115</v>
      </c>
      <c r="L616" s="22" t="s">
        <v>1024</v>
      </c>
      <c r="M616" s="22">
        <v>1955</v>
      </c>
      <c r="N616" s="22">
        <v>1970</v>
      </c>
      <c r="O616" s="22" t="s">
        <v>758</v>
      </c>
      <c r="P616" s="22">
        <v>0.5</v>
      </c>
      <c r="Q616" s="22"/>
      <c r="R616" s="31" t="s">
        <v>6165</v>
      </c>
      <c r="S616" s="22"/>
      <c r="T616" s="22" t="s">
        <v>6538</v>
      </c>
      <c r="U616" s="31" t="s">
        <v>6270</v>
      </c>
      <c r="V616" s="31" t="s">
        <v>6269</v>
      </c>
      <c r="W616" s="45" t="s">
        <v>6277</v>
      </c>
      <c r="X616" s="45" t="s">
        <v>6278</v>
      </c>
      <c r="Y616" s="45" t="s">
        <v>6279</v>
      </c>
    </row>
    <row r="617" spans="1:25" ht="71.25">
      <c r="A617" s="22">
        <v>616</v>
      </c>
      <c r="B617" s="31" t="s">
        <v>6272</v>
      </c>
      <c r="C617" s="22">
        <v>1006</v>
      </c>
      <c r="D617" s="22" t="s">
        <v>502</v>
      </c>
      <c r="E617" s="22" t="s">
        <v>519</v>
      </c>
      <c r="F617" s="31" t="s">
        <v>6273</v>
      </c>
      <c r="G617" s="22" t="s">
        <v>755</v>
      </c>
      <c r="H617" s="31" t="s">
        <v>6275</v>
      </c>
      <c r="I617" s="22" t="s">
        <v>1666</v>
      </c>
      <c r="J617" s="22" t="s">
        <v>1334</v>
      </c>
      <c r="K617" s="33" t="s">
        <v>6115</v>
      </c>
      <c r="L617" s="22" t="s">
        <v>758</v>
      </c>
      <c r="M617" s="22">
        <v>1955</v>
      </c>
      <c r="N617" s="22">
        <v>1970</v>
      </c>
      <c r="O617" s="22" t="s">
        <v>758</v>
      </c>
      <c r="P617" s="22">
        <v>0.75</v>
      </c>
      <c r="Q617" s="22"/>
      <c r="R617" s="31" t="s">
        <v>6165</v>
      </c>
      <c r="S617" s="22"/>
      <c r="T617" s="22"/>
      <c r="U617" s="31"/>
      <c r="V617" s="22"/>
      <c r="W617" s="45" t="s">
        <v>6280</v>
      </c>
      <c r="X617" s="22"/>
      <c r="Y617" s="22"/>
    </row>
    <row r="618" spans="1:25" ht="71.25">
      <c r="A618" s="22">
        <v>617</v>
      </c>
      <c r="B618" s="31" t="s">
        <v>6271</v>
      </c>
      <c r="C618" s="22">
        <v>311</v>
      </c>
      <c r="D618" s="22" t="s">
        <v>502</v>
      </c>
      <c r="E618" s="22" t="s">
        <v>522</v>
      </c>
      <c r="F618" s="31" t="s">
        <v>6274</v>
      </c>
      <c r="G618" s="22" t="s">
        <v>1089</v>
      </c>
      <c r="H618" s="31" t="s">
        <v>6276</v>
      </c>
      <c r="I618" s="22" t="s">
        <v>1666</v>
      </c>
      <c r="J618" s="22" t="s">
        <v>1334</v>
      </c>
      <c r="K618" s="33" t="s">
        <v>6115</v>
      </c>
      <c r="L618" s="22" t="s">
        <v>758</v>
      </c>
      <c r="M618" s="22">
        <v>1955</v>
      </c>
      <c r="N618" s="22">
        <v>1970</v>
      </c>
      <c r="O618" s="22"/>
      <c r="P618" s="22">
        <v>0.25</v>
      </c>
      <c r="Q618" s="22"/>
      <c r="R618" s="31" t="s">
        <v>6165</v>
      </c>
      <c r="S618" s="22"/>
      <c r="T618" s="22"/>
      <c r="U618" s="31"/>
      <c r="V618" s="22"/>
      <c r="W618" s="45" t="s">
        <v>6281</v>
      </c>
      <c r="X618" s="22"/>
      <c r="Y618" s="22"/>
    </row>
    <row r="619" spans="1:25" ht="42.75">
      <c r="A619" s="22">
        <v>618</v>
      </c>
      <c r="B619" s="32" t="s">
        <v>6551</v>
      </c>
      <c r="C619" s="1"/>
      <c r="D619" s="22" t="s">
        <v>493</v>
      </c>
      <c r="E619" s="22" t="s">
        <v>522</v>
      </c>
      <c r="F619" s="31" t="s">
        <v>6283</v>
      </c>
      <c r="G619" s="22" t="s">
        <v>1089</v>
      </c>
      <c r="H619" s="31" t="s">
        <v>6284</v>
      </c>
      <c r="I619" s="22" t="s">
        <v>1666</v>
      </c>
      <c r="J619" s="22" t="s">
        <v>6282</v>
      </c>
      <c r="K619" s="33" t="s">
        <v>6548</v>
      </c>
      <c r="L619" s="22" t="s">
        <v>782</v>
      </c>
      <c r="M619" s="22">
        <v>1955</v>
      </c>
      <c r="N619" s="22">
        <v>1960</v>
      </c>
      <c r="P619" s="22">
        <v>2.5</v>
      </c>
      <c r="T619" s="22" t="s">
        <v>6552</v>
      </c>
      <c r="U619" s="6" t="s">
        <v>6570</v>
      </c>
      <c r="W619" s="45" t="s">
        <v>6285</v>
      </c>
    </row>
    <row r="620" spans="1:25" ht="71.25">
      <c r="A620" s="22">
        <v>619</v>
      </c>
      <c r="B620" s="31" t="s">
        <v>6286</v>
      </c>
      <c r="C620" s="22">
        <v>1065</v>
      </c>
      <c r="D620" s="22" t="s">
        <v>492</v>
      </c>
      <c r="E620" s="22" t="s">
        <v>506</v>
      </c>
      <c r="F620" s="31" t="s">
        <v>6287</v>
      </c>
      <c r="G620" s="22" t="s">
        <v>755</v>
      </c>
      <c r="H620" s="31" t="s">
        <v>6288</v>
      </c>
      <c r="I620" s="22" t="s">
        <v>1666</v>
      </c>
      <c r="J620" s="22" t="s">
        <v>6289</v>
      </c>
      <c r="K620" s="33" t="s">
        <v>6115</v>
      </c>
      <c r="L620" s="22" t="s">
        <v>782</v>
      </c>
      <c r="M620" s="22">
        <v>1955</v>
      </c>
      <c r="N620" s="22">
        <v>1970</v>
      </c>
      <c r="O620" s="22" t="s">
        <v>758</v>
      </c>
      <c r="P620" s="22">
        <v>0.25</v>
      </c>
      <c r="Q620" s="22"/>
      <c r="R620" s="31" t="s">
        <v>6165</v>
      </c>
      <c r="S620" s="22"/>
      <c r="T620" s="22" t="s">
        <v>6257</v>
      </c>
      <c r="U620" s="31"/>
      <c r="V620" s="22" t="s">
        <v>6290</v>
      </c>
      <c r="W620" s="45" t="s">
        <v>6291</v>
      </c>
    </row>
    <row r="621" spans="1:25" ht="71.25">
      <c r="A621" s="22">
        <v>620</v>
      </c>
      <c r="B621" s="31" t="s">
        <v>6292</v>
      </c>
      <c r="C621" s="22">
        <v>1053</v>
      </c>
      <c r="D621" s="22" t="s">
        <v>492</v>
      </c>
      <c r="E621" s="22" t="s">
        <v>492</v>
      </c>
      <c r="F621" s="31" t="s">
        <v>6293</v>
      </c>
      <c r="G621" s="22" t="s">
        <v>755</v>
      </c>
      <c r="H621" s="31" t="s">
        <v>6294</v>
      </c>
      <c r="I621" s="22" t="s">
        <v>1666</v>
      </c>
      <c r="J621" s="22" t="s">
        <v>6298</v>
      </c>
      <c r="K621" s="33" t="s">
        <v>6115</v>
      </c>
      <c r="L621" s="22" t="s">
        <v>758</v>
      </c>
      <c r="M621" s="22">
        <v>1955</v>
      </c>
      <c r="N621" s="22">
        <v>1970</v>
      </c>
      <c r="O621" s="22"/>
      <c r="P621" s="22">
        <v>0</v>
      </c>
      <c r="Q621" s="22"/>
      <c r="R621" s="31" t="s">
        <v>6165</v>
      </c>
      <c r="S621" s="22"/>
      <c r="T621" s="22"/>
      <c r="U621" s="31"/>
      <c r="V621" s="22"/>
      <c r="W621" s="45" t="s">
        <v>6295</v>
      </c>
    </row>
    <row r="622" spans="1:25" ht="71.25">
      <c r="A622" s="22">
        <v>621</v>
      </c>
      <c r="B622" s="31" t="s">
        <v>6300</v>
      </c>
      <c r="C622" s="22">
        <v>510</v>
      </c>
      <c r="D622" s="22" t="s">
        <v>492</v>
      </c>
      <c r="E622" s="22" t="s">
        <v>492</v>
      </c>
      <c r="F622" s="31" t="s">
        <v>6296</v>
      </c>
      <c r="G622" s="22" t="s">
        <v>1089</v>
      </c>
      <c r="H622" s="31" t="s">
        <v>6297</v>
      </c>
      <c r="I622" s="22" t="s">
        <v>1666</v>
      </c>
      <c r="J622" s="22" t="s">
        <v>6299</v>
      </c>
      <c r="K622" s="33" t="s">
        <v>6115</v>
      </c>
      <c r="L622" s="22" t="s">
        <v>758</v>
      </c>
      <c r="M622" s="22">
        <v>1955</v>
      </c>
      <c r="N622" s="22">
        <v>1980</v>
      </c>
      <c r="O622" s="22"/>
      <c r="P622" s="22">
        <v>0.37</v>
      </c>
      <c r="Q622" s="22"/>
      <c r="R622" s="31" t="s">
        <v>6165</v>
      </c>
      <c r="S622" s="22"/>
      <c r="T622" s="22"/>
      <c r="U622" s="31" t="s">
        <v>6582</v>
      </c>
      <c r="V622" s="22"/>
      <c r="W622" s="45" t="s">
        <v>6301</v>
      </c>
      <c r="X622" s="22"/>
    </row>
    <row r="623" spans="1:25" ht="71.25">
      <c r="A623" s="22">
        <v>622</v>
      </c>
      <c r="B623" s="31" t="s">
        <v>6302</v>
      </c>
      <c r="C623" s="22">
        <v>500</v>
      </c>
      <c r="D623" s="22" t="s">
        <v>493</v>
      </c>
      <c r="E623" s="22" t="s">
        <v>511</v>
      </c>
      <c r="F623" s="31" t="s">
        <v>6303</v>
      </c>
      <c r="G623" s="22" t="s">
        <v>1089</v>
      </c>
      <c r="H623" s="31" t="s">
        <v>6304</v>
      </c>
      <c r="I623" s="22" t="s">
        <v>1666</v>
      </c>
      <c r="J623" s="22" t="s">
        <v>6305</v>
      </c>
      <c r="K623" s="33" t="s">
        <v>6115</v>
      </c>
      <c r="L623" s="22" t="s">
        <v>785</v>
      </c>
      <c r="M623" s="22">
        <v>1955</v>
      </c>
      <c r="N623" s="22">
        <v>1970</v>
      </c>
      <c r="O623" s="22"/>
      <c r="P623" s="22">
        <v>0.12</v>
      </c>
      <c r="Q623" s="22"/>
      <c r="R623" s="31" t="s">
        <v>6165</v>
      </c>
      <c r="S623" s="22"/>
      <c r="T623" s="22" t="s">
        <v>6541</v>
      </c>
      <c r="U623" s="31" t="s">
        <v>6685</v>
      </c>
      <c r="V623" s="31" t="s">
        <v>6684</v>
      </c>
      <c r="W623" s="45" t="s">
        <v>6306</v>
      </c>
      <c r="X623" s="45" t="s">
        <v>6307</v>
      </c>
    </row>
    <row r="624" spans="1:25" ht="57">
      <c r="A624" s="22">
        <v>623</v>
      </c>
      <c r="B624" s="38" t="s">
        <v>6543</v>
      </c>
      <c r="C624" s="22"/>
      <c r="D624" s="22" t="s">
        <v>493</v>
      </c>
      <c r="E624" s="22" t="s">
        <v>512</v>
      </c>
      <c r="F624" s="31" t="s">
        <v>6309</v>
      </c>
      <c r="G624" s="22" t="s">
        <v>1089</v>
      </c>
      <c r="H624" s="31" t="s">
        <v>6310</v>
      </c>
      <c r="I624" s="22" t="s">
        <v>1666</v>
      </c>
      <c r="J624" s="22" t="s">
        <v>6313</v>
      </c>
      <c r="K624" s="33" t="s">
        <v>6545</v>
      </c>
      <c r="L624" s="22" t="s">
        <v>758</v>
      </c>
      <c r="M624" s="22">
        <v>1952</v>
      </c>
      <c r="N624" s="22">
        <v>1960</v>
      </c>
      <c r="O624" s="22"/>
      <c r="P624" s="22">
        <v>0</v>
      </c>
      <c r="Q624" s="51">
        <v>46023</v>
      </c>
      <c r="R624" s="31" t="s">
        <v>6311</v>
      </c>
      <c r="S624" s="22" t="s">
        <v>6312</v>
      </c>
      <c r="T624" s="22" t="s">
        <v>6544</v>
      </c>
      <c r="U624" s="31" t="s">
        <v>6547</v>
      </c>
      <c r="V624" s="22"/>
      <c r="W624" s="45" t="s">
        <v>6324</v>
      </c>
      <c r="X624" s="45" t="s">
        <v>6325</v>
      </c>
    </row>
    <row r="625" spans="1:24" ht="71.25">
      <c r="A625" s="22">
        <v>624</v>
      </c>
      <c r="B625" s="31" t="s">
        <v>6314</v>
      </c>
      <c r="C625" s="22">
        <v>315</v>
      </c>
      <c r="D625" s="22" t="s">
        <v>493</v>
      </c>
      <c r="E625" s="22" t="s">
        <v>511</v>
      </c>
      <c r="F625" s="31" t="s">
        <v>6573</v>
      </c>
      <c r="G625" s="22" t="s">
        <v>1089</v>
      </c>
      <c r="H625" s="31" t="s">
        <v>6315</v>
      </c>
      <c r="I625" s="22" t="s">
        <v>1666</v>
      </c>
      <c r="J625" s="22" t="s">
        <v>6316</v>
      </c>
      <c r="K625" s="33" t="s">
        <v>6115</v>
      </c>
      <c r="L625" s="22" t="s">
        <v>758</v>
      </c>
      <c r="M625" s="22">
        <v>1955</v>
      </c>
      <c r="N625" s="22">
        <v>1970</v>
      </c>
      <c r="O625" s="22"/>
      <c r="P625" s="22">
        <v>0.24</v>
      </c>
      <c r="Q625" s="22"/>
      <c r="R625" s="31" t="s">
        <v>6165</v>
      </c>
      <c r="S625" s="22"/>
      <c r="T625" s="22"/>
      <c r="U625" s="31"/>
      <c r="V625" s="22"/>
      <c r="W625" s="45" t="s">
        <v>6326</v>
      </c>
    </row>
    <row r="626" spans="1:24" ht="71.25">
      <c r="A626" s="22">
        <v>625</v>
      </c>
      <c r="B626" s="31" t="s">
        <v>6317</v>
      </c>
      <c r="C626" s="22">
        <v>560</v>
      </c>
      <c r="D626" s="22" t="s">
        <v>492</v>
      </c>
      <c r="E626" s="22" t="s">
        <v>492</v>
      </c>
      <c r="F626" s="31" t="s">
        <v>6318</v>
      </c>
      <c r="G626" s="22" t="s">
        <v>1089</v>
      </c>
      <c r="H626" s="31" t="s">
        <v>6319</v>
      </c>
      <c r="I626" s="22" t="s">
        <v>1666</v>
      </c>
      <c r="J626" s="22" t="s">
        <v>6320</v>
      </c>
      <c r="K626" s="33" t="s">
        <v>6115</v>
      </c>
      <c r="L626" s="22" t="s">
        <v>782</v>
      </c>
      <c r="M626" s="22">
        <v>1955</v>
      </c>
      <c r="N626" s="22">
        <v>1970</v>
      </c>
      <c r="O626" s="22"/>
      <c r="P626" s="22">
        <v>0</v>
      </c>
      <c r="Q626" s="22"/>
      <c r="R626" s="31" t="s">
        <v>6165</v>
      </c>
      <c r="S626" s="22"/>
      <c r="T626" s="22"/>
      <c r="U626" s="31"/>
      <c r="V626" s="22"/>
      <c r="W626" s="45" t="s">
        <v>6327</v>
      </c>
    </row>
    <row r="627" spans="1:24" ht="71.25">
      <c r="A627" s="22">
        <v>626</v>
      </c>
      <c r="B627" s="31" t="s">
        <v>6321</v>
      </c>
      <c r="C627" s="22">
        <v>456</v>
      </c>
      <c r="D627" s="22" t="s">
        <v>492</v>
      </c>
      <c r="E627" s="22" t="s">
        <v>492</v>
      </c>
      <c r="F627" s="31" t="s">
        <v>6331</v>
      </c>
      <c r="G627" s="22" t="s">
        <v>1089</v>
      </c>
      <c r="H627" s="31" t="s">
        <v>6322</v>
      </c>
      <c r="I627" s="22" t="s">
        <v>1666</v>
      </c>
      <c r="J627" s="22" t="s">
        <v>6323</v>
      </c>
      <c r="K627" s="33" t="s">
        <v>6115</v>
      </c>
      <c r="L627" s="22" t="s">
        <v>758</v>
      </c>
      <c r="M627" s="22">
        <v>1955</v>
      </c>
      <c r="N627" s="22">
        <v>1970</v>
      </c>
      <c r="O627" s="22"/>
      <c r="P627" s="22">
        <v>0</v>
      </c>
      <c r="Q627" s="22"/>
      <c r="R627" s="31" t="s">
        <v>6165</v>
      </c>
      <c r="S627" s="22"/>
      <c r="T627" s="22"/>
      <c r="U627" s="31"/>
      <c r="V627" s="22"/>
      <c r="W627" s="45" t="s">
        <v>6328</v>
      </c>
    </row>
    <row r="628" spans="1:24" ht="71.25">
      <c r="A628" s="22">
        <v>627</v>
      </c>
      <c r="B628" s="31" t="s">
        <v>6330</v>
      </c>
      <c r="C628" s="22">
        <v>547</v>
      </c>
      <c r="D628" s="22" t="s">
        <v>498</v>
      </c>
      <c r="E628" s="22" t="s">
        <v>506</v>
      </c>
      <c r="F628" s="31" t="s">
        <v>6332</v>
      </c>
      <c r="G628" s="22" t="s">
        <v>1089</v>
      </c>
      <c r="H628" s="31" t="s">
        <v>6333</v>
      </c>
      <c r="I628" s="22" t="s">
        <v>1666</v>
      </c>
      <c r="J628" s="22" t="s">
        <v>6334</v>
      </c>
      <c r="K628" s="33" t="s">
        <v>6115</v>
      </c>
      <c r="L628" s="22" t="s">
        <v>782</v>
      </c>
      <c r="M628" s="22">
        <v>1955</v>
      </c>
      <c r="N628" s="22">
        <v>1970</v>
      </c>
      <c r="O628" s="22"/>
      <c r="P628" s="22">
        <v>0</v>
      </c>
      <c r="Q628" s="22"/>
      <c r="R628" s="31" t="s">
        <v>6165</v>
      </c>
      <c r="S628" s="22"/>
      <c r="T628" s="22"/>
      <c r="U628" s="31"/>
      <c r="V628" s="31" t="s">
        <v>6687</v>
      </c>
      <c r="W628" s="45" t="s">
        <v>6329</v>
      </c>
    </row>
    <row r="629" spans="1:24" ht="28.5">
      <c r="A629" s="22">
        <v>628</v>
      </c>
      <c r="B629" s="38" t="s">
        <v>6340</v>
      </c>
      <c r="C629" s="22"/>
      <c r="D629" s="31" t="s">
        <v>500</v>
      </c>
      <c r="E629" s="22" t="s">
        <v>506</v>
      </c>
      <c r="F629" s="31" t="s">
        <v>6341</v>
      </c>
      <c r="G629" s="22" t="s">
        <v>1089</v>
      </c>
      <c r="H629" s="31" t="s">
        <v>6342</v>
      </c>
      <c r="I629" s="22" t="s">
        <v>1666</v>
      </c>
      <c r="J629" s="22" t="s">
        <v>6343</v>
      </c>
      <c r="K629" s="33" t="s">
        <v>6336</v>
      </c>
      <c r="L629" s="22" t="s">
        <v>758</v>
      </c>
      <c r="M629" s="22">
        <v>1950</v>
      </c>
      <c r="N629" s="22">
        <v>1954</v>
      </c>
      <c r="O629" s="22"/>
      <c r="P629" s="22"/>
      <c r="Q629" s="22"/>
      <c r="R629" s="22"/>
      <c r="S629" s="22"/>
      <c r="T629" s="22"/>
      <c r="U629" s="31" t="s">
        <v>6560</v>
      </c>
      <c r="V629" s="22"/>
      <c r="W629" s="45" t="s">
        <v>6346</v>
      </c>
    </row>
    <row r="630" spans="1:24" ht="71.25">
      <c r="A630" s="22">
        <v>629</v>
      </c>
      <c r="B630" s="31" t="s">
        <v>6344</v>
      </c>
      <c r="C630" s="22">
        <v>502</v>
      </c>
      <c r="D630" s="31" t="s">
        <v>491</v>
      </c>
      <c r="E630" s="22" t="s">
        <v>517</v>
      </c>
      <c r="F630" s="31" t="s">
        <v>6348</v>
      </c>
      <c r="G630" s="22" t="s">
        <v>1089</v>
      </c>
      <c r="H630" s="31" t="s">
        <v>6191</v>
      </c>
      <c r="I630" s="22" t="s">
        <v>1666</v>
      </c>
      <c r="J630" s="22" t="s">
        <v>6345</v>
      </c>
      <c r="K630" s="33" t="s">
        <v>6115</v>
      </c>
      <c r="L630" s="22" t="s">
        <v>758</v>
      </c>
      <c r="M630" s="22">
        <v>1950</v>
      </c>
      <c r="N630" s="22">
        <v>1970</v>
      </c>
      <c r="O630" s="22"/>
      <c r="P630" s="22">
        <v>0.12</v>
      </c>
      <c r="Q630" s="22"/>
      <c r="R630" s="31" t="s">
        <v>6165</v>
      </c>
      <c r="S630" s="22"/>
      <c r="T630" s="22" t="s">
        <v>6536</v>
      </c>
      <c r="U630" s="31" t="s">
        <v>6349</v>
      </c>
      <c r="V630" s="22"/>
      <c r="W630" s="45" t="s">
        <v>6347</v>
      </c>
    </row>
    <row r="631" spans="1:24" ht="42.75">
      <c r="A631" s="22">
        <v>630</v>
      </c>
      <c r="B631" s="38" t="s">
        <v>6354</v>
      </c>
      <c r="C631" s="22"/>
      <c r="D631" s="31" t="s">
        <v>503</v>
      </c>
      <c r="E631" s="22" t="s">
        <v>509</v>
      </c>
      <c r="F631" s="31" t="s">
        <v>6355</v>
      </c>
      <c r="G631" s="22" t="s">
        <v>1089</v>
      </c>
      <c r="H631" s="31" t="s">
        <v>6356</v>
      </c>
      <c r="I631" s="22" t="s">
        <v>1666</v>
      </c>
      <c r="J631" s="22" t="s">
        <v>6360</v>
      </c>
      <c r="K631" s="33" t="s">
        <v>6351</v>
      </c>
      <c r="L631" s="22" t="s">
        <v>758</v>
      </c>
      <c r="M631" s="22">
        <v>1950</v>
      </c>
      <c r="N631" s="22">
        <v>1960</v>
      </c>
      <c r="O631" s="22"/>
      <c r="P631" s="22"/>
      <c r="Q631" s="22"/>
      <c r="R631" s="22"/>
      <c r="S631" s="22"/>
      <c r="T631" s="22"/>
      <c r="U631" s="31"/>
      <c r="V631" s="22"/>
      <c r="W631" s="45" t="s">
        <v>6362</v>
      </c>
    </row>
    <row r="632" spans="1:24" ht="71.25">
      <c r="A632" s="22">
        <v>631</v>
      </c>
      <c r="B632" s="31" t="s">
        <v>6357</v>
      </c>
      <c r="C632" s="22">
        <v>258</v>
      </c>
      <c r="D632" s="22" t="s">
        <v>493</v>
      </c>
      <c r="E632" s="22" t="s">
        <v>522</v>
      </c>
      <c r="F632" s="31" t="s">
        <v>6358</v>
      </c>
      <c r="G632" s="22" t="s">
        <v>1089</v>
      </c>
      <c r="H632" s="31" t="s">
        <v>6359</v>
      </c>
      <c r="I632" s="22" t="s">
        <v>1666</v>
      </c>
      <c r="J632" s="22" t="s">
        <v>6361</v>
      </c>
      <c r="K632" s="33" t="s">
        <v>6115</v>
      </c>
      <c r="L632" s="22" t="s">
        <v>758</v>
      </c>
      <c r="M632" s="22">
        <v>1955</v>
      </c>
      <c r="N632" s="22">
        <v>1970</v>
      </c>
      <c r="O632" s="22"/>
      <c r="P632" s="22">
        <v>0</v>
      </c>
      <c r="Q632" s="22"/>
      <c r="R632" s="31" t="s">
        <v>6165</v>
      </c>
      <c r="S632" s="22"/>
      <c r="T632" s="22"/>
      <c r="U632" s="31"/>
      <c r="V632" s="22"/>
      <c r="W632" s="45" t="s">
        <v>6363</v>
      </c>
    </row>
    <row r="633" spans="1:24" ht="71.25">
      <c r="A633" s="22">
        <v>632</v>
      </c>
      <c r="B633" s="49" t="s">
        <v>6364</v>
      </c>
      <c r="C633" s="22">
        <v>1054</v>
      </c>
      <c r="D633" s="22" t="s">
        <v>489</v>
      </c>
      <c r="E633" s="22" t="s">
        <v>509</v>
      </c>
      <c r="F633" s="31" t="s">
        <v>6365</v>
      </c>
      <c r="G633" s="22" t="s">
        <v>755</v>
      </c>
      <c r="H633" s="31" t="s">
        <v>6366</v>
      </c>
      <c r="I633" s="22" t="s">
        <v>1666</v>
      </c>
      <c r="J633" s="22" t="s">
        <v>5646</v>
      </c>
      <c r="K633" s="33" t="s">
        <v>6115</v>
      </c>
      <c r="L633" s="22" t="s">
        <v>758</v>
      </c>
      <c r="M633" s="22">
        <v>1955</v>
      </c>
      <c r="N633" s="22">
        <v>1970</v>
      </c>
      <c r="O633" s="22" t="s">
        <v>6367</v>
      </c>
      <c r="P633" s="22">
        <v>0.75</v>
      </c>
      <c r="Q633" s="22"/>
      <c r="R633" s="31" t="s">
        <v>6165</v>
      </c>
      <c r="S633" s="22"/>
      <c r="T633" s="22" t="s">
        <v>6542</v>
      </c>
      <c r="U633" s="31"/>
      <c r="V633" s="22"/>
      <c r="W633" s="45" t="s">
        <v>6373</v>
      </c>
    </row>
    <row r="634" spans="1:24" ht="71.25">
      <c r="A634" s="22">
        <v>633</v>
      </c>
      <c r="B634" s="31" t="s">
        <v>6368</v>
      </c>
      <c r="C634" s="22">
        <v>1063</v>
      </c>
      <c r="D634" s="31" t="s">
        <v>490</v>
      </c>
      <c r="E634" s="22" t="s">
        <v>506</v>
      </c>
      <c r="F634" s="31" t="s">
        <v>6369</v>
      </c>
      <c r="G634" s="22" t="s">
        <v>755</v>
      </c>
      <c r="H634" s="31" t="s">
        <v>6370</v>
      </c>
      <c r="I634" s="22" t="s">
        <v>6371</v>
      </c>
      <c r="J634" s="22" t="s">
        <v>6372</v>
      </c>
      <c r="K634" s="33" t="s">
        <v>6115</v>
      </c>
      <c r="L634" s="22" t="s">
        <v>758</v>
      </c>
      <c r="M634" s="22">
        <v>1955</v>
      </c>
      <c r="N634" s="22">
        <v>1970</v>
      </c>
      <c r="O634" s="22" t="s">
        <v>782</v>
      </c>
      <c r="P634" s="22">
        <v>0.5</v>
      </c>
      <c r="Q634" s="22"/>
      <c r="R634" s="31" t="s">
        <v>6165</v>
      </c>
      <c r="S634" s="22"/>
      <c r="T634" s="22" t="s">
        <v>6539</v>
      </c>
      <c r="U634" s="31" t="s">
        <v>6566</v>
      </c>
      <c r="V634" s="22"/>
      <c r="W634" s="45" t="s">
        <v>6374</v>
      </c>
    </row>
    <row r="635" spans="1:24" ht="71.25">
      <c r="A635" s="22">
        <v>634</v>
      </c>
      <c r="B635" s="49" t="s">
        <v>6375</v>
      </c>
      <c r="C635" s="22">
        <v>1023</v>
      </c>
      <c r="D635" s="22" t="s">
        <v>493</v>
      </c>
      <c r="E635" s="22" t="s">
        <v>511</v>
      </c>
      <c r="F635" s="31" t="s">
        <v>6376</v>
      </c>
      <c r="G635" s="22" t="s">
        <v>755</v>
      </c>
      <c r="H635" s="31" t="s">
        <v>6377</v>
      </c>
      <c r="I635" s="22" t="s">
        <v>1666</v>
      </c>
      <c r="J635" s="22" t="s">
        <v>6378</v>
      </c>
      <c r="K635" s="33" t="s">
        <v>6115</v>
      </c>
      <c r="L635" s="22" t="s">
        <v>782</v>
      </c>
      <c r="M635" s="22">
        <v>1955</v>
      </c>
      <c r="N635" s="22">
        <v>1970</v>
      </c>
      <c r="O635" s="22"/>
      <c r="P635" s="22">
        <v>0.75</v>
      </c>
      <c r="Q635" s="22"/>
      <c r="R635" s="31" t="s">
        <v>6165</v>
      </c>
      <c r="S635" s="22"/>
      <c r="T635" s="22"/>
      <c r="U635" s="31"/>
      <c r="V635" s="22"/>
      <c r="W635" s="45" t="s">
        <v>6379</v>
      </c>
      <c r="X635" s="22"/>
    </row>
    <row r="636" spans="1:24" ht="71.25">
      <c r="A636" s="22">
        <v>635</v>
      </c>
      <c r="B636" s="31" t="s">
        <v>6380</v>
      </c>
      <c r="C636" s="22">
        <v>1025</v>
      </c>
      <c r="D636" s="31" t="s">
        <v>490</v>
      </c>
      <c r="E636" s="22" t="s">
        <v>511</v>
      </c>
      <c r="F636" s="31" t="s">
        <v>6381</v>
      </c>
      <c r="G636" s="22" t="s">
        <v>755</v>
      </c>
      <c r="H636" s="31" t="s">
        <v>6377</v>
      </c>
      <c r="I636" s="22" t="s">
        <v>1666</v>
      </c>
      <c r="J636" s="22" t="s">
        <v>6382</v>
      </c>
      <c r="K636" s="33" t="s">
        <v>6115</v>
      </c>
      <c r="L636" s="22" t="s">
        <v>782</v>
      </c>
      <c r="M636" s="22">
        <v>1955</v>
      </c>
      <c r="N636" s="22">
        <v>1970</v>
      </c>
      <c r="O636" s="22"/>
      <c r="P636" s="22">
        <v>0.25</v>
      </c>
      <c r="Q636" s="22"/>
      <c r="R636" s="31" t="s">
        <v>6165</v>
      </c>
      <c r="S636" s="22"/>
      <c r="T636" s="22" t="s">
        <v>6385</v>
      </c>
      <c r="U636" s="31"/>
      <c r="V636" s="31" t="s">
        <v>6581</v>
      </c>
      <c r="W636" s="45" t="s">
        <v>6383</v>
      </c>
      <c r="X636" s="45" t="s">
        <v>6384</v>
      </c>
    </row>
    <row r="637" spans="1:24" ht="71.25">
      <c r="A637" s="22">
        <v>636</v>
      </c>
      <c r="B637" s="31" t="s">
        <v>6386</v>
      </c>
      <c r="C637" s="22">
        <v>4010</v>
      </c>
      <c r="D637" s="22" t="s">
        <v>489</v>
      </c>
      <c r="E637" s="22" t="s">
        <v>511</v>
      </c>
      <c r="F637" s="31" t="s">
        <v>6387</v>
      </c>
      <c r="G637" s="22" t="s">
        <v>757</v>
      </c>
      <c r="H637" s="31" t="s">
        <v>1227</v>
      </c>
      <c r="I637" s="22" t="s">
        <v>1666</v>
      </c>
      <c r="J637" s="22" t="s">
        <v>6388</v>
      </c>
      <c r="K637" s="33" t="s">
        <v>6115</v>
      </c>
      <c r="L637" s="22" t="s">
        <v>758</v>
      </c>
      <c r="M637" s="22">
        <v>1955</v>
      </c>
      <c r="N637" s="22">
        <v>1970</v>
      </c>
      <c r="O637" s="22"/>
      <c r="P637" s="22">
        <v>0.75</v>
      </c>
      <c r="Q637" s="22"/>
      <c r="R637" s="31" t="s">
        <v>6165</v>
      </c>
      <c r="S637" s="22"/>
      <c r="T637" s="22"/>
      <c r="U637" s="31"/>
      <c r="V637" s="22"/>
      <c r="W637" s="45" t="s">
        <v>6389</v>
      </c>
      <c r="X637" s="22"/>
    </row>
    <row r="638" spans="1:24" ht="72.400000000000006" customHeight="1">
      <c r="A638" s="22">
        <v>637</v>
      </c>
      <c r="B638" s="31" t="s">
        <v>6390</v>
      </c>
      <c r="C638" s="22">
        <v>564</v>
      </c>
      <c r="D638" s="22" t="s">
        <v>489</v>
      </c>
      <c r="E638" s="22" t="s">
        <v>506</v>
      </c>
      <c r="F638" s="31" t="s">
        <v>6391</v>
      </c>
      <c r="G638" s="22" t="s">
        <v>1089</v>
      </c>
      <c r="H638" s="31" t="s">
        <v>6396</v>
      </c>
      <c r="I638" s="22" t="s">
        <v>1666</v>
      </c>
      <c r="J638" s="22" t="s">
        <v>6392</v>
      </c>
      <c r="K638" s="33" t="s">
        <v>6115</v>
      </c>
      <c r="L638" s="22" t="s">
        <v>758</v>
      </c>
      <c r="M638" s="22">
        <v>1955</v>
      </c>
      <c r="N638" s="22">
        <v>1970</v>
      </c>
      <c r="O638" s="22" t="s">
        <v>758</v>
      </c>
      <c r="P638" s="22">
        <v>0.25</v>
      </c>
      <c r="Q638" s="22"/>
      <c r="R638" s="31" t="s">
        <v>6165</v>
      </c>
      <c r="S638" s="22"/>
      <c r="T638" s="22"/>
      <c r="U638" s="31"/>
      <c r="V638" s="22"/>
      <c r="W638" s="45" t="s">
        <v>6393</v>
      </c>
      <c r="X638" s="22"/>
    </row>
    <row r="639" spans="1:24" ht="71.25">
      <c r="A639" s="22">
        <v>638</v>
      </c>
      <c r="B639" s="31" t="s">
        <v>6394</v>
      </c>
      <c r="C639" s="22">
        <v>1020</v>
      </c>
      <c r="D639" s="22" t="s">
        <v>489</v>
      </c>
      <c r="E639" s="22" t="s">
        <v>506</v>
      </c>
      <c r="F639" s="31" t="s">
        <v>6395</v>
      </c>
      <c r="G639" s="22" t="s">
        <v>755</v>
      </c>
      <c r="H639" s="31" t="s">
        <v>1227</v>
      </c>
      <c r="I639" s="22" t="s">
        <v>1666</v>
      </c>
      <c r="J639" s="22" t="s">
        <v>6397</v>
      </c>
      <c r="K639" s="33" t="s">
        <v>6115</v>
      </c>
      <c r="L639" s="22" t="s">
        <v>758</v>
      </c>
      <c r="M639" s="22">
        <v>1955</v>
      </c>
      <c r="N639" s="22">
        <v>1970</v>
      </c>
      <c r="O639" s="22"/>
      <c r="P639" s="22">
        <v>0.25</v>
      </c>
      <c r="Q639" s="22"/>
      <c r="R639" s="31" t="s">
        <v>6165</v>
      </c>
      <c r="S639" s="22"/>
      <c r="T639" s="22"/>
      <c r="U639" s="31" t="s">
        <v>6398</v>
      </c>
      <c r="V639" s="22"/>
      <c r="W639" s="45" t="s">
        <v>6399</v>
      </c>
      <c r="X639" s="22"/>
    </row>
    <row r="640" spans="1:24" ht="28.5">
      <c r="A640" s="22">
        <v>639</v>
      </c>
      <c r="B640" s="31" t="s">
        <v>6401</v>
      </c>
      <c r="C640" s="22">
        <v>1005</v>
      </c>
      <c r="D640" s="31" t="s">
        <v>501</v>
      </c>
      <c r="E640" s="22" t="s">
        <v>512</v>
      </c>
      <c r="F640" s="31" t="s">
        <v>6400</v>
      </c>
      <c r="G640" s="22" t="s">
        <v>755</v>
      </c>
      <c r="H640" s="31" t="s">
        <v>1227</v>
      </c>
      <c r="I640" s="22" t="s">
        <v>2266</v>
      </c>
      <c r="J640" s="22" t="s">
        <v>6402</v>
      </c>
      <c r="K640" s="33" t="s">
        <v>6124</v>
      </c>
      <c r="L640" s="22" t="s">
        <v>758</v>
      </c>
      <c r="M640" s="22">
        <v>1980</v>
      </c>
      <c r="N640" s="22">
        <v>1990</v>
      </c>
      <c r="O640" s="22" t="s">
        <v>758</v>
      </c>
      <c r="P640" s="22"/>
      <c r="Q640" s="22"/>
      <c r="R640" s="22"/>
      <c r="S640" s="31" t="s">
        <v>6403</v>
      </c>
      <c r="T640" s="22"/>
      <c r="U640" s="31" t="s">
        <v>6559</v>
      </c>
      <c r="V640" s="22"/>
      <c r="W640" s="45" t="s">
        <v>6404</v>
      </c>
    </row>
    <row r="641" spans="1:25" ht="28.5">
      <c r="A641" s="22">
        <v>640</v>
      </c>
      <c r="B641" s="31" t="s">
        <v>6405</v>
      </c>
      <c r="C641" s="22"/>
      <c r="D641" s="22" t="s">
        <v>489</v>
      </c>
      <c r="E641" s="22" t="s">
        <v>506</v>
      </c>
      <c r="F641" s="31" t="s">
        <v>6406</v>
      </c>
      <c r="G641" s="22" t="s">
        <v>756</v>
      </c>
      <c r="H641" s="31" t="s">
        <v>1227</v>
      </c>
      <c r="I641" s="22" t="s">
        <v>2266</v>
      </c>
      <c r="J641" s="22" t="s">
        <v>6407</v>
      </c>
      <c r="K641" s="33" t="s">
        <v>6124</v>
      </c>
      <c r="L641" s="22" t="s">
        <v>758</v>
      </c>
      <c r="M641" s="22">
        <v>1980</v>
      </c>
      <c r="N641" s="22">
        <v>1990</v>
      </c>
      <c r="O641" s="22"/>
      <c r="P641" s="22"/>
      <c r="Q641" s="22"/>
      <c r="R641" s="22"/>
      <c r="S641" s="22" t="s">
        <v>6408</v>
      </c>
      <c r="T641" s="22"/>
      <c r="U641" s="31" t="s">
        <v>6409</v>
      </c>
      <c r="V641" s="22"/>
      <c r="W641" s="45" t="s">
        <v>6410</v>
      </c>
      <c r="X641" s="22"/>
    </row>
    <row r="642" spans="1:25" ht="71.25">
      <c r="A642" s="22">
        <v>641</v>
      </c>
      <c r="B642" s="31" t="s">
        <v>6217</v>
      </c>
      <c r="C642" s="22">
        <v>1000</v>
      </c>
      <c r="D642" s="22" t="s">
        <v>489</v>
      </c>
      <c r="E642" s="22" t="s">
        <v>506</v>
      </c>
      <c r="F642" s="31" t="s">
        <v>6411</v>
      </c>
      <c r="G642" s="22" t="s">
        <v>755</v>
      </c>
      <c r="H642" s="31" t="s">
        <v>1227</v>
      </c>
      <c r="I642" s="22" t="s">
        <v>1666</v>
      </c>
      <c r="J642" s="22" t="s">
        <v>6412</v>
      </c>
      <c r="K642" s="33" t="s">
        <v>6115</v>
      </c>
      <c r="L642" s="22" t="s">
        <v>785</v>
      </c>
      <c r="M642" s="22">
        <v>1950</v>
      </c>
      <c r="N642" s="22">
        <v>1970</v>
      </c>
      <c r="O642" s="22" t="s">
        <v>758</v>
      </c>
      <c r="P642" s="22">
        <v>0.5</v>
      </c>
      <c r="Q642" s="22"/>
      <c r="R642" s="31" t="s">
        <v>6165</v>
      </c>
      <c r="S642" s="22"/>
      <c r="T642" s="22" t="s">
        <v>6221</v>
      </c>
      <c r="U642" s="31"/>
      <c r="V642" s="22" t="s">
        <v>6580</v>
      </c>
      <c r="W642" s="45" t="s">
        <v>6413</v>
      </c>
      <c r="X642" s="22"/>
    </row>
    <row r="643" spans="1:25" ht="71.25">
      <c r="A643" s="22">
        <v>642</v>
      </c>
      <c r="B643" s="31" t="s">
        <v>6414</v>
      </c>
      <c r="C643" s="22">
        <v>1055</v>
      </c>
      <c r="D643" s="31" t="s">
        <v>500</v>
      </c>
      <c r="E643" s="22" t="s">
        <v>506</v>
      </c>
      <c r="F643" s="31" t="s">
        <v>6415</v>
      </c>
      <c r="G643" s="22" t="s">
        <v>755</v>
      </c>
      <c r="H643" s="31" t="s">
        <v>1227</v>
      </c>
      <c r="I643" s="22" t="s">
        <v>1666</v>
      </c>
      <c r="J643" s="22" t="s">
        <v>6416</v>
      </c>
      <c r="K643" s="33" t="s">
        <v>6115</v>
      </c>
      <c r="L643" s="22" t="s">
        <v>758</v>
      </c>
      <c r="M643" s="22">
        <v>1955</v>
      </c>
      <c r="N643" s="22">
        <v>1970</v>
      </c>
      <c r="O643" s="22" t="s">
        <v>758</v>
      </c>
      <c r="P643" s="22">
        <v>1</v>
      </c>
      <c r="Q643" s="22"/>
      <c r="R643" s="31" t="s">
        <v>6165</v>
      </c>
      <c r="S643" s="22"/>
      <c r="T643" s="22"/>
      <c r="U643" s="31"/>
      <c r="V643" s="22"/>
      <c r="W643" s="45" t="s">
        <v>6417</v>
      </c>
      <c r="X643" s="22"/>
    </row>
    <row r="644" spans="1:25" ht="71.25">
      <c r="A644" s="22">
        <v>643</v>
      </c>
      <c r="B644" s="31" t="s">
        <v>6414</v>
      </c>
      <c r="C644" s="22">
        <v>1002</v>
      </c>
      <c r="D644" s="31" t="s">
        <v>500</v>
      </c>
      <c r="E644" s="22" t="s">
        <v>506</v>
      </c>
      <c r="F644" s="31" t="s">
        <v>6419</v>
      </c>
      <c r="G644" s="22" t="s">
        <v>755</v>
      </c>
      <c r="H644" s="31" t="s">
        <v>1227</v>
      </c>
      <c r="I644" s="22" t="s">
        <v>1666</v>
      </c>
      <c r="J644" s="22" t="s">
        <v>6177</v>
      </c>
      <c r="K644" s="33" t="s">
        <v>6115</v>
      </c>
      <c r="L644" s="22" t="s">
        <v>782</v>
      </c>
      <c r="M644" s="22">
        <v>1955</v>
      </c>
      <c r="N644" s="22">
        <v>1970</v>
      </c>
      <c r="O644" s="22" t="s">
        <v>785</v>
      </c>
      <c r="P644" s="22">
        <v>0.75</v>
      </c>
      <c r="Q644" s="22"/>
      <c r="R644" s="31" t="s">
        <v>6165</v>
      </c>
      <c r="S644" s="22"/>
      <c r="T644" s="22"/>
      <c r="U644" s="31"/>
      <c r="V644" s="22"/>
      <c r="W644" s="45" t="s">
        <v>6420</v>
      </c>
      <c r="X644" s="22"/>
    </row>
    <row r="645" spans="1:25" ht="71.25">
      <c r="A645" s="22">
        <v>644</v>
      </c>
      <c r="B645" s="31" t="s">
        <v>6414</v>
      </c>
      <c r="C645" s="22">
        <v>1010</v>
      </c>
      <c r="D645" s="31" t="s">
        <v>500</v>
      </c>
      <c r="E645" s="22" t="s">
        <v>506</v>
      </c>
      <c r="F645" s="31" t="s">
        <v>6422</v>
      </c>
      <c r="G645" s="22" t="s">
        <v>755</v>
      </c>
      <c r="H645" s="31" t="s">
        <v>1227</v>
      </c>
      <c r="I645" s="22" t="s">
        <v>1666</v>
      </c>
      <c r="J645" s="22" t="s">
        <v>6421</v>
      </c>
      <c r="K645" s="33" t="s">
        <v>6115</v>
      </c>
      <c r="L645" s="22" t="s">
        <v>758</v>
      </c>
      <c r="M645" s="22">
        <v>1955</v>
      </c>
      <c r="N645" s="22">
        <v>1970</v>
      </c>
      <c r="O645" s="22" t="s">
        <v>6367</v>
      </c>
      <c r="P645" s="22">
        <v>0.5</v>
      </c>
      <c r="Q645" s="22"/>
      <c r="R645" s="31" t="s">
        <v>6165</v>
      </c>
      <c r="S645" s="22"/>
      <c r="T645" s="22"/>
      <c r="U645" s="31" t="s">
        <v>6428</v>
      </c>
      <c r="V645" s="22"/>
      <c r="W645" s="45" t="s">
        <v>6423</v>
      </c>
      <c r="X645" s="22"/>
    </row>
    <row r="646" spans="1:25" ht="28.5">
      <c r="A646" s="22">
        <v>645</v>
      </c>
      <c r="B646" s="31" t="s">
        <v>6425</v>
      </c>
      <c r="C646" s="22">
        <v>486</v>
      </c>
      <c r="D646" s="31" t="s">
        <v>499</v>
      </c>
      <c r="E646" s="22" t="s">
        <v>510</v>
      </c>
      <c r="F646" s="31" t="s">
        <v>6426</v>
      </c>
      <c r="G646" s="22" t="s">
        <v>1089</v>
      </c>
      <c r="H646" s="31" t="s">
        <v>6427</v>
      </c>
      <c r="I646" s="22" t="s">
        <v>1666</v>
      </c>
      <c r="J646" s="22" t="s">
        <v>6424</v>
      </c>
      <c r="K646" s="33" t="s">
        <v>6115</v>
      </c>
      <c r="L646" s="22" t="s">
        <v>758</v>
      </c>
      <c r="M646" s="22">
        <v>1955</v>
      </c>
      <c r="N646" s="22">
        <v>1980</v>
      </c>
      <c r="O646" s="22" t="s">
        <v>758</v>
      </c>
      <c r="P646" s="22"/>
      <c r="Q646" s="22"/>
      <c r="R646" s="22"/>
      <c r="S646" s="22"/>
      <c r="T646" s="22" t="s">
        <v>6540</v>
      </c>
      <c r="U646" s="31" t="s">
        <v>6558</v>
      </c>
      <c r="V646" s="22"/>
      <c r="W646" s="45" t="s">
        <v>6429</v>
      </c>
    </row>
    <row r="647" spans="1:25" ht="71.25">
      <c r="A647" s="22">
        <v>646</v>
      </c>
      <c r="B647" s="31" t="s">
        <v>6430</v>
      </c>
      <c r="C647" s="22">
        <v>785</v>
      </c>
      <c r="D647" s="22" t="s">
        <v>504</v>
      </c>
      <c r="E647" s="22" t="s">
        <v>504</v>
      </c>
      <c r="F647" s="31" t="s">
        <v>6434</v>
      </c>
      <c r="G647" s="22" t="s">
        <v>1089</v>
      </c>
      <c r="H647" s="22" t="s">
        <v>6437</v>
      </c>
      <c r="I647" s="22" t="s">
        <v>1666</v>
      </c>
      <c r="J647" s="31" t="s">
        <v>6438</v>
      </c>
      <c r="K647" s="33" t="s">
        <v>6115</v>
      </c>
      <c r="L647" s="22" t="s">
        <v>758</v>
      </c>
      <c r="M647" s="22">
        <v>1955</v>
      </c>
      <c r="N647" s="22">
        <v>1970</v>
      </c>
      <c r="O647" s="22"/>
      <c r="P647" s="22">
        <v>0.75</v>
      </c>
      <c r="Q647" s="22"/>
      <c r="R647" s="31" t="s">
        <v>6165</v>
      </c>
      <c r="S647" s="22"/>
      <c r="T647" s="22"/>
      <c r="U647" s="31" t="s">
        <v>6431</v>
      </c>
      <c r="V647" s="22"/>
      <c r="W647" s="45" t="s">
        <v>6440</v>
      </c>
      <c r="X647" s="22"/>
      <c r="Y647" s="22"/>
    </row>
    <row r="648" spans="1:25" ht="71.25">
      <c r="A648" s="22">
        <v>647</v>
      </c>
      <c r="B648" s="31" t="s">
        <v>6432</v>
      </c>
      <c r="C648" s="22">
        <v>791</v>
      </c>
      <c r="D648" s="22" t="s">
        <v>504</v>
      </c>
      <c r="E648" s="22" t="s">
        <v>504</v>
      </c>
      <c r="F648" s="31" t="s">
        <v>6436</v>
      </c>
      <c r="G648" s="22" t="s">
        <v>1089</v>
      </c>
      <c r="H648" s="22" t="s">
        <v>6437</v>
      </c>
      <c r="I648" s="22" t="s">
        <v>1666</v>
      </c>
      <c r="J648" s="31" t="s">
        <v>6438</v>
      </c>
      <c r="K648" s="33" t="s">
        <v>6115</v>
      </c>
      <c r="L648" s="22" t="s">
        <v>758</v>
      </c>
      <c r="M648" s="22">
        <v>1955</v>
      </c>
      <c r="N648" s="22">
        <v>1970</v>
      </c>
      <c r="O648" s="22"/>
      <c r="P648" s="22">
        <v>0.75</v>
      </c>
      <c r="Q648" s="22"/>
      <c r="R648" s="31" t="s">
        <v>6165</v>
      </c>
      <c r="S648" s="22"/>
      <c r="T648" s="22"/>
      <c r="U648" s="31"/>
      <c r="V648" s="22"/>
      <c r="W648" s="45" t="s">
        <v>6441</v>
      </c>
      <c r="X648" s="22"/>
      <c r="Y648" s="22"/>
    </row>
    <row r="649" spans="1:25" ht="71.25">
      <c r="A649" s="22">
        <v>648</v>
      </c>
      <c r="B649" s="31" t="s">
        <v>6433</v>
      </c>
      <c r="C649" s="22"/>
      <c r="D649" s="22" t="s">
        <v>504</v>
      </c>
      <c r="E649" s="22" t="s">
        <v>504</v>
      </c>
      <c r="F649" s="31" t="s">
        <v>6435</v>
      </c>
      <c r="G649" s="22" t="s">
        <v>1089</v>
      </c>
      <c r="H649" s="22" t="s">
        <v>6437</v>
      </c>
      <c r="I649" s="22" t="s">
        <v>1666</v>
      </c>
      <c r="J649" s="22" t="s">
        <v>6439</v>
      </c>
      <c r="K649" s="33" t="s">
        <v>6115</v>
      </c>
      <c r="L649" s="22" t="s">
        <v>758</v>
      </c>
      <c r="M649" s="22">
        <v>1955</v>
      </c>
      <c r="N649" s="22">
        <v>1970</v>
      </c>
      <c r="O649" s="22"/>
      <c r="P649" s="22">
        <v>0.75</v>
      </c>
      <c r="Q649" s="22"/>
      <c r="R649" s="31" t="s">
        <v>6165</v>
      </c>
      <c r="S649" s="22"/>
      <c r="T649" s="22"/>
      <c r="U649" s="31"/>
      <c r="V649" s="22"/>
      <c r="W649" s="45" t="s">
        <v>6442</v>
      </c>
      <c r="X649" s="22"/>
      <c r="Y649" s="22"/>
    </row>
    <row r="650" spans="1:25" ht="42.75">
      <c r="A650" s="22">
        <v>649</v>
      </c>
      <c r="B650" s="38" t="s">
        <v>6443</v>
      </c>
      <c r="C650" s="22"/>
      <c r="D650" s="22" t="s">
        <v>502</v>
      </c>
      <c r="E650" s="22" t="s">
        <v>510</v>
      </c>
      <c r="F650" s="31" t="s">
        <v>6444</v>
      </c>
      <c r="G650" s="22" t="s">
        <v>1089</v>
      </c>
      <c r="H650" s="22" t="s">
        <v>6276</v>
      </c>
      <c r="I650" s="22" t="s">
        <v>6445</v>
      </c>
      <c r="J650" s="22" t="s">
        <v>6446</v>
      </c>
      <c r="K650" s="33" t="s">
        <v>6126</v>
      </c>
      <c r="L650" s="22" t="s">
        <v>1024</v>
      </c>
      <c r="M650" s="22">
        <v>1950</v>
      </c>
      <c r="N650" s="22">
        <v>1955</v>
      </c>
      <c r="O650" s="22"/>
      <c r="P650" s="22"/>
      <c r="Q650" s="22"/>
      <c r="R650" s="22"/>
      <c r="S650" s="22" t="s">
        <v>6447</v>
      </c>
      <c r="T650" s="22"/>
      <c r="U650" s="31"/>
      <c r="V650" s="22"/>
      <c r="W650" s="45" t="s">
        <v>6448</v>
      </c>
    </row>
    <row r="651" spans="1:25">
      <c r="A651" s="22">
        <v>650</v>
      </c>
      <c r="B651" s="38" t="s">
        <v>6553</v>
      </c>
      <c r="C651" s="22"/>
      <c r="D651" s="22" t="s">
        <v>502</v>
      </c>
      <c r="E651" s="22" t="s">
        <v>519</v>
      </c>
      <c r="F651" s="31" t="s">
        <v>6449</v>
      </c>
      <c r="G651" s="22" t="s">
        <v>1089</v>
      </c>
      <c r="H651" s="22" t="s">
        <v>6276</v>
      </c>
      <c r="I651" s="22" t="s">
        <v>1666</v>
      </c>
      <c r="J651" s="22" t="s">
        <v>6450</v>
      </c>
      <c r="K651" s="33" t="s">
        <v>6130</v>
      </c>
      <c r="L651" s="22" t="s">
        <v>782</v>
      </c>
      <c r="M651" s="22">
        <v>1960</v>
      </c>
      <c r="N651" s="22">
        <v>1965</v>
      </c>
      <c r="O651" s="22"/>
      <c r="P651" s="22"/>
      <c r="Q651" s="22"/>
      <c r="R651" s="22"/>
      <c r="S651" s="22"/>
      <c r="T651" s="22" t="s">
        <v>6554</v>
      </c>
      <c r="U651" s="31" t="s">
        <v>6556</v>
      </c>
      <c r="V651" s="22"/>
      <c r="W651" s="45" t="s">
        <v>6451</v>
      </c>
    </row>
    <row r="652" spans="1:25" ht="28.5">
      <c r="A652" s="22">
        <v>651</v>
      </c>
      <c r="B652" s="31" t="s">
        <v>6477</v>
      </c>
      <c r="C652" s="22">
        <v>226</v>
      </c>
      <c r="D652" s="22" t="s">
        <v>492</v>
      </c>
      <c r="E652" s="22" t="s">
        <v>492</v>
      </c>
      <c r="F652" s="31" t="s">
        <v>6452</v>
      </c>
      <c r="G652" s="22" t="s">
        <v>755</v>
      </c>
      <c r="H652" s="31" t="s">
        <v>6453</v>
      </c>
      <c r="I652" s="22" t="s">
        <v>1666</v>
      </c>
      <c r="J652" s="22" t="s">
        <v>6454</v>
      </c>
      <c r="K652" s="33" t="s">
        <v>6115</v>
      </c>
      <c r="L652" s="22" t="s">
        <v>758</v>
      </c>
      <c r="M652" s="22">
        <v>1955</v>
      </c>
      <c r="N652" s="22">
        <v>1980</v>
      </c>
      <c r="O652" s="22" t="s">
        <v>758</v>
      </c>
      <c r="P652" s="22"/>
      <c r="Q652" s="22"/>
      <c r="R652" s="22"/>
      <c r="S652" s="22"/>
      <c r="T652" s="22"/>
      <c r="U652" s="31" t="s">
        <v>6576</v>
      </c>
      <c r="V652" s="22"/>
      <c r="W652" s="45" t="s">
        <v>6460</v>
      </c>
    </row>
    <row r="653" spans="1:25">
      <c r="A653" s="22">
        <v>652</v>
      </c>
      <c r="B653" s="31" t="s">
        <v>6455</v>
      </c>
      <c r="C653" s="22">
        <v>813</v>
      </c>
      <c r="D653" s="22" t="s">
        <v>492</v>
      </c>
      <c r="E653" s="22" t="s">
        <v>506</v>
      </c>
      <c r="F653" s="31" t="s">
        <v>6456</v>
      </c>
      <c r="G653" s="22" t="s">
        <v>756</v>
      </c>
      <c r="H653" s="22" t="s">
        <v>6457</v>
      </c>
      <c r="I653" s="22" t="s">
        <v>1666</v>
      </c>
      <c r="J653" s="22" t="s">
        <v>6458</v>
      </c>
      <c r="K653" s="33" t="s">
        <v>6115</v>
      </c>
      <c r="L653" s="22" t="s">
        <v>785</v>
      </c>
      <c r="M653" s="22">
        <v>1955</v>
      </c>
      <c r="N653" s="22">
        <v>1970</v>
      </c>
      <c r="O653" s="22"/>
      <c r="P653" s="22"/>
      <c r="Q653" s="22"/>
      <c r="R653" s="22"/>
      <c r="S653" s="22"/>
      <c r="T653" s="22"/>
      <c r="U653" s="31" t="s">
        <v>6459</v>
      </c>
      <c r="V653" s="22"/>
      <c r="W653" s="45" t="s">
        <v>6461</v>
      </c>
    </row>
    <row r="654" spans="1:25" ht="71.25">
      <c r="A654" s="22">
        <v>653</v>
      </c>
      <c r="B654" s="31" t="s">
        <v>6462</v>
      </c>
      <c r="C654" s="22">
        <v>1031</v>
      </c>
      <c r="D654" s="31" t="s">
        <v>507</v>
      </c>
      <c r="E654" s="22" t="s">
        <v>519</v>
      </c>
      <c r="F654" s="31" t="s">
        <v>6463</v>
      </c>
      <c r="G654" s="22" t="s">
        <v>755</v>
      </c>
      <c r="H654" s="22" t="s">
        <v>6464</v>
      </c>
      <c r="I654" s="22" t="s">
        <v>1666</v>
      </c>
      <c r="J654" s="22" t="s">
        <v>5090</v>
      </c>
      <c r="K654" s="33" t="s">
        <v>6115</v>
      </c>
      <c r="L654" s="22" t="s">
        <v>758</v>
      </c>
      <c r="M654" s="22">
        <v>1955</v>
      </c>
      <c r="N654" s="22">
        <v>1970</v>
      </c>
      <c r="O654" s="31" t="s">
        <v>6465</v>
      </c>
      <c r="P654" s="22">
        <v>0.75</v>
      </c>
      <c r="Q654" s="22"/>
      <c r="R654" s="31" t="s">
        <v>6165</v>
      </c>
      <c r="S654" s="22" t="s">
        <v>6535</v>
      </c>
      <c r="T654" s="22"/>
      <c r="U654" s="31"/>
      <c r="V654" s="22"/>
      <c r="W654" s="45" t="s">
        <v>6466</v>
      </c>
    </row>
    <row r="655" spans="1:25" ht="28.5">
      <c r="A655" s="22">
        <v>654</v>
      </c>
      <c r="B655" s="31" t="s">
        <v>6401</v>
      </c>
      <c r="C655" s="22"/>
      <c r="D655" s="22" t="s">
        <v>489</v>
      </c>
      <c r="E655" s="22" t="s">
        <v>506</v>
      </c>
      <c r="F655" s="31" t="s">
        <v>6485</v>
      </c>
      <c r="G655" s="22" t="s">
        <v>1089</v>
      </c>
      <c r="H655" s="22" t="s">
        <v>6486</v>
      </c>
      <c r="I655" s="22" t="s">
        <v>1003</v>
      </c>
      <c r="J655" s="22" t="s">
        <v>4775</v>
      </c>
      <c r="K655" s="33" t="s">
        <v>6487</v>
      </c>
      <c r="L655" s="22" t="s">
        <v>782</v>
      </c>
      <c r="M655" s="22">
        <v>1970</v>
      </c>
      <c r="N655" s="22">
        <v>1980</v>
      </c>
      <c r="O655" s="22"/>
      <c r="P655" s="22"/>
      <c r="Q655" s="22"/>
      <c r="R655" s="22"/>
      <c r="S655" s="22" t="s">
        <v>6488</v>
      </c>
      <c r="T655" s="22"/>
      <c r="U655" s="31"/>
      <c r="V655" s="22"/>
      <c r="W655" s="45" t="s">
        <v>6489</v>
      </c>
      <c r="X655" s="22"/>
    </row>
    <row r="656" spans="1:25" ht="28.5">
      <c r="A656" s="22">
        <v>655</v>
      </c>
      <c r="B656" s="31" t="s">
        <v>6490</v>
      </c>
      <c r="C656" s="22">
        <v>988</v>
      </c>
      <c r="D656" s="22" t="s">
        <v>493</v>
      </c>
      <c r="E656" s="22" t="s">
        <v>510</v>
      </c>
      <c r="F656" s="31" t="s">
        <v>6491</v>
      </c>
      <c r="G656" s="22" t="s">
        <v>1089</v>
      </c>
      <c r="H656" s="22" t="s">
        <v>6574</v>
      </c>
      <c r="I656" s="22" t="s">
        <v>1666</v>
      </c>
      <c r="J656" s="22" t="s">
        <v>6492</v>
      </c>
      <c r="K656" s="33" t="s">
        <v>6493</v>
      </c>
      <c r="L656" s="22" t="s">
        <v>758</v>
      </c>
      <c r="M656" s="22">
        <v>1960</v>
      </c>
      <c r="N656" s="22">
        <v>1965</v>
      </c>
      <c r="O656" s="31" t="s">
        <v>6575</v>
      </c>
      <c r="P656" s="22"/>
      <c r="Q656" s="22"/>
      <c r="R656" s="22"/>
      <c r="S656" s="22"/>
      <c r="T656" s="22"/>
      <c r="U656" s="31"/>
      <c r="V656" s="31" t="s">
        <v>6577</v>
      </c>
      <c r="W656" s="45" t="s">
        <v>6494</v>
      </c>
      <c r="X656" s="22"/>
    </row>
    <row r="657" spans="1:26" ht="28.5">
      <c r="A657" s="22">
        <v>656</v>
      </c>
      <c r="B657" s="31" t="s">
        <v>6478</v>
      </c>
      <c r="C657" s="22"/>
      <c r="D657" s="22" t="s">
        <v>492</v>
      </c>
      <c r="E657" s="22" t="s">
        <v>508</v>
      </c>
      <c r="F657" s="31" t="s">
        <v>6479</v>
      </c>
      <c r="G657" s="22" t="s">
        <v>1089</v>
      </c>
      <c r="H657" s="31" t="s">
        <v>6480</v>
      </c>
      <c r="I657" s="22" t="s">
        <v>1666</v>
      </c>
      <c r="J657" s="22" t="s">
        <v>6484</v>
      </c>
      <c r="K657" s="33" t="s">
        <v>6481</v>
      </c>
      <c r="L657" s="22" t="s">
        <v>785</v>
      </c>
      <c r="M657" s="22">
        <v>1965</v>
      </c>
      <c r="N657" s="22">
        <v>1975</v>
      </c>
      <c r="O657" s="22"/>
      <c r="P657" s="22"/>
      <c r="Q657" s="22"/>
      <c r="R657" s="22"/>
      <c r="S657" s="22"/>
      <c r="T657" s="22" t="s">
        <v>6533</v>
      </c>
      <c r="U657" s="31"/>
      <c r="V657" s="22" t="s">
        <v>6578</v>
      </c>
      <c r="W657" s="45" t="s">
        <v>6495</v>
      </c>
      <c r="X657" s="22"/>
    </row>
    <row r="658" spans="1:26" ht="57">
      <c r="A658" s="22">
        <v>657</v>
      </c>
      <c r="B658" s="31" t="s">
        <v>6510</v>
      </c>
      <c r="D658" s="22" t="s">
        <v>505</v>
      </c>
      <c r="E658" s="22" t="s">
        <v>510</v>
      </c>
      <c r="F658" s="31" t="s">
        <v>6511</v>
      </c>
      <c r="G658" s="22" t="s">
        <v>1089</v>
      </c>
      <c r="H658" s="22" t="s">
        <v>6515</v>
      </c>
      <c r="I658" s="22" t="s">
        <v>1666</v>
      </c>
      <c r="J658" s="22" t="s">
        <v>6512</v>
      </c>
      <c r="K658" s="33" t="s">
        <v>6124</v>
      </c>
      <c r="L658" s="22" t="s">
        <v>758</v>
      </c>
      <c r="M658" s="22">
        <v>1980</v>
      </c>
      <c r="N658" s="22">
        <v>2010</v>
      </c>
      <c r="O658" s="22"/>
      <c r="P658" s="22">
        <v>5.3</v>
      </c>
      <c r="Q658" s="22" t="s">
        <v>6644</v>
      </c>
      <c r="R658" s="31" t="s">
        <v>6513</v>
      </c>
      <c r="S658" s="22" t="s">
        <v>6514</v>
      </c>
      <c r="T658" s="31" t="s">
        <v>6532</v>
      </c>
      <c r="U658" s="31" t="s">
        <v>6555</v>
      </c>
      <c r="W658" s="45" t="s">
        <v>6527</v>
      </c>
      <c r="X658" s="22"/>
      <c r="Y658" s="22"/>
      <c r="Z658" s="22"/>
    </row>
    <row r="659" spans="1:26" ht="42.75">
      <c r="A659" s="22">
        <v>658</v>
      </c>
      <c r="B659" s="31" t="s">
        <v>6499</v>
      </c>
      <c r="C659" s="22">
        <v>4315</v>
      </c>
      <c r="D659" s="22" t="s">
        <v>505</v>
      </c>
      <c r="E659" s="22" t="s">
        <v>522</v>
      </c>
      <c r="F659" s="31" t="s">
        <v>6497</v>
      </c>
      <c r="G659" s="22" t="s">
        <v>1089</v>
      </c>
      <c r="H659" s="31" t="s">
        <v>6498</v>
      </c>
      <c r="I659" s="22" t="s">
        <v>1003</v>
      </c>
      <c r="J659" s="31" t="s">
        <v>6500</v>
      </c>
      <c r="K659" s="33" t="s">
        <v>163</v>
      </c>
      <c r="L659" s="22" t="s">
        <v>758</v>
      </c>
      <c r="M659" s="22">
        <v>1955</v>
      </c>
      <c r="N659" s="22">
        <v>1965</v>
      </c>
      <c r="O659" s="22" t="s">
        <v>782</v>
      </c>
      <c r="P659" s="22">
        <v>0</v>
      </c>
      <c r="Q659" s="22"/>
      <c r="R659" s="31" t="s">
        <v>6501</v>
      </c>
      <c r="S659" s="31" t="s">
        <v>6502</v>
      </c>
      <c r="T659" s="22"/>
      <c r="U659" s="31"/>
      <c r="V659" s="22" t="s">
        <v>6579</v>
      </c>
      <c r="W659" s="42" t="s">
        <v>6503</v>
      </c>
      <c r="X659" s="22"/>
      <c r="Y659" s="22"/>
      <c r="Z659" s="22"/>
    </row>
    <row r="660" spans="1:26" ht="28.5">
      <c r="A660" s="22">
        <v>659</v>
      </c>
      <c r="B660" s="31" t="s">
        <v>6504</v>
      </c>
      <c r="C660" s="22" t="s">
        <v>6505</v>
      </c>
      <c r="D660" s="22" t="s">
        <v>505</v>
      </c>
      <c r="E660" s="22" t="s">
        <v>522</v>
      </c>
      <c r="F660" s="31" t="s">
        <v>6506</v>
      </c>
      <c r="G660" s="22" t="s">
        <v>1089</v>
      </c>
      <c r="H660" s="31" t="s">
        <v>6498</v>
      </c>
      <c r="I660" s="22" t="s">
        <v>1003</v>
      </c>
      <c r="J660" s="31" t="s">
        <v>6507</v>
      </c>
      <c r="K660" s="33" t="s">
        <v>56</v>
      </c>
      <c r="L660" s="22" t="s">
        <v>782</v>
      </c>
      <c r="M660" s="22">
        <v>1936</v>
      </c>
      <c r="N660" s="22">
        <v>1956</v>
      </c>
      <c r="O660" s="22" t="s">
        <v>6508</v>
      </c>
      <c r="P660" s="22"/>
      <c r="Q660" s="22"/>
      <c r="R660" s="22"/>
      <c r="S660" s="22" t="s">
        <v>5305</v>
      </c>
      <c r="T660" s="22" t="s">
        <v>6509</v>
      </c>
      <c r="U660" s="31" t="s">
        <v>6557</v>
      </c>
      <c r="V660" s="22"/>
      <c r="W660" s="45" t="s">
        <v>6524</v>
      </c>
      <c r="X660" s="45" t="s">
        <v>6525</v>
      </c>
      <c r="Y660" s="45" t="s">
        <v>6526</v>
      </c>
      <c r="Z660" s="22"/>
    </row>
    <row r="661" spans="1:26" ht="28.5">
      <c r="A661" s="22">
        <v>660</v>
      </c>
      <c r="B661" s="31" t="s">
        <v>6516</v>
      </c>
      <c r="C661" s="22">
        <v>100</v>
      </c>
      <c r="D661" s="22" t="s">
        <v>489</v>
      </c>
      <c r="E661" s="22" t="s">
        <v>506</v>
      </c>
      <c r="F661" s="31" t="s">
        <v>6516</v>
      </c>
      <c r="G661" s="22" t="s">
        <v>757</v>
      </c>
      <c r="H661" s="31" t="s">
        <v>6517</v>
      </c>
      <c r="I661" s="22" t="s">
        <v>1848</v>
      </c>
      <c r="J661" s="22" t="s">
        <v>6519</v>
      </c>
      <c r="K661" s="33" t="s">
        <v>56</v>
      </c>
      <c r="L661" s="22" t="s">
        <v>758</v>
      </c>
      <c r="M661" s="22">
        <v>1953</v>
      </c>
      <c r="N661" s="22">
        <v>1959</v>
      </c>
      <c r="O661" s="22" t="s">
        <v>782</v>
      </c>
      <c r="P661" s="22"/>
      <c r="Q661" s="22"/>
      <c r="R661" s="22"/>
      <c r="S661" s="31" t="s">
        <v>4620</v>
      </c>
      <c r="T661" s="22" t="s">
        <v>6520</v>
      </c>
      <c r="U661" s="31" t="s">
        <v>6518</v>
      </c>
      <c r="V661" s="22"/>
      <c r="W661" s="45" t="s">
        <v>6528</v>
      </c>
      <c r="X661" s="45" t="s">
        <v>6529</v>
      </c>
      <c r="Y661" s="45" t="s">
        <v>6530</v>
      </c>
      <c r="Z661" s="45" t="s">
        <v>6531</v>
      </c>
    </row>
    <row r="662" spans="1:26" ht="213.75">
      <c r="A662" s="22">
        <v>661</v>
      </c>
      <c r="B662" s="22" t="s">
        <v>6640</v>
      </c>
      <c r="C662" s="22">
        <v>5700</v>
      </c>
      <c r="D662" s="22" t="s">
        <v>489</v>
      </c>
      <c r="E662" s="22" t="s">
        <v>506</v>
      </c>
      <c r="F662" s="22" t="s">
        <v>6641</v>
      </c>
      <c r="G662" s="22" t="s">
        <v>757</v>
      </c>
      <c r="H662" s="31" t="s">
        <v>6645</v>
      </c>
      <c r="I662" s="22" t="s">
        <v>1848</v>
      </c>
      <c r="J662" s="22" t="s">
        <v>6642</v>
      </c>
      <c r="K662" s="33" t="s">
        <v>99</v>
      </c>
      <c r="L662" s="22" t="s">
        <v>782</v>
      </c>
      <c r="M662" s="22">
        <v>1958</v>
      </c>
      <c r="N662" s="22">
        <v>1969</v>
      </c>
      <c r="O662" s="31" t="s">
        <v>6658</v>
      </c>
      <c r="P662" s="22">
        <v>325</v>
      </c>
      <c r="Q662" s="22" t="s">
        <v>6644</v>
      </c>
      <c r="R662" s="31" t="s">
        <v>6643</v>
      </c>
      <c r="S662" s="31" t="s">
        <v>6646</v>
      </c>
      <c r="T662" s="31" t="s">
        <v>6663</v>
      </c>
      <c r="U662" s="31" t="s">
        <v>6664</v>
      </c>
      <c r="V662" s="31" t="s">
        <v>6659</v>
      </c>
      <c r="W662" s="45" t="s">
        <v>6672</v>
      </c>
      <c r="X662" s="45" t="s">
        <v>6673</v>
      </c>
      <c r="Y662" s="45" t="s">
        <v>6674</v>
      </c>
      <c r="Z662" s="22"/>
    </row>
    <row r="663" spans="1:26" ht="199.5">
      <c r="A663" s="22">
        <v>662</v>
      </c>
      <c r="B663" s="104" t="s">
        <v>6647</v>
      </c>
      <c r="C663" s="22">
        <v>6070</v>
      </c>
      <c r="D663" s="31" t="s">
        <v>500</v>
      </c>
      <c r="E663" s="31" t="s">
        <v>510</v>
      </c>
      <c r="F663" s="31" t="s">
        <v>6649</v>
      </c>
      <c r="G663" s="22" t="s">
        <v>757</v>
      </c>
      <c r="H663" s="105" t="s">
        <v>6648</v>
      </c>
      <c r="I663" s="22" t="s">
        <v>1848</v>
      </c>
      <c r="J663" s="22" t="s">
        <v>6650</v>
      </c>
      <c r="K663" s="33" t="s">
        <v>99</v>
      </c>
      <c r="L663" s="22" t="s">
        <v>782</v>
      </c>
      <c r="M663" s="22">
        <v>1955</v>
      </c>
      <c r="N663" s="22">
        <v>1960</v>
      </c>
      <c r="O663" s="31" t="s">
        <v>6670</v>
      </c>
      <c r="P663" s="22">
        <v>1150</v>
      </c>
      <c r="Q663" s="22" t="s">
        <v>6644</v>
      </c>
      <c r="R663" s="31" t="s">
        <v>6643</v>
      </c>
      <c r="S663" s="31" t="s">
        <v>6689</v>
      </c>
      <c r="T663" s="31" t="s">
        <v>6661</v>
      </c>
      <c r="U663" s="31" t="s">
        <v>6662</v>
      </c>
      <c r="V663" s="31" t="s">
        <v>6665</v>
      </c>
      <c r="W663" s="45" t="s">
        <v>6675</v>
      </c>
      <c r="X663" s="22"/>
      <c r="Y663" s="22"/>
    </row>
    <row r="664" spans="1:26" ht="71.25">
      <c r="A664" s="22">
        <v>663</v>
      </c>
      <c r="B664" s="22" t="s">
        <v>6654</v>
      </c>
      <c r="C664" s="22">
        <v>214</v>
      </c>
      <c r="D664" s="31" t="s">
        <v>499</v>
      </c>
      <c r="E664" s="22" t="s">
        <v>509</v>
      </c>
      <c r="F664" s="31" t="s">
        <v>6655</v>
      </c>
      <c r="G664" s="22" t="s">
        <v>1089</v>
      </c>
      <c r="H664" s="31" t="s">
        <v>6656</v>
      </c>
      <c r="I664" s="22" t="s">
        <v>1003</v>
      </c>
      <c r="J664" s="22" t="s">
        <v>6666</v>
      </c>
      <c r="K664" s="33" t="s">
        <v>83</v>
      </c>
      <c r="L664" s="22" t="s">
        <v>782</v>
      </c>
      <c r="M664" s="22">
        <v>1930</v>
      </c>
      <c r="N664" s="22">
        <v>1935</v>
      </c>
      <c r="O664" s="22"/>
      <c r="P664" s="22">
        <v>860</v>
      </c>
      <c r="Q664" s="22" t="s">
        <v>6644</v>
      </c>
      <c r="R664" s="31" t="s">
        <v>3840</v>
      </c>
      <c r="S664" s="22"/>
      <c r="T664" s="22" t="s">
        <v>6660</v>
      </c>
      <c r="U664" s="31" t="s">
        <v>6668</v>
      </c>
      <c r="V664" s="22"/>
      <c r="W664" s="45" t="s">
        <v>6676</v>
      </c>
      <c r="X664" s="45" t="s">
        <v>6677</v>
      </c>
      <c r="Y664" s="22"/>
    </row>
    <row r="665" spans="1:26" ht="57">
      <c r="A665" s="22">
        <v>664</v>
      </c>
      <c r="B665" s="22" t="s">
        <v>6669</v>
      </c>
      <c r="C665" s="22">
        <v>3321</v>
      </c>
      <c r="D665" s="31" t="s">
        <v>499</v>
      </c>
      <c r="E665" s="22" t="s">
        <v>506</v>
      </c>
      <c r="F665" s="31" t="s">
        <v>6651</v>
      </c>
      <c r="G665" s="22" t="s">
        <v>755</v>
      </c>
      <c r="H665" s="31" t="s">
        <v>6652</v>
      </c>
      <c r="I665" s="22" t="s">
        <v>1003</v>
      </c>
      <c r="J665" s="22" t="s">
        <v>6667</v>
      </c>
      <c r="K665" s="33" t="s">
        <v>196</v>
      </c>
      <c r="L665" s="22" t="s">
        <v>758</v>
      </c>
      <c r="M665" s="22">
        <v>1955</v>
      </c>
      <c r="N665" s="22">
        <v>1960</v>
      </c>
      <c r="O665" s="22" t="s">
        <v>758</v>
      </c>
      <c r="P665" s="22">
        <v>350</v>
      </c>
      <c r="Q665" s="22" t="s">
        <v>6644</v>
      </c>
      <c r="R665" s="31" t="s">
        <v>3840</v>
      </c>
      <c r="S665" s="31" t="s">
        <v>6653</v>
      </c>
      <c r="T665" s="22" t="s">
        <v>6657</v>
      </c>
      <c r="U665" s="31"/>
      <c r="V665" s="22"/>
      <c r="W665" s="45" t="s">
        <v>6678</v>
      </c>
      <c r="X665" s="45" t="s">
        <v>6679</v>
      </c>
      <c r="Y665" s="45" t="s">
        <v>6680</v>
      </c>
      <c r="Z665" s="45" t="s">
        <v>6681</v>
      </c>
    </row>
    <row r="666" spans="1:26" ht="28.5">
      <c r="A666" s="22">
        <v>665</v>
      </c>
      <c r="B666" s="22" t="s">
        <v>6686</v>
      </c>
      <c r="C666" s="22">
        <v>322</v>
      </c>
      <c r="D666" t="s">
        <v>493</v>
      </c>
      <c r="E666" t="s">
        <v>508</v>
      </c>
      <c r="F666" s="31" t="s">
        <v>6683</v>
      </c>
      <c r="G666" s="22" t="s">
        <v>755</v>
      </c>
      <c r="I666" s="22" t="s">
        <v>1003</v>
      </c>
      <c r="K666" s="33" t="s">
        <v>83</v>
      </c>
      <c r="M666" s="22">
        <v>1930</v>
      </c>
      <c r="N666" s="22">
        <v>1935</v>
      </c>
      <c r="P666" s="22">
        <v>515.5</v>
      </c>
      <c r="Q666" s="22" t="s">
        <v>6682</v>
      </c>
      <c r="R666" s="31" t="s">
        <v>1249</v>
      </c>
      <c r="T666" s="22" t="s">
        <v>6688</v>
      </c>
    </row>
    <row r="667" spans="1:26" ht="28.5">
      <c r="A667" s="22">
        <v>666</v>
      </c>
      <c r="D667" s="6" t="s">
        <v>500</v>
      </c>
      <c r="E667" t="s">
        <v>506</v>
      </c>
      <c r="G667" s="22" t="s">
        <v>755</v>
      </c>
      <c r="I667" s="22" t="s">
        <v>1003</v>
      </c>
      <c r="K667" s="33" t="s">
        <v>33</v>
      </c>
      <c r="M667" s="22">
        <v>1940</v>
      </c>
      <c r="P667" s="22">
        <v>1112.5</v>
      </c>
      <c r="Q667" s="22" t="s">
        <v>6690</v>
      </c>
      <c r="R667" s="31" t="s">
        <v>2091</v>
      </c>
      <c r="S667" s="31" t="s">
        <v>6691</v>
      </c>
      <c r="T667" s="22"/>
      <c r="U667" s="6" t="s">
        <v>6692</v>
      </c>
    </row>
    <row r="668" spans="1:26">
      <c r="K668" s="33"/>
    </row>
    <row r="669" spans="1:26">
      <c r="K669" s="33"/>
    </row>
    <row r="670" spans="1:26">
      <c r="K670" s="33"/>
    </row>
    <row r="671" spans="1:26">
      <c r="K671" s="33"/>
    </row>
    <row r="672" spans="1:26">
      <c r="K672" s="33"/>
    </row>
    <row r="673" spans="11:11">
      <c r="K673" s="33"/>
    </row>
    <row r="674" spans="11:11">
      <c r="K674" s="33"/>
    </row>
    <row r="675" spans="11:11">
      <c r="K675" s="33"/>
    </row>
    <row r="676" spans="11:11">
      <c r="K676" s="33"/>
    </row>
    <row r="677" spans="11:11">
      <c r="K677" s="33"/>
    </row>
    <row r="678" spans="11:11">
      <c r="K678" s="33"/>
    </row>
    <row r="679" spans="11:11">
      <c r="K679" s="33"/>
    </row>
    <row r="680" spans="11:11">
      <c r="K680" s="33"/>
    </row>
    <row r="681" spans="11:11">
      <c r="K681" s="33"/>
    </row>
    <row r="682" spans="11:11">
      <c r="K682" s="33"/>
    </row>
    <row r="683" spans="11:11">
      <c r="K683" s="33"/>
    </row>
    <row r="684" spans="11:11">
      <c r="K684" s="33"/>
    </row>
    <row r="685" spans="11:11">
      <c r="K685" s="33"/>
    </row>
    <row r="686" spans="11:11">
      <c r="K686" s="33"/>
    </row>
    <row r="687" spans="11:11">
      <c r="K687" s="33"/>
    </row>
    <row r="688" spans="11:11">
      <c r="K688" s="33"/>
    </row>
    <row r="689" spans="11:11">
      <c r="K689" s="33"/>
    </row>
    <row r="690" spans="11:11">
      <c r="K690" s="33"/>
    </row>
    <row r="691" spans="11:11">
      <c r="K691" s="33"/>
    </row>
    <row r="692" spans="11:11">
      <c r="K692" s="33"/>
    </row>
    <row r="693" spans="11:11">
      <c r="K693" s="33"/>
    </row>
    <row r="694" spans="11:11">
      <c r="K694" s="33"/>
    </row>
    <row r="695" spans="11:11">
      <c r="K695" s="33"/>
    </row>
    <row r="696" spans="11:11">
      <c r="K696" s="33"/>
    </row>
    <row r="697" spans="11:11">
      <c r="K697" s="33"/>
    </row>
    <row r="698" spans="11:11">
      <c r="K698" s="33"/>
    </row>
    <row r="699" spans="11:11">
      <c r="K699" s="33"/>
    </row>
    <row r="700" spans="11:11">
      <c r="K700" s="33"/>
    </row>
    <row r="701" spans="11:11">
      <c r="K701" s="33"/>
    </row>
    <row r="702" spans="11:11">
      <c r="K702" s="33"/>
    </row>
    <row r="703" spans="11:11">
      <c r="K703" s="33"/>
    </row>
    <row r="704" spans="11:11">
      <c r="K704" s="33"/>
    </row>
    <row r="705" spans="11:11">
      <c r="K705" s="33"/>
    </row>
    <row r="706" spans="11:11">
      <c r="K706" s="33"/>
    </row>
    <row r="707" spans="11:11">
      <c r="K707" s="33"/>
    </row>
    <row r="708" spans="11:11">
      <c r="K708" s="33"/>
    </row>
    <row r="709" spans="11:11">
      <c r="K709" s="33"/>
    </row>
    <row r="710" spans="11:11">
      <c r="K710" s="33"/>
    </row>
    <row r="711" spans="11:11">
      <c r="K711" s="33"/>
    </row>
  </sheetData>
  <autoFilter ref="A1:Z666" xr:uid="{00000000-0001-0000-0000-000000000000}">
    <sortState xmlns:xlrd2="http://schemas.microsoft.com/office/spreadsheetml/2017/richdata2" ref="A2:Z437">
      <sortCondition ref="A1:A437"/>
    </sortState>
  </autoFilter>
  <dataValidations count="2">
    <dataValidation type="list" allowBlank="1" showInputMessage="1" showErrorMessage="1" sqref="G1:G1048576" xr:uid="{0BB004D0-41C2-4D28-B469-D003C31063DC}">
      <formula1>"Clockwork,Friction,Battery,Other"</formula1>
    </dataValidation>
    <dataValidation type="list" allowBlank="1" showInputMessage="1" showErrorMessage="1" sqref="L1:L1048576" xr:uid="{42B06E96-ABCA-40A5-B09C-3C2D44B44E28}">
      <formula1>"Excellent,Very Good,Good,Reasonable,Poor"</formula1>
    </dataValidation>
  </dataValidations>
  <hyperlinks>
    <hyperlink ref="W2" r:id="rId1" xr:uid="{C2D1C2F7-AB52-4D0C-89CB-2F54AAE0A856}"/>
    <hyperlink ref="X2" r:id="rId2" xr:uid="{2798E79A-2A49-4748-9064-06508E2D45FF}"/>
    <hyperlink ref="Y2" r:id="rId3" xr:uid="{874848A2-8D87-410F-9FCA-129F3E76DF36}"/>
    <hyperlink ref="W3" r:id="rId4" xr:uid="{5424E428-99F7-40E0-AE77-70AE2997BA21}"/>
    <hyperlink ref="X3" r:id="rId5" xr:uid="{4B28C856-DAD6-4BBA-A0DD-D2688F214583}"/>
    <hyperlink ref="W4" r:id="rId6" xr:uid="{F853A91A-2DA5-48AE-A750-71FF37CA6A7B}"/>
    <hyperlink ref="X4" r:id="rId7" xr:uid="{9F7DDA4E-7597-468B-B160-F96395F39468}"/>
    <hyperlink ref="Y4" r:id="rId8" xr:uid="{309894CE-7DA3-4236-A569-B6D5F02D84F3}"/>
    <hyperlink ref="W5" r:id="rId9" xr:uid="{D0F0C7BA-F459-4520-BEE7-16495363DC13}"/>
    <hyperlink ref="X5" r:id="rId10" xr:uid="{6A739BBA-AE12-496E-9468-21CB4C95D21E}"/>
    <hyperlink ref="Y5" r:id="rId11" xr:uid="{3A99F8AD-8CFF-4614-BA9D-50E073005B09}"/>
    <hyperlink ref="W6" r:id="rId12" xr:uid="{C802DB67-463A-4993-B508-77CFEF665D27}"/>
    <hyperlink ref="X6" r:id="rId13" xr:uid="{6EB03301-FA58-4D9C-B548-2AA2746499E3}"/>
    <hyperlink ref="Y6" r:id="rId14" xr:uid="{1216A943-66E7-4467-A1D4-FF067309D3C0}"/>
    <hyperlink ref="W7" r:id="rId15" xr:uid="{E7F56C48-4572-4C38-BE8A-C7AB9DA05C02}"/>
    <hyperlink ref="X7" r:id="rId16" xr:uid="{C44857BD-8DBE-463D-851D-6734C5FD2B13}"/>
    <hyperlink ref="Y7" r:id="rId17" xr:uid="{A584D710-5967-4CF0-8C39-A10C90D413F8}"/>
    <hyperlink ref="W8" r:id="rId18" xr:uid="{213E6287-F9E3-42A9-9A17-CE83F62FE346}"/>
    <hyperlink ref="X8" r:id="rId19" xr:uid="{5EC93780-494D-4A1E-AFB6-61169ABB6ADD}"/>
    <hyperlink ref="W9" r:id="rId20" xr:uid="{A3A0A808-7F9E-4B55-9CF1-4A40D6879CFB}"/>
    <hyperlink ref="X9" r:id="rId21" xr:uid="{83132ABC-29BF-4D72-8EBF-74B97CD90BD4}"/>
    <hyperlink ref="Y9" r:id="rId22" xr:uid="{CE303CFE-20BD-48B8-8B19-0D3C7D64916B}"/>
    <hyperlink ref="W10" r:id="rId23" xr:uid="{F4412098-AAD8-40F0-82D2-C5DA5D81A93C}"/>
    <hyperlink ref="X10" r:id="rId24" xr:uid="{B4E946F5-9B9E-4779-AA9C-C8A0C037D768}"/>
    <hyperlink ref="Y10" r:id="rId25" xr:uid="{ECC0493E-67CC-4A13-BBEF-4535A2B7F6FC}"/>
    <hyperlink ref="W11" r:id="rId26" xr:uid="{8B294F79-99F1-4068-A322-9809EBDE1A17}"/>
    <hyperlink ref="X11" r:id="rId27" xr:uid="{A712639F-F21E-4F29-8ACA-BA96E6FF3FD9}"/>
    <hyperlink ref="W12" r:id="rId28" xr:uid="{A308DD15-8F49-4EBC-919F-5E6F9B2CD0FB}"/>
    <hyperlink ref="X12" r:id="rId29" xr:uid="{F97C8694-051D-4D4C-B333-F5DE7A465916}"/>
    <hyperlink ref="W13" r:id="rId30" xr:uid="{5624CB24-7974-4598-8562-CE2CDB2FBEF0}"/>
    <hyperlink ref="X13" r:id="rId31" xr:uid="{4A471F73-39B8-495B-BADC-9A19C3DB3F4F}"/>
    <hyperlink ref="W14" r:id="rId32" xr:uid="{DAB62EBF-57CE-42AF-BEB5-1EF57D999DAB}"/>
    <hyperlink ref="X14" r:id="rId33" xr:uid="{FF94854C-2ECE-4FB7-8014-F7E8D3E0CF5F}"/>
    <hyperlink ref="Y14" r:id="rId34" xr:uid="{3C817D4C-358C-4EC7-950B-D9852130676E}"/>
    <hyperlink ref="W15" r:id="rId35" xr:uid="{6E03E996-5F88-4F60-AD4A-C25565CF43CB}"/>
    <hyperlink ref="X15" r:id="rId36" xr:uid="{DD04B632-FB0A-4744-B23C-16B66BC35912}"/>
    <hyperlink ref="Y15" r:id="rId37" xr:uid="{69EA379A-C346-4783-A9FC-7E8D4E3D841C}"/>
    <hyperlink ref="Z15" r:id="rId38" xr:uid="{DFD55C41-B9E1-4134-8A6A-4EC31C7745DA}"/>
    <hyperlink ref="W16" r:id="rId39" xr:uid="{8E3A7883-5AF0-4900-AF1F-B3EA91CD71EC}"/>
    <hyperlink ref="X16" r:id="rId40" xr:uid="{87497F71-7504-477A-B549-8AAE68242B09}"/>
    <hyperlink ref="Y16" r:id="rId41" xr:uid="{7B118170-DBE5-4E6F-9CC5-61C26A62091F}"/>
    <hyperlink ref="Z16" r:id="rId42" xr:uid="{4CB431FD-BCA0-40FC-A454-D94F62E7338F}"/>
    <hyperlink ref="W17" r:id="rId43" xr:uid="{A4A24423-AE69-412A-B3B6-69BC26992D78}"/>
    <hyperlink ref="X17" r:id="rId44" xr:uid="{F70F3B36-AFCC-4132-BE4D-1D8EB28E083C}"/>
    <hyperlink ref="Y17" r:id="rId45" xr:uid="{2B0AC0A3-59A7-4B70-9AD2-9B7CB16A1796}"/>
    <hyperlink ref="W18" r:id="rId46" xr:uid="{5EA2917C-3185-4415-8E95-9DBA31791E6C}"/>
    <hyperlink ref="X18" r:id="rId47" xr:uid="{D24AA9CF-6307-4130-82A2-EB786B4F2EBF}"/>
    <hyperlink ref="Y18" r:id="rId48" xr:uid="{5DAACC70-18AF-4DEB-8267-33A1F479C6D0}"/>
    <hyperlink ref="Z18" r:id="rId49" xr:uid="{B1316D7B-D38F-4A3F-8CD0-0389D952C5B9}"/>
    <hyperlink ref="W19" r:id="rId50" xr:uid="{B0B59655-728C-4672-9930-45651F469797}"/>
    <hyperlink ref="X19" r:id="rId51" xr:uid="{C87962AD-69C2-4A86-BC6D-A3C58CDC6EA7}"/>
    <hyperlink ref="Y19" r:id="rId52" xr:uid="{5C6A739A-65CE-4F72-9018-A054D2D24A09}"/>
    <hyperlink ref="Z19" r:id="rId53" xr:uid="{48F85EC9-368D-474D-A2B8-F56FA3320214}"/>
    <hyperlink ref="W20" r:id="rId54" xr:uid="{299694DB-9A0F-4B3B-8431-1B86D377E0D7}"/>
    <hyperlink ref="X20" r:id="rId55" xr:uid="{4E170CC9-9C6C-4215-A5A7-4C7B498ABD27}"/>
    <hyperlink ref="W21" r:id="rId56" xr:uid="{BB421671-B821-4632-9050-A4C5FDBFC611}"/>
    <hyperlink ref="X21" r:id="rId57" xr:uid="{06DCD4F3-E7B7-4814-98E4-EF8086864EFE}"/>
    <hyperlink ref="Y21" r:id="rId58" xr:uid="{99077797-9A79-4518-8C58-71CFD4CA736D}"/>
    <hyperlink ref="Z21" r:id="rId59" xr:uid="{B7AB5841-AB4C-41CE-BF1D-4104C31B6FFF}"/>
    <hyperlink ref="W22" r:id="rId60" xr:uid="{97E80033-CAED-46C3-BE4E-85ED856A992B}"/>
    <hyperlink ref="X22" r:id="rId61" xr:uid="{3519A5BD-947E-4BA3-AD6B-2E1F1D4BC523}"/>
    <hyperlink ref="Y22" r:id="rId62" xr:uid="{E8957F33-366E-45CE-9378-694E420EFE30}"/>
    <hyperlink ref="W23" r:id="rId63" xr:uid="{5CEE3ED6-F70A-4A06-8D38-0D3623DB9F66}"/>
    <hyperlink ref="X23" r:id="rId64" xr:uid="{EC17405C-7B67-46D8-AA0A-07A009039DE7}"/>
    <hyperlink ref="Y23" r:id="rId65" xr:uid="{3B68ECB8-89C3-44E8-889A-5AE2DC8B85B7}"/>
    <hyperlink ref="Z23" r:id="rId66" xr:uid="{BDD58154-E029-465F-AE8A-08E228185E49}"/>
    <hyperlink ref="W24" r:id="rId67" xr:uid="{0055C65A-0D36-4A9B-91E3-0922C26A42F6}"/>
    <hyperlink ref="X24" r:id="rId68" xr:uid="{98D0CF09-2641-4836-AC77-E9C08E285835}"/>
    <hyperlink ref="Y24" r:id="rId69" xr:uid="{3022D4A0-E68F-4B39-BD93-FF4FAFEF8BAE}"/>
    <hyperlink ref="Z24" r:id="rId70" xr:uid="{209F2AC8-EAB9-47EE-8E4B-D2549EC54AF3}"/>
    <hyperlink ref="W25" r:id="rId71" xr:uid="{C61EDBD9-2C31-46B9-9D37-7C75C0A28968}"/>
    <hyperlink ref="X25" r:id="rId72" xr:uid="{9B005700-F05F-4ED8-8389-2B9D8BC6112D}"/>
    <hyperlink ref="Y25" r:id="rId73" xr:uid="{5C10624B-D2A7-4E4F-9BEC-AF588AC13A95}"/>
    <hyperlink ref="W26" r:id="rId74" xr:uid="{C4B6E8BD-9A27-4034-B0E3-8FC974414CCE}"/>
    <hyperlink ref="X26" r:id="rId75" xr:uid="{B37B59BE-10E3-465A-9D6A-DD42A5AAD2E9}"/>
    <hyperlink ref="Y26" r:id="rId76" xr:uid="{40815DE2-E62E-4441-A2AD-ABF6CD8BF672}"/>
    <hyperlink ref="W27" r:id="rId77" xr:uid="{721D9F88-D119-4F7B-8725-038FD910EB17}"/>
    <hyperlink ref="X27" r:id="rId78" xr:uid="{D21C3CD8-D02D-4A62-97E0-9C7B7AA4EE04}"/>
    <hyperlink ref="Y27" r:id="rId79" xr:uid="{CE7458CC-33DB-484E-BA2E-549634028D14}"/>
    <hyperlink ref="Z27" r:id="rId80" xr:uid="{3AEC9018-1D5C-48BB-A113-359DBF74C878}"/>
    <hyperlink ref="W28" r:id="rId81" xr:uid="{63E0D09C-A6CF-4609-8F49-F11F33170731}"/>
    <hyperlink ref="X28" r:id="rId82" xr:uid="{3F22435B-CD29-4119-93EC-B1CC60C6F9E3}"/>
    <hyperlink ref="Y28" r:id="rId83" xr:uid="{4F813B52-15AF-4EC3-A11C-FA2D288AFB6A}"/>
    <hyperlink ref="W29" r:id="rId84" xr:uid="{A67D8357-7A42-4E8A-8DFD-A793AA91DC8B}"/>
    <hyperlink ref="X29" r:id="rId85" xr:uid="{D7ED374F-7441-4510-B852-403D627C16E6}"/>
    <hyperlink ref="Y29" r:id="rId86" xr:uid="{1FDA75C9-2CDB-49EC-8A24-3C6CE427E1BB}"/>
    <hyperlink ref="Z29" r:id="rId87" xr:uid="{E0954206-E013-4E10-960C-4AB86AE31FAC}"/>
    <hyperlink ref="W30" r:id="rId88" xr:uid="{4B6AAAD5-5DBA-4307-99B6-B5A468B1E518}"/>
    <hyperlink ref="W31" r:id="rId89" xr:uid="{265EE558-6CE5-4560-9061-5A20FDA85816}"/>
    <hyperlink ref="X31" r:id="rId90" xr:uid="{ECA7CE68-49F7-4189-9FFB-72A5634954F1}"/>
    <hyperlink ref="Y31" r:id="rId91" xr:uid="{F3AE25F5-5C49-4268-A0DB-5244EAD76187}"/>
    <hyperlink ref="Z31" r:id="rId92" xr:uid="{0D4C6665-7D4F-4E53-AF9B-9271A96C503B}"/>
    <hyperlink ref="W32" r:id="rId93" xr:uid="{02DD76DE-5EAF-4BCE-A288-BF0B936A5ACA}"/>
    <hyperlink ref="X32" r:id="rId94" xr:uid="{C9B03B6E-8E94-4632-B0AB-6AEEA2376DAF}"/>
    <hyperlink ref="Y32" r:id="rId95" xr:uid="{A6C70D62-B513-4417-A804-162F7522A046}"/>
    <hyperlink ref="W33" r:id="rId96" xr:uid="{1CCCD1E3-5FAF-44E1-A9F2-287FD7A39559}"/>
    <hyperlink ref="X33" r:id="rId97" xr:uid="{54ACEB60-21CB-48B5-8B6E-753403572B49}"/>
    <hyperlink ref="W34" r:id="rId98" xr:uid="{E66B469C-5892-4EC1-8D12-555B38ADD9DC}"/>
    <hyperlink ref="X34" r:id="rId99" xr:uid="{2E50955F-D4E6-4633-8DC2-6734BF2FBFD9}"/>
    <hyperlink ref="Y34" r:id="rId100" xr:uid="{9778BD75-0757-49AD-995B-12610E0EE5BC}"/>
    <hyperlink ref="W35" r:id="rId101" xr:uid="{A5D60125-3879-47CF-B623-270F3C151EFE}"/>
    <hyperlink ref="X35" r:id="rId102" xr:uid="{C6070A90-FA16-4FD1-B4E8-28490FD68DBC}"/>
    <hyperlink ref="W36" r:id="rId103" xr:uid="{C05CC290-13E8-4DD8-A191-12DDE2ADEA85}"/>
    <hyperlink ref="X36" r:id="rId104" xr:uid="{829023CD-3681-4BA4-B012-9EA5CE1D9676}"/>
    <hyperlink ref="Y36" r:id="rId105" xr:uid="{3814499F-58A8-49EA-BA51-F7D92CF5957E}"/>
    <hyperlink ref="W37" r:id="rId106" xr:uid="{92AFD97C-E21A-4F84-9693-013AC14D4FE0}"/>
    <hyperlink ref="X37" r:id="rId107" xr:uid="{AF57C0EF-FF3A-478A-BB0F-E96EBA7C842C}"/>
    <hyperlink ref="Y37" r:id="rId108" xr:uid="{5CD9B319-5E9D-4F3C-B8F8-53CFBE76480C}"/>
    <hyperlink ref="W38" r:id="rId109" xr:uid="{A887702C-AAAA-47CB-B711-560A5A8D3B84}"/>
    <hyperlink ref="X38" r:id="rId110" xr:uid="{34EC269E-B135-4E8F-9B06-735594667EEE}"/>
    <hyperlink ref="W39" r:id="rId111" xr:uid="{2340A529-939E-4899-B974-8071C224BA96}"/>
    <hyperlink ref="X39" r:id="rId112" xr:uid="{1B8F42FA-EBE3-4F82-8780-01AE74F331F1}"/>
    <hyperlink ref="Y39" r:id="rId113" xr:uid="{096D442B-FC49-48A2-A5CD-9E77F2ED94A6}"/>
    <hyperlink ref="W40" r:id="rId114" xr:uid="{8D3D5812-A7F3-42AC-A681-38CEE76DCF11}"/>
    <hyperlink ref="X40" r:id="rId115" xr:uid="{8AEB525D-6F75-4979-8826-15F8D102BAD7}"/>
    <hyperlink ref="Y40" r:id="rId116" xr:uid="{B4E2B826-3775-42D7-9015-BB1F279DB60C}"/>
    <hyperlink ref="W41" r:id="rId117" xr:uid="{41229E79-B812-4BD8-A5C0-BD61F91A3A1E}"/>
    <hyperlink ref="X41" r:id="rId118" xr:uid="{3D694D01-E312-4DB9-BE45-91AC0A4F650E}"/>
    <hyperlink ref="W42" r:id="rId119" xr:uid="{BA5B1CCA-FEE8-408B-A8D6-46BF3033BD3B}"/>
    <hyperlink ref="X42" r:id="rId120" xr:uid="{43FCB152-6AB4-4430-A7AA-481CEB5DA703}"/>
    <hyperlink ref="W44" r:id="rId121" xr:uid="{36E2A63E-DCD6-4DB7-806A-8CD14B12DB05}"/>
    <hyperlink ref="X44" r:id="rId122" xr:uid="{D9D841D9-0EA9-47FF-A268-27A409A06948}"/>
    <hyperlink ref="W45" r:id="rId123" xr:uid="{AC248809-4766-457F-BADA-E54E0D7972DD}"/>
    <hyperlink ref="X45" r:id="rId124" xr:uid="{F94B09A0-0659-46E0-AEF9-E37622B809A3}"/>
    <hyperlink ref="Y45" r:id="rId125" xr:uid="{76344FF9-C6D0-42D5-99F0-260A17B67285}"/>
    <hyperlink ref="W46" r:id="rId126" xr:uid="{E2959345-A40D-42B3-BB0B-A6DA63D4DB2A}"/>
    <hyperlink ref="X46" r:id="rId127" xr:uid="{85E7A6C7-E9B3-4725-A769-22F194D31FFE}"/>
    <hyperlink ref="Y46" r:id="rId128" xr:uid="{DB997A64-FC53-46A9-A79C-DA239BF215C6}"/>
    <hyperlink ref="W47" r:id="rId129" xr:uid="{C2443837-2EA7-47B4-A70A-335CA84EAE98}"/>
    <hyperlink ref="X47" r:id="rId130" xr:uid="{8A18949F-C08E-4654-977A-721018BBAC18}"/>
    <hyperlink ref="Y47" r:id="rId131" xr:uid="{438D6715-59CC-49B0-B91F-6B19EEB77401}"/>
    <hyperlink ref="W50" r:id="rId132" xr:uid="{21E175D4-8542-47BF-9C24-B9B7009EA93D}"/>
    <hyperlink ref="X50" r:id="rId133" xr:uid="{210F7079-B3DE-4CA9-A560-5CBC8CA7BD72}"/>
    <hyperlink ref="Y50" r:id="rId134" xr:uid="{F3BC673D-6296-4DC0-8730-6DA338E0E7F1}"/>
    <hyperlink ref="W51" r:id="rId135" xr:uid="{8B18FBFB-5C28-4645-9DE6-09F09AAB8774}"/>
    <hyperlink ref="X51" r:id="rId136" xr:uid="{E63B5F54-EF23-4906-A5C9-0AD6F9C9319C}"/>
    <hyperlink ref="Y51" r:id="rId137" xr:uid="{A98C9DC0-B2DC-4EBA-AD88-7D3D8B7FCFA4}"/>
    <hyperlink ref="W97" r:id="rId138" xr:uid="{8869E7EB-C19E-432F-84CD-53862428840A}"/>
    <hyperlink ref="W96" r:id="rId139" xr:uid="{6722C542-E9E2-4D79-A848-53A69DCD151A}"/>
    <hyperlink ref="X96" r:id="rId140" xr:uid="{67A92DB6-7125-42BE-AC13-56AAD43765BF}"/>
    <hyperlink ref="W95" r:id="rId141" xr:uid="{CC93F66D-6050-424E-8858-B2B1486C9FAD}"/>
    <hyperlink ref="X95" r:id="rId142" xr:uid="{F9302E25-4B41-46E7-BC40-6B2007BEE17F}"/>
    <hyperlink ref="W94" r:id="rId143" xr:uid="{E35AAEDF-EF67-449B-9A12-B754C8B2ED11}"/>
    <hyperlink ref="X94" r:id="rId144" xr:uid="{262B108A-F186-4731-9DCA-EB0B7763EDA9}"/>
    <hyperlink ref="W93" r:id="rId145" xr:uid="{D4CA910F-E9B2-40BC-A646-67618A1FE19E}"/>
    <hyperlink ref="X93" r:id="rId146" xr:uid="{FDDC6BB7-0A32-4263-BDF7-77102B2E7E32}"/>
    <hyperlink ref="W92" r:id="rId147" xr:uid="{86C2AB56-9EE0-4F5D-B40B-DC5BE71C1512}"/>
    <hyperlink ref="X92" r:id="rId148" xr:uid="{39F8B4BD-A1C2-42FA-B26E-2EDB2121EB24}"/>
    <hyperlink ref="W91" r:id="rId149" xr:uid="{1B4EE942-B29D-481A-977A-EC4AAA5B06BF}"/>
    <hyperlink ref="W90" r:id="rId150" xr:uid="{5B2E851D-16FD-4299-BE74-640C0820600A}"/>
    <hyperlink ref="X90" r:id="rId151" xr:uid="{3BBC4756-F5EC-4933-92D6-AA17FC164B04}"/>
    <hyperlink ref="W89" r:id="rId152" xr:uid="{EA3AFB5E-9974-4E46-A1A1-87F328EAD2E1}"/>
    <hyperlink ref="X89" r:id="rId153" xr:uid="{579E8469-E92A-47B1-9740-C284FAB004E1}"/>
    <hyperlink ref="W88" r:id="rId154" xr:uid="{C25A09AE-CC9A-4674-9583-DEAF5E0BCB0A}"/>
    <hyperlink ref="X88" r:id="rId155" xr:uid="{DCD1DB4F-652E-45D4-9CB9-EAB93621A05B}"/>
    <hyperlink ref="W87" r:id="rId156" xr:uid="{C74194E5-C483-4475-8394-A67A251D26AD}"/>
    <hyperlink ref="X87" r:id="rId157" xr:uid="{1403C511-D6F2-4CD7-9C5D-4D20A51C0AFC}"/>
    <hyperlink ref="W85" r:id="rId158" xr:uid="{0C328129-EAA7-431F-9E56-7C0810CA2FA4}"/>
    <hyperlink ref="W84" r:id="rId159" xr:uid="{3ADDE767-8267-4813-9EA9-CCE6782ABA88}"/>
    <hyperlink ref="X84" r:id="rId160" xr:uid="{6C585A27-CB06-4D42-8993-CCAD0C0A6536}"/>
    <hyperlink ref="W83" r:id="rId161" xr:uid="{3663C600-369B-475D-A3B1-560F5F5FC3D9}"/>
    <hyperlink ref="X83" r:id="rId162" xr:uid="{815732BF-9426-4E4D-A462-9B8E180AE063}"/>
    <hyperlink ref="W82" r:id="rId163" xr:uid="{6CCC8E09-4435-4BFA-981B-5B239C04D3A1}"/>
    <hyperlink ref="X82" r:id="rId164" xr:uid="{486F9232-02F4-44C7-A2B9-07ED5D01BC35}"/>
    <hyperlink ref="W81" r:id="rId165" xr:uid="{D3F644A0-A4FB-40F7-81D8-3BD24FC5A85E}"/>
    <hyperlink ref="X81" r:id="rId166" xr:uid="{E3BDE24D-902A-4CAC-831C-501FBD89B29C}"/>
    <hyperlink ref="W80" r:id="rId167" xr:uid="{DEDEC0D2-9058-4977-B017-49BE386A4DEA}"/>
    <hyperlink ref="X80" r:id="rId168" xr:uid="{F7E59FB4-0B28-4D16-AE30-512977F84E5A}"/>
    <hyperlink ref="Y80" r:id="rId169" xr:uid="{70B0ACB3-941F-4A45-BDEB-25E12FCB04F0}"/>
    <hyperlink ref="W79" r:id="rId170" xr:uid="{3EA17747-59C5-443C-AC59-401F28D8C5B3}"/>
    <hyperlink ref="X79" r:id="rId171" xr:uid="{6E783321-37D0-4663-858E-491B223F882C}"/>
    <hyperlink ref="Y79" r:id="rId172" xr:uid="{6D885338-B680-4CE7-93B6-B2B104DBD40C}"/>
    <hyperlink ref="W78" r:id="rId173" xr:uid="{1541D838-48DE-490A-9401-CD417359B6EC}"/>
    <hyperlink ref="X78" r:id="rId174" xr:uid="{F5640497-5DA9-4537-9527-596E9370A2BA}"/>
    <hyperlink ref="W77" r:id="rId175" xr:uid="{169B8ACF-2E55-41E1-AAFF-D05869B0E326}"/>
    <hyperlink ref="X77" r:id="rId176" xr:uid="{04E7895F-184C-4F85-B69B-9B5EF6920FEC}"/>
    <hyperlink ref="Y77" r:id="rId177" xr:uid="{40B15C16-46B5-4CD2-B472-3DA6D7D0B611}"/>
    <hyperlink ref="W76" r:id="rId178" xr:uid="{0071ED71-1A34-4BE7-8518-E76AF55DEDE5}"/>
    <hyperlink ref="X76" r:id="rId179" xr:uid="{74CD8EC8-7C14-41B5-A07A-69E444399C54}"/>
    <hyperlink ref="W75" r:id="rId180" xr:uid="{94FAEB86-7D05-414D-B7B9-EF0E6B641F3A}"/>
    <hyperlink ref="X75" r:id="rId181" xr:uid="{56817C64-BF31-4E94-8D47-065DDDAA7CD1}"/>
    <hyperlink ref="Y75" r:id="rId182" xr:uid="{D1FE7FC2-787C-4E49-9438-1A3BFAC740CB}"/>
    <hyperlink ref="W74" r:id="rId183" xr:uid="{0C69E3C9-4220-42E2-ACE6-D388C23123A8}"/>
    <hyperlink ref="X74" r:id="rId184" xr:uid="{21D7ED5A-1017-4EBB-845C-CF80E12BA334}"/>
    <hyperlink ref="Y74" r:id="rId185" xr:uid="{16A3B1F7-7F78-4659-9E57-7A023260370B}"/>
    <hyperlink ref="W73" r:id="rId186" xr:uid="{386F8A8B-D96C-44B5-8875-AFE75EFD3C6C}"/>
    <hyperlink ref="X73" r:id="rId187" xr:uid="{3409FC79-9A61-4535-A8E6-B6F285708545}"/>
    <hyperlink ref="Y73" r:id="rId188" xr:uid="{D8C5563B-3BCC-4A76-9000-8F778134E509}"/>
    <hyperlink ref="W72" r:id="rId189" xr:uid="{801F1D06-AF39-465A-A6F1-74A1D513B0EB}"/>
    <hyperlink ref="W71" r:id="rId190" xr:uid="{5C314848-FC5B-4CA8-BAC1-68FE03D0F154}"/>
    <hyperlink ref="X71" r:id="rId191" xr:uid="{80393D21-4F3F-4194-A1DA-1684F6A01BCB}"/>
    <hyperlink ref="W70" r:id="rId192" xr:uid="{E13046E1-9D3A-4166-ABB4-9A7E2C6195AB}"/>
    <hyperlink ref="W69" r:id="rId193" xr:uid="{7F45F934-0930-4927-986F-0F3A02BBC6DD}"/>
    <hyperlink ref="X69" r:id="rId194" xr:uid="{D1082B4A-AA13-4AB0-BCFA-2998AAD4C28D}"/>
    <hyperlink ref="W68" r:id="rId195" xr:uid="{B4B21295-5073-4719-86B4-97B4828458C4}"/>
    <hyperlink ref="X68" r:id="rId196" xr:uid="{4AB8CA87-345F-449A-B5CA-AE40DAE40838}"/>
    <hyperlink ref="W67" r:id="rId197" xr:uid="{C19A7F37-550D-47D6-8513-EA09BFC0402E}"/>
    <hyperlink ref="X67" r:id="rId198" xr:uid="{05901972-4A21-4DF7-B3C5-8525509B93CD}"/>
    <hyperlink ref="W66" r:id="rId199" xr:uid="{68860A3F-81A8-4057-B75D-004835725D8D}"/>
    <hyperlink ref="X66" r:id="rId200" xr:uid="{35E8F3AD-DC30-4E79-9362-A1EE4CB768F3}"/>
    <hyperlink ref="W64" r:id="rId201" xr:uid="{738EFFD3-B801-4D72-A11E-9A9EBD7C08B6}"/>
    <hyperlink ref="X64" r:id="rId202" xr:uid="{453DF33C-4EC6-424B-B9BB-257C721EDE0A}"/>
    <hyperlink ref="Y64" r:id="rId203" xr:uid="{467B13A8-ECA1-4F95-8A7B-F02FE8A5B3A5}"/>
    <hyperlink ref="W63" r:id="rId204" xr:uid="{98118652-EDB1-4777-BDB1-9D0FB6B7F7AF}"/>
    <hyperlink ref="W62" r:id="rId205" xr:uid="{E61979D0-C79F-4731-8C4C-4F45613EC038}"/>
    <hyperlink ref="W61" r:id="rId206" xr:uid="{AC1AB090-654F-4EA1-AD14-BE8041BCC0BD}"/>
    <hyperlink ref="W60" r:id="rId207" xr:uid="{DF0E611A-786F-49BE-A0FC-51CA24A8D7C7}"/>
    <hyperlink ref="X60" r:id="rId208" xr:uid="{C322F33C-0929-4FEE-A6E8-23ABD2C1FFAE}"/>
    <hyperlink ref="W59" r:id="rId209" xr:uid="{3FFCC80D-AF17-4D3D-8243-BD8F137F15C4}"/>
    <hyperlink ref="X59" r:id="rId210" xr:uid="{C0366FD1-6BBB-4D5D-AD64-E51382483DA1}"/>
    <hyperlink ref="W52" r:id="rId211" xr:uid="{160C3C9F-7E5A-4F1A-BBD1-26BE0C7A90A0}"/>
    <hyperlink ref="X52" r:id="rId212" xr:uid="{3DC61051-F0BE-4EB9-BB7D-F638447BB6D7}"/>
    <hyperlink ref="W53" r:id="rId213" xr:uid="{3893FA1B-3831-4B90-9A5A-1445B11DE351}"/>
    <hyperlink ref="X53" r:id="rId214" xr:uid="{1459B100-B90F-45AC-98D7-4FBC3984810D}"/>
    <hyperlink ref="W54" r:id="rId215" xr:uid="{5191E6F5-EF9C-437B-A1F0-E5BA959C3C3E}"/>
    <hyperlink ref="X54" r:id="rId216" xr:uid="{7C77583B-D522-4831-B171-153198D20499}"/>
    <hyperlink ref="Y54" r:id="rId217" xr:uid="{EA5FB2F7-5139-4F86-90EE-D7EB2DFBB711}"/>
    <hyperlink ref="W55" r:id="rId218" xr:uid="{F45D4BC3-418C-45E6-8665-30B13E7CFF73}"/>
    <hyperlink ref="X55" r:id="rId219" xr:uid="{F3B8C715-FDAA-44CE-8B8B-2C7F1494391B}"/>
    <hyperlink ref="Y55" r:id="rId220" xr:uid="{D365297B-3343-42EC-96F6-644AEA6BDF16}"/>
    <hyperlink ref="W56" r:id="rId221" xr:uid="{940A003B-5AF2-4715-9EE2-276A7741EA8E}"/>
    <hyperlink ref="X56" r:id="rId222" xr:uid="{0CB4CBE0-F80D-4CA5-B28D-F4803193AE87}"/>
    <hyperlink ref="Y56" r:id="rId223" xr:uid="{7A9A0F64-C5D3-4797-8CD1-3CF6E79746A6}"/>
    <hyperlink ref="W57" r:id="rId224" xr:uid="{55707C4A-2DC0-492C-8C52-DE8675551910}"/>
    <hyperlink ref="X57" r:id="rId225" xr:uid="{05D72BA0-7306-4D3D-AC3F-83760A4C2AB8}"/>
    <hyperlink ref="Y57" r:id="rId226" xr:uid="{EFCD4775-6C78-45A7-849C-6D58D92CE871}"/>
    <hyperlink ref="W58" r:id="rId227" xr:uid="{B1E94A6C-C257-447F-AA91-42E4F2716BE4}"/>
    <hyperlink ref="X58" r:id="rId228" xr:uid="{A6A0FD8D-1A5C-4E74-936C-6BC1C948229D}"/>
    <hyperlink ref="Y58" r:id="rId229" xr:uid="{F406730D-2E07-47BE-BDE0-2C1888AE4102}"/>
    <hyperlink ref="W99" r:id="rId230" xr:uid="{13BE2F4B-0BAF-43E4-AB0D-F8AB605A8033}"/>
    <hyperlink ref="W100" r:id="rId231" xr:uid="{6417A1D8-BAB9-4A7E-92C7-067CD016222A}"/>
    <hyperlink ref="X100" r:id="rId232" xr:uid="{701C682C-582E-4282-B732-FD5EE44130E5}"/>
    <hyperlink ref="W101" r:id="rId233" xr:uid="{A64B612C-C448-49F4-B94B-3B03C1782410}"/>
    <hyperlink ref="X101" r:id="rId234" xr:uid="{24F0FFBC-03BD-41D4-A66F-DA4D1694C202}"/>
    <hyperlink ref="W102" r:id="rId235" xr:uid="{D3586891-0F73-43D2-9B76-D5C8FE288FB5}"/>
    <hyperlink ref="W103" r:id="rId236" xr:uid="{369696BD-DD97-4463-9EA8-D8509A2CB219}"/>
    <hyperlink ref="W104" r:id="rId237" xr:uid="{8AE55AEC-8544-4B09-868E-08D6EE792A8A}"/>
    <hyperlink ref="X102" r:id="rId238" xr:uid="{7F60825D-46B4-4091-8127-E621D1CA488B}"/>
    <hyperlink ref="W106" r:id="rId239" xr:uid="{2E8A8652-5422-4DBD-B91C-2620168DAD88}"/>
    <hyperlink ref="W112" r:id="rId240" xr:uid="{983B00AC-EBE3-46FD-8D97-78A16DD5805A}"/>
    <hyperlink ref="X112" r:id="rId241" xr:uid="{AB03D741-C6F3-4AEE-9C63-BD1B1748366F}"/>
    <hyperlink ref="Y112" r:id="rId242" xr:uid="{98335B55-162A-4C4F-9157-ACD8EB21A76D}"/>
    <hyperlink ref="W105" r:id="rId243" xr:uid="{F3617910-EA4C-4E2D-A7C1-79DCF6DC7F12}"/>
    <hyperlink ref="Z107" r:id="rId244" xr:uid="{A83FD670-1991-4C41-8DFC-908A818D50F4}"/>
    <hyperlink ref="Y107" r:id="rId245" xr:uid="{EE9D8F35-E296-4381-8315-99DECEB7650B}"/>
    <hyperlink ref="W107" r:id="rId246" xr:uid="{649CB962-318F-4786-AAA6-C90E093F5440}"/>
    <hyperlink ref="X107" r:id="rId247" xr:uid="{6EC4B26C-4F10-4189-9534-A7C84FEE352E}"/>
    <hyperlink ref="W108" r:id="rId248" xr:uid="{9F99A5FC-4594-4F14-B389-AE380D82A624}"/>
    <hyperlink ref="W109" r:id="rId249" xr:uid="{45D1F361-FB44-4595-8D8A-37063F9CD923}"/>
    <hyperlink ref="X109" r:id="rId250" xr:uid="{D1B18BFC-9631-4123-8F84-F0FAD3D122F0}"/>
    <hyperlink ref="W110" r:id="rId251" xr:uid="{BA446AAE-D006-4F5E-9FF5-78787CBBC3AB}"/>
    <hyperlink ref="W111" r:id="rId252" xr:uid="{34A1AE8E-C393-468A-B9DD-404775C7791C}"/>
    <hyperlink ref="W118" r:id="rId253" xr:uid="{392829C8-545D-4D58-8D55-2CB91F3D78E6}"/>
    <hyperlink ref="X118" r:id="rId254" xr:uid="{BF58BE83-6F3F-4105-9553-489C5C7E250B}"/>
    <hyperlink ref="Y118" r:id="rId255" xr:uid="{8B96F9CF-A8B2-4CF1-B32B-1B2D7E53F043}"/>
    <hyperlink ref="W119" r:id="rId256" xr:uid="{F219B97C-9F5B-46FD-963A-6BDBE1C133DE}"/>
    <hyperlink ref="X119" r:id="rId257" xr:uid="{CAEF8A90-55EC-4D30-BB02-9374464E52E3}"/>
    <hyperlink ref="Y119" r:id="rId258" xr:uid="{2A54969F-78B8-45EC-81FA-026F249AA29C}"/>
    <hyperlink ref="W120" r:id="rId259" xr:uid="{09CF4738-24E2-4428-8C27-B724CC783770}"/>
    <hyperlink ref="X120" r:id="rId260" xr:uid="{7950A71F-8F23-44A2-BD17-03D904D6A6C2}"/>
    <hyperlink ref="W121" r:id="rId261" xr:uid="{86E7CC59-0B34-410F-B9F5-4C080A1AA712}"/>
    <hyperlink ref="X121" r:id="rId262" xr:uid="{F5D42542-A58F-482B-BE86-B624716CE15C}"/>
    <hyperlink ref="Y121" r:id="rId263" xr:uid="{CE480E97-BFC8-4D2B-9251-18DC82CAAB52}"/>
    <hyperlink ref="W122" r:id="rId264" xr:uid="{15BB7E96-681D-446F-B2DC-88612DCB93DE}"/>
    <hyperlink ref="X122" r:id="rId265" xr:uid="{A99347C0-C260-44E4-967B-4F1286BB8F82}"/>
    <hyperlink ref="Y122" r:id="rId266" xr:uid="{B9C5EC6D-E2CB-4C5F-98CD-818F50EAA95D}"/>
    <hyperlink ref="W123" r:id="rId267" xr:uid="{40744BE6-F636-4ACE-A9AE-210FF4581A80}"/>
    <hyperlink ref="X123" r:id="rId268" xr:uid="{55282624-4CAF-4612-9E5C-8826CB74BE5C}"/>
    <hyperlink ref="W124" r:id="rId269" xr:uid="{3545792D-EAD1-4214-BB99-9072D63AC97C}"/>
    <hyperlink ref="X124" r:id="rId270" xr:uid="{FC5A39B2-4DE7-4DC4-8721-1F86961CFB70}"/>
    <hyperlink ref="W125" r:id="rId271" xr:uid="{30F50FF0-1BD5-4313-A4D9-55AF72EE02D0}"/>
    <hyperlink ref="X125" r:id="rId272" xr:uid="{5DDC0701-9C7C-42CA-A28C-B550294914E9}"/>
    <hyperlink ref="W126" r:id="rId273" xr:uid="{1E27CF90-46E5-44D0-9C1A-8156584B7221}"/>
    <hyperlink ref="X126" r:id="rId274" xr:uid="{2C0FF791-B16F-4FC4-8AFF-634CE421C296}"/>
    <hyperlink ref="Y126" r:id="rId275" xr:uid="{ABDE8C16-7434-4E4F-BC86-A321D38F208D}"/>
    <hyperlink ref="Z126" r:id="rId276" xr:uid="{9B8F0FF5-FD43-4BF4-AA46-06C896BEA283}"/>
    <hyperlink ref="W127" r:id="rId277" xr:uid="{B8C12770-D0CE-47C9-9835-F8B31A5005DA}"/>
    <hyperlink ref="X127" r:id="rId278" xr:uid="{DEFEAFF9-63C1-465E-9A4F-86C67B121B89}"/>
    <hyperlink ref="W128" r:id="rId279" xr:uid="{B53F3DB5-92A4-4FA6-9546-8247DF3265C0}"/>
    <hyperlink ref="W130" r:id="rId280" xr:uid="{1EAA9AD7-B4F3-4C4A-BF6F-5D58926E3D41}"/>
    <hyperlink ref="X130" r:id="rId281" xr:uid="{CC1E9CA5-AD80-489F-941A-02E712265621}"/>
    <hyperlink ref="W131" r:id="rId282" xr:uid="{FE480028-8B4B-4A1D-93B8-5079BFB6B7A2}"/>
    <hyperlink ref="X131" r:id="rId283" xr:uid="{733FE38B-929A-4C61-BF16-B2F9416009F1}"/>
    <hyperlink ref="Y131" r:id="rId284" xr:uid="{43B7889D-69BF-40B4-9A40-144266E9A2C6}"/>
    <hyperlink ref="W132" r:id="rId285" xr:uid="{5F98FDE7-7FFE-4C04-90CA-457633162F12}"/>
    <hyperlink ref="X132" r:id="rId286" xr:uid="{B4896252-A326-4547-80C6-82780B3579D5}"/>
    <hyperlink ref="Y132" r:id="rId287" xr:uid="{E9A58CE9-E9F2-4670-A3F5-664F789858CA}"/>
    <hyperlink ref="W133" r:id="rId288" xr:uid="{61D6A348-E8E9-4085-8FE7-A21C976C53A6}"/>
    <hyperlink ref="X133" r:id="rId289" xr:uid="{561DC2AD-402D-4218-B952-FC73655B5DA4}"/>
    <hyperlink ref="Z131" r:id="rId290" xr:uid="{D943E5E3-FF30-4EBC-A2F9-226CED6DE95B}"/>
    <hyperlink ref="Z132" r:id="rId291" xr:uid="{80BCEAED-1A82-42CF-83B6-BFEE57FBE246}"/>
    <hyperlink ref="Z133" r:id="rId292" xr:uid="{518A7B20-4B46-4F7E-9016-84F4887F5959}"/>
    <hyperlink ref="W134" r:id="rId293" xr:uid="{38A5A241-9391-4A1C-A972-1C868FE5A8F5}"/>
    <hyperlink ref="X134" r:id="rId294" xr:uid="{89182101-EB67-4043-A05C-8854B7B35A84}"/>
    <hyperlink ref="W135" r:id="rId295" xr:uid="{35067CEA-2853-49DE-AB9A-2BD64459E4D2}"/>
    <hyperlink ref="X135" r:id="rId296" xr:uid="{9F6A5F01-1BFC-4BB2-859F-5A4A6A6B9710}"/>
    <hyperlink ref="Y135" r:id="rId297" xr:uid="{76F9F7AB-5F27-4FE6-B1EB-53271BF8D3B1}"/>
    <hyperlink ref="W136" r:id="rId298" xr:uid="{0BCC3716-D9A4-4CF8-A4AB-72E2CFDF3C85}"/>
    <hyperlink ref="X136" r:id="rId299" xr:uid="{A602DE4B-3771-4B6D-BEF8-716D4A232BF2}"/>
    <hyperlink ref="W137" r:id="rId300" xr:uid="{B6DC5DAB-6162-4FA8-9D77-40828555170C}"/>
    <hyperlink ref="X137" r:id="rId301" xr:uid="{2C0F7AC5-6D6C-42EC-A353-C2652D647995}"/>
    <hyperlink ref="W138" r:id="rId302" xr:uid="{0349DD32-8BAE-4B0F-B4D3-92E220A0BA7C}"/>
    <hyperlink ref="X138" r:id="rId303" xr:uid="{176B5256-BBA2-471D-ABB2-B181A45C25BC}"/>
    <hyperlink ref="W139" r:id="rId304" xr:uid="{CDE21CBA-51ED-477B-8F6E-55210C51D03C}"/>
    <hyperlink ref="X139" r:id="rId305" xr:uid="{A68AAAB6-385F-4735-BE3B-2411A0444886}"/>
    <hyperlink ref="Y139" r:id="rId306" xr:uid="{CF84792B-18CC-4A0F-8C8D-2CE68F58001B}"/>
    <hyperlink ref="W140" r:id="rId307" xr:uid="{5D3E2F92-BE0A-4E54-9592-46147A96F7F8}"/>
    <hyperlink ref="X140" r:id="rId308" xr:uid="{84094D28-139B-41C0-9850-0B13FD70F1AB}"/>
    <hyperlink ref="Y140" r:id="rId309" xr:uid="{68BEA695-8CFB-46C1-AE17-15E21FB53D38}"/>
    <hyperlink ref="W141" r:id="rId310" xr:uid="{6EE21F86-1AEE-4810-9931-255F0C854F16}"/>
    <hyperlink ref="X141" r:id="rId311" xr:uid="{C26ADCC2-EA5D-4F3E-BDBB-5FE7AD441A2C}"/>
    <hyperlink ref="W142" r:id="rId312" xr:uid="{746C2A12-2AB6-4360-A80A-53873AB94936}"/>
    <hyperlink ref="X142" r:id="rId313" xr:uid="{3EAD1E47-A936-4C01-9797-E960A0C00C80}"/>
    <hyperlink ref="W143" r:id="rId314" xr:uid="{B4122E28-E6EE-4071-9592-6466632BB775}"/>
    <hyperlink ref="X143" r:id="rId315" xr:uid="{C4F2ED6B-BBF9-43C6-BCAC-E86732382B94}"/>
    <hyperlink ref="W145" r:id="rId316" xr:uid="{CD057063-FA69-4432-9738-ABCFD9FE3D80}"/>
    <hyperlink ref="X145" r:id="rId317" xr:uid="{0D34812A-232C-45A3-ADFB-B232AFF356B6}"/>
    <hyperlink ref="W146" r:id="rId318" xr:uid="{16085B73-C976-4A50-9762-68932AD03D7A}"/>
    <hyperlink ref="X146" r:id="rId319" xr:uid="{EE112842-3243-4F2F-AD5D-0640A3BBD270}"/>
    <hyperlink ref="W147" r:id="rId320" xr:uid="{99487C7E-7272-4B6B-8B2C-083A411C97BC}"/>
    <hyperlink ref="X147" r:id="rId321" xr:uid="{0FA02C3C-C712-456C-82D7-F2C6C1B7DBA6}"/>
    <hyperlink ref="W149" r:id="rId322" xr:uid="{D9F861B9-1302-42F7-9EAC-C0BDEAD87543}"/>
    <hyperlink ref="X149" r:id="rId323" xr:uid="{AC992518-42C1-416F-A07F-ED01C8BD6C26}"/>
    <hyperlink ref="W150" r:id="rId324" xr:uid="{F7D2F56B-9A99-4BA7-BFC0-AC2FB4F40071}"/>
    <hyperlink ref="W151" r:id="rId325" xr:uid="{ECC2D972-ED44-44D3-A6E5-8BC92DB86644}"/>
    <hyperlink ref="X150" r:id="rId326" xr:uid="{5D3AAC90-54F9-4946-9320-A6244B6D34AC}"/>
    <hyperlink ref="X151" r:id="rId327" xr:uid="{DECC7CD3-B252-4A1D-B855-10459A92BA8D}"/>
    <hyperlink ref="W152" r:id="rId328" xr:uid="{B6349F9A-1042-471C-A8E4-8E63835C4D0A}"/>
    <hyperlink ref="X152" r:id="rId329" xr:uid="{1163F6AF-ADDE-4529-AD3A-45D1C5AA41E0}"/>
    <hyperlink ref="W153" r:id="rId330" xr:uid="{74BBC74D-B722-4C65-A27B-5E293742C75A}"/>
    <hyperlink ref="X153" r:id="rId331" xr:uid="{A9C7A05E-F47C-47E6-81ED-B01C784DA8C9}"/>
    <hyperlink ref="W154" r:id="rId332" xr:uid="{7AF8400C-B550-4838-AA79-C6A4BF03EE51}"/>
    <hyperlink ref="X154" r:id="rId333" xr:uid="{B7CFEE79-D401-4C65-A466-9E8AA940B867}"/>
    <hyperlink ref="Y154" r:id="rId334" xr:uid="{F81640BA-99D1-4A9B-83D0-8BE391B44E10}"/>
    <hyperlink ref="W155" r:id="rId335" xr:uid="{17F6BBBF-DF27-4C21-9814-E9CECD1F587E}"/>
    <hyperlink ref="X155" r:id="rId336" xr:uid="{6020394E-A24C-46B9-9851-5823BF3A5DCF}"/>
    <hyperlink ref="Y155" r:id="rId337" xr:uid="{C17EC46D-A4E2-4FB3-835A-78516FEE8BD5}"/>
    <hyperlink ref="W156" r:id="rId338" xr:uid="{4566D7C6-9B66-4F3C-996B-07596A35F3C0}"/>
    <hyperlink ref="X156" r:id="rId339" xr:uid="{C1E1034B-4BE4-4A5A-87A9-3134234DF7B1}"/>
    <hyperlink ref="Y156" r:id="rId340" xr:uid="{6925C2EA-954B-4D38-9CB7-81CC70E1441A}"/>
    <hyperlink ref="Y157" r:id="rId341" xr:uid="{B4C686DC-E20B-4D5A-9594-2FC4F6067169}"/>
    <hyperlink ref="W157" r:id="rId342" xr:uid="{5E4285C5-22C8-4168-AF91-1B86C2EDA332}"/>
    <hyperlink ref="X157" r:id="rId343" xr:uid="{83EB54BF-94D3-4B6C-8CB9-6C62A2193FC0}"/>
    <hyperlink ref="W158" r:id="rId344" xr:uid="{27676A9F-580F-4E41-94CC-39924B30866E}"/>
    <hyperlink ref="X158" r:id="rId345" xr:uid="{1317071D-CAEF-47C2-A3D0-0C62E4B0778F}"/>
    <hyperlink ref="Y158" r:id="rId346" xr:uid="{48F3E3EF-F913-48F3-B43D-090964C7D7D0}"/>
    <hyperlink ref="W159" r:id="rId347" xr:uid="{377F8C1A-E71F-4BD1-A34A-F13F0CBEB237}"/>
    <hyperlink ref="X159" r:id="rId348" xr:uid="{5B22DFAF-74B2-430A-BE99-AAF76611B68E}"/>
    <hyperlink ref="W160" r:id="rId349" xr:uid="{A9D1B5CF-197B-410A-8867-5454FA4384D8}"/>
    <hyperlink ref="X160" r:id="rId350" xr:uid="{F687AD10-F561-436A-8B19-4768A116E0F1}"/>
    <hyperlink ref="W161" r:id="rId351" xr:uid="{7EA348FE-F0A4-454C-99B3-A7C2C5B34F63}"/>
    <hyperlink ref="X161" r:id="rId352" xr:uid="{BA3AAF13-F63C-4BEE-84AF-BE0EB0C120DC}"/>
    <hyperlink ref="W162" r:id="rId353" xr:uid="{B06F4FA4-15BE-4AAA-82FF-964A8FDDB4CE}"/>
    <hyperlink ref="W163" r:id="rId354" xr:uid="{966D73E4-066C-418A-B801-AE1016CFC2ED}"/>
    <hyperlink ref="X163" r:id="rId355" xr:uid="{838F3127-4116-405C-BAD6-C444E378C4DC}"/>
    <hyperlink ref="Y163" r:id="rId356" xr:uid="{B85D9261-ECB1-43C2-9D3A-9F98179FCF3C}"/>
    <hyperlink ref="W164" r:id="rId357" xr:uid="{50058342-E13C-492B-865E-AEE60A2AFBEC}"/>
    <hyperlink ref="X164" r:id="rId358" xr:uid="{BC01C64F-D298-4B09-98B3-334BC7FCCA1C}"/>
    <hyperlink ref="W165" r:id="rId359" xr:uid="{CA4D0A86-6485-4FF6-B3BA-F7D7451DEB49}"/>
    <hyperlink ref="W166" r:id="rId360" xr:uid="{0FBBF74E-B636-4354-8C9A-8E19DA9A6109}"/>
    <hyperlink ref="X166" r:id="rId361" xr:uid="{BE1E2F9E-536B-4F47-A524-65F18270665B}"/>
    <hyperlink ref="W167" r:id="rId362" xr:uid="{36E4A73C-36DD-4902-8E7D-74A9F227CA59}"/>
    <hyperlink ref="W168" r:id="rId363" xr:uid="{3F7F8E60-F22F-439D-A225-DD2B124B92A9}"/>
    <hyperlink ref="X168" r:id="rId364" xr:uid="{6DDA1FF2-FB1C-4588-8CE0-F9E4B27340E8}"/>
    <hyperlink ref="W169" r:id="rId365" xr:uid="{7F5775BD-7B77-4705-A52B-4122A959C95B}"/>
    <hyperlink ref="X169" r:id="rId366" xr:uid="{9D004532-1C31-47E2-86B4-01E5231D6E41}"/>
    <hyperlink ref="W170" r:id="rId367" xr:uid="{0BA2683A-4E0E-4735-8F8F-3CF7A225A462}"/>
    <hyperlink ref="X170" r:id="rId368" xr:uid="{04D7417D-3681-436F-9319-2AB5DC0221B3}"/>
    <hyperlink ref="Y170" r:id="rId369" xr:uid="{356D49BF-B63D-4973-8293-ABB1E6DF9E11}"/>
    <hyperlink ref="W171" r:id="rId370" xr:uid="{72949C48-C40E-45EA-8D92-05394B6A5B14}"/>
    <hyperlink ref="X171" r:id="rId371" xr:uid="{E13ADCF8-550C-42F1-89C9-C67940DEC37F}"/>
    <hyperlink ref="W172" r:id="rId372" xr:uid="{6078A9DE-56C8-4B00-8441-4C579831E973}"/>
    <hyperlink ref="X172" r:id="rId373" xr:uid="{8AF77A17-E756-4EF2-BB0E-28823AF04262}"/>
    <hyperlink ref="W173" r:id="rId374" xr:uid="{B8A709C4-82E6-49A0-834B-98D33C03E005}"/>
    <hyperlink ref="W174" r:id="rId375" xr:uid="{BC8C6E90-9CE3-4E56-B04D-BC815D0945A7}"/>
    <hyperlink ref="X174" r:id="rId376" xr:uid="{649F6006-B7C9-4CD7-A573-00E7A3289AA4}"/>
    <hyperlink ref="W175" r:id="rId377" xr:uid="{F5008145-EBBF-494B-8A62-AB5646B3B702}"/>
    <hyperlink ref="X175" r:id="rId378" xr:uid="{B3FD83BB-2855-40B9-884F-103E5C128A9D}"/>
    <hyperlink ref="W176" r:id="rId379" xr:uid="{16686A0B-248A-47B6-931E-138D2130A139}"/>
    <hyperlink ref="X176" r:id="rId380" xr:uid="{CABC5028-9133-4DB7-91FD-B6C2CC82C06C}"/>
    <hyperlink ref="W177" r:id="rId381" xr:uid="{0A58D134-97B5-4B3D-9551-C301BB2E0DA3}"/>
    <hyperlink ref="X177" r:id="rId382" xr:uid="{6DEE1130-67BD-4D56-B078-0EDA0F3F90AB}"/>
    <hyperlink ref="W178" r:id="rId383" xr:uid="{A42CB7D0-AAFF-4850-97D9-61C8BF3E9D09}"/>
    <hyperlink ref="X178" r:id="rId384" xr:uid="{02B617E2-022F-41A0-954E-089C0CA082EB}"/>
    <hyperlink ref="W179" r:id="rId385" xr:uid="{75EC3C53-D38A-46F3-B5DA-714C7E7B1EF9}"/>
    <hyperlink ref="X179" r:id="rId386" xr:uid="{81D54315-8114-49E7-B5AB-710A68DEA0E7}"/>
    <hyperlink ref="W180" r:id="rId387" xr:uid="{54965D1F-DA13-4442-80C2-BDD15BC3825D}"/>
    <hyperlink ref="X180" r:id="rId388" xr:uid="{AF3D24B4-73E8-447D-A829-3F43E46FE719}"/>
    <hyperlink ref="Y180" r:id="rId389" xr:uid="{91B83021-5BCF-4DA1-A0F6-2E77276545CB}"/>
    <hyperlink ref="W181" r:id="rId390" xr:uid="{A744331F-47C3-4726-91C5-B078538A1CC0}"/>
    <hyperlink ref="X181" r:id="rId391" xr:uid="{CD3A5E05-8A07-4C7C-8C5C-53D2355F0369}"/>
    <hyperlink ref="W182" r:id="rId392" xr:uid="{79644A01-413A-4BFE-BF89-C9FFFFE1E07E}"/>
    <hyperlink ref="X182" r:id="rId393" xr:uid="{29957015-E832-482F-8A5E-D2B13BAACE46}"/>
    <hyperlink ref="W183" r:id="rId394" xr:uid="{9D7736F9-230B-4665-A3AB-3EC00C40C50D}"/>
    <hyperlink ref="X183" r:id="rId395" xr:uid="{B9D8D13C-7C3E-4F22-A7C0-AC81D0200265}"/>
    <hyperlink ref="W184" r:id="rId396" xr:uid="{EF096195-D610-45ED-B3EB-ABA6272A3365}"/>
    <hyperlink ref="X184" r:id="rId397" xr:uid="{F33DA9E8-7348-4334-93B3-5284A91B52AB}"/>
    <hyperlink ref="W185" r:id="rId398" xr:uid="{2A1EC161-B594-4622-A796-1274AD92BC45}"/>
    <hyperlink ref="X185" r:id="rId399" xr:uid="{AD992C3C-F114-42D5-A19E-10C626000523}"/>
    <hyperlink ref="W186" r:id="rId400" xr:uid="{8E3EFA02-1AA7-4997-BD80-64540FF93C4D}"/>
    <hyperlink ref="X186" r:id="rId401" xr:uid="{F811BAA0-AE8C-4333-8781-2FAF961CB5D1}"/>
    <hyperlink ref="W187" r:id="rId402" xr:uid="{A2C6095F-CED4-411E-A921-3D6AFC2B7EF6}"/>
    <hyperlink ref="W188" r:id="rId403" xr:uid="{DE6001BB-1D85-47C3-9F70-D27064B642B8}"/>
    <hyperlink ref="X188" r:id="rId404" xr:uid="{5C46E804-23F0-4D98-A3DF-96128A4F2D73}"/>
    <hyperlink ref="X187" r:id="rId405" xr:uid="{AD7C6C8D-8784-4293-9657-CF8B319AC001}"/>
    <hyperlink ref="Y188" r:id="rId406" xr:uid="{1BDAE55B-CCEB-49BD-85BA-8783BF79ED14}"/>
    <hyperlink ref="W189" r:id="rId407" xr:uid="{6609C783-33C7-4FC5-83B5-ADA1E1D4059C}"/>
    <hyperlink ref="X189" r:id="rId408" xr:uid="{E65923E1-39C4-46E1-AFE8-D5BDA6DAFD97}"/>
    <hyperlink ref="W190" r:id="rId409" xr:uid="{A03E8DDF-7838-493D-A568-D0E37A245D5B}"/>
    <hyperlink ref="X190" r:id="rId410" xr:uid="{5904DF68-D266-4571-AE71-BE24E1C4A2A6}"/>
    <hyperlink ref="W191" r:id="rId411" xr:uid="{0F973C97-F653-4847-B683-94A5A188DA49}"/>
    <hyperlink ref="X191" r:id="rId412" xr:uid="{9A3F8574-B7B4-4F82-A638-D86562F0BD75}"/>
    <hyperlink ref="W192" r:id="rId413" xr:uid="{2FB15021-D791-459A-9361-9FB368017096}"/>
    <hyperlink ref="X192" r:id="rId414" xr:uid="{D8F4C12B-A5E5-4BE6-98F9-13C7CBCE080D}"/>
    <hyperlink ref="W193" r:id="rId415" xr:uid="{8C0F022A-F99E-4EB2-A9AD-5C0A3D4ACC68}"/>
    <hyperlink ref="X193" r:id="rId416" xr:uid="{B81F11C7-937E-4736-B638-1A43EC88EC78}"/>
    <hyperlink ref="Y193" r:id="rId417" xr:uid="{855C7E78-EBE4-44E0-A753-01E72BF6FD5D}"/>
    <hyperlink ref="W194" r:id="rId418" xr:uid="{DC3544A9-F091-4349-8472-12F3B2228297}"/>
    <hyperlink ref="W195" r:id="rId419" xr:uid="{A78CD6B4-E156-47F1-8388-E0FFDB02D0C5}"/>
    <hyperlink ref="W196" r:id="rId420" xr:uid="{98026FDF-0F53-4E0E-9A92-8E2EA7302EC9}"/>
    <hyperlink ref="W197" r:id="rId421" xr:uid="{1B1FC0BB-0B6E-4764-95AC-60087DDFE91C}"/>
    <hyperlink ref="W198" r:id="rId422" xr:uid="{1005C2D4-A401-451F-BF2F-117A2F39D4C0}"/>
    <hyperlink ref="W199" r:id="rId423" xr:uid="{A2DAC34E-821D-4CAC-A186-614E8657D8AC}"/>
    <hyperlink ref="X199" r:id="rId424" xr:uid="{56F5D26B-C8AD-45B5-ADEE-D22EBDDC6ADA}"/>
    <hyperlink ref="W200" r:id="rId425" xr:uid="{F9559B72-CE81-4DC6-BCE6-4A63848E66CC}"/>
    <hyperlink ref="X200" r:id="rId426" xr:uid="{EAC65606-1CB6-4FD8-B8E0-5110043FE774}"/>
    <hyperlink ref="W201" r:id="rId427" xr:uid="{3D91C4D3-8CDE-435A-818D-4BC9A28BEBC8}"/>
    <hyperlink ref="X201" r:id="rId428" xr:uid="{1B7E0151-C6D5-46D8-9634-948C38E15866}"/>
    <hyperlink ref="W202" r:id="rId429" xr:uid="{734B3409-61AE-4C26-8427-1000660B5187}"/>
    <hyperlink ref="X202" r:id="rId430" xr:uid="{6426D062-1701-476C-B3D3-27FD56F81C4F}"/>
    <hyperlink ref="W203" r:id="rId431" xr:uid="{40E319ED-11E7-48E7-AC24-B65FC3251445}"/>
    <hyperlink ref="X203" r:id="rId432" xr:uid="{6960BFDB-66EB-4C57-9347-146401BFCD65}"/>
    <hyperlink ref="W204" r:id="rId433" xr:uid="{64E01C22-3208-4C33-A17B-4E946C8B6BA3}"/>
    <hyperlink ref="W205" r:id="rId434" xr:uid="{DF64A855-D0B8-4858-8D63-89BFD3FC8FC0}"/>
    <hyperlink ref="W206" r:id="rId435" xr:uid="{D20BB147-F1A5-451F-8810-9F2C8A23C139}"/>
    <hyperlink ref="W211" r:id="rId436" xr:uid="{AAE9690E-CD82-4BEF-B40A-FFB8ACFA7CB3}"/>
    <hyperlink ref="X211" r:id="rId437" xr:uid="{25A2B196-F902-4A0A-97F1-89844DBFA24E}"/>
    <hyperlink ref="W212" r:id="rId438" xr:uid="{765F3D03-DBB4-4790-8EB2-217F5A02C1F9}"/>
    <hyperlink ref="X212" r:id="rId439" xr:uid="{435EA15C-60F1-48E9-9D94-1A3AB393F354}"/>
    <hyperlink ref="W213" r:id="rId440" xr:uid="{E8F4C348-274E-450E-86CC-5AE49D142810}"/>
    <hyperlink ref="X213" r:id="rId441" xr:uid="{843DACD2-85E2-453A-A9A6-6DAA637817A2}"/>
    <hyperlink ref="W214" r:id="rId442" xr:uid="{D4FD7B17-F3F1-4235-B641-2B37937DDC15}"/>
    <hyperlink ref="X214" r:id="rId443" xr:uid="{4E8CA135-E612-4FB9-99E0-24A2A07560CF}"/>
    <hyperlink ref="Y214" r:id="rId444" xr:uid="{C5DC8EF8-E746-40D7-896B-5026BA585C20}"/>
    <hyperlink ref="W215" r:id="rId445" xr:uid="{DBBCAA6C-26CF-4FF4-98C4-7D8A42E04E62}"/>
    <hyperlink ref="X215" r:id="rId446" xr:uid="{12557D0F-534D-4826-8349-0F20D2AE8341}"/>
    <hyperlink ref="Y215" r:id="rId447" xr:uid="{22D34219-6CD2-49B5-B05D-D14E7D816B4C}"/>
    <hyperlink ref="W216" r:id="rId448" xr:uid="{8F8C6EAA-D8C2-4046-AD8B-3EF0C2597B72}"/>
    <hyperlink ref="X216" r:id="rId449" xr:uid="{B94E93D3-3B2C-4902-9964-6074DCCDC130}"/>
    <hyperlink ref="W217" r:id="rId450" xr:uid="{1F807634-C188-4D15-9F5A-35DFCD318E32}"/>
    <hyperlink ref="W218" r:id="rId451" xr:uid="{3CF88A2E-E19B-44ED-A7ED-16DF6A72BE2F}"/>
    <hyperlink ref="X218" r:id="rId452" xr:uid="{DEC1F53C-A37C-4A29-9E2A-26DCFE685FCB}"/>
    <hyperlink ref="Y218" r:id="rId453" xr:uid="{123FE7E3-A5DB-4BCC-8D68-69E61DB26A36}"/>
    <hyperlink ref="W219" r:id="rId454" xr:uid="{8446426D-1F00-43C7-8B3D-B8F0E7398080}"/>
    <hyperlink ref="X219" r:id="rId455" xr:uid="{DF126C08-2CFC-454C-A71C-7947BA1F0B0D}"/>
    <hyperlink ref="W220" r:id="rId456" xr:uid="{6B64FB9A-191F-406C-8758-FA5E7E83B418}"/>
    <hyperlink ref="X220" r:id="rId457" xr:uid="{D28D5FB2-A874-41B0-978C-6B7621C6C24C}"/>
    <hyperlink ref="W221" r:id="rId458" xr:uid="{7C8C93E7-7073-4C75-9762-13B5036F4AD7}"/>
    <hyperlink ref="X221" r:id="rId459" xr:uid="{F6DDC892-DAC5-4CCE-A88F-0E363D688F61}"/>
    <hyperlink ref="W222" r:id="rId460" xr:uid="{0EC72665-D1AA-48ED-9549-0CB08806B3D3}"/>
    <hyperlink ref="X222" r:id="rId461" xr:uid="{470D45C1-7E26-4BA3-83C1-74352C64A3EE}"/>
    <hyperlink ref="W223" r:id="rId462" xr:uid="{5747DEB0-05BE-488D-A4F7-440AF57419F9}"/>
    <hyperlink ref="X223" r:id="rId463" xr:uid="{78DB28A7-9698-483A-8B11-9CD2088E4BCB}"/>
    <hyperlink ref="W224" r:id="rId464" xr:uid="{7A83759A-A6DC-49C7-9DFC-78EB15828C15}"/>
    <hyperlink ref="X224" r:id="rId465" xr:uid="{02EFAD37-4E57-40AA-9D1E-88E8315698B5}"/>
    <hyperlink ref="W225" r:id="rId466" xr:uid="{C5874B65-9269-4E1B-8CD6-6906070019EC}"/>
    <hyperlink ref="W226" r:id="rId467" xr:uid="{914707AF-2843-433E-B9D0-029A41A1F948}"/>
    <hyperlink ref="X226" r:id="rId468" xr:uid="{B3FF468D-207C-4517-83BB-9743A0F6FBAE}"/>
    <hyperlink ref="W227" r:id="rId469" xr:uid="{3B82C9AF-FD4F-42B6-88A1-189AB31A69FD}"/>
    <hyperlink ref="X227" r:id="rId470" xr:uid="{7906E33F-B329-4FB2-BE3B-B7A6D7CE7049}"/>
    <hyperlink ref="Y227" r:id="rId471" xr:uid="{8C5DF46B-2FB4-4B9D-A5A4-E8B9FF655439}"/>
    <hyperlink ref="W228" r:id="rId472" xr:uid="{288E8744-C2EB-4201-AEE8-ECC0FFD74C27}"/>
    <hyperlink ref="X228" r:id="rId473" xr:uid="{0223B74A-A4BE-4E0E-A448-1778B261ABBF}"/>
    <hyperlink ref="W229" r:id="rId474" xr:uid="{94D7308B-373C-4E5E-BC22-DDAF7A9B2203}"/>
    <hyperlink ref="W230" r:id="rId475" xr:uid="{386CC768-76D4-4FC8-BDDA-4537271D7939}"/>
    <hyperlink ref="X230" r:id="rId476" xr:uid="{3360F44A-A33E-47B8-B3D1-7306F4EB77E4}"/>
    <hyperlink ref="W231" r:id="rId477" xr:uid="{E414387D-25FD-4CBD-B82D-DF4A37CF753E}"/>
    <hyperlink ref="X231" r:id="rId478" xr:uid="{182707A8-BAEF-4DAC-A9D8-4E4D3108180A}"/>
    <hyperlink ref="W232" r:id="rId479" xr:uid="{46893060-DA69-4F5A-A5D8-A05EDD14BE58}"/>
    <hyperlink ref="X232" r:id="rId480" xr:uid="{58844022-54ED-4C6C-BF08-83571DA15EE8}"/>
    <hyperlink ref="W233" r:id="rId481" xr:uid="{DC6141F4-415B-4C1C-B263-EDD0243EBBFE}"/>
    <hyperlink ref="X233" r:id="rId482" xr:uid="{2741A65B-0652-4104-8D1D-C0416C8F2F0B}"/>
    <hyperlink ref="W234" r:id="rId483" xr:uid="{52E41E24-7709-4A25-B9EC-723AF0B2A3A8}"/>
    <hyperlink ref="X234" r:id="rId484" xr:uid="{F4B76653-8A7A-43AC-A7A1-417128343B5A}"/>
    <hyperlink ref="W235" r:id="rId485" xr:uid="{E7B909C0-D28E-46B9-B2EA-4C44F963DE5D}"/>
    <hyperlink ref="X235" r:id="rId486" xr:uid="{4E75CC2A-CC1F-4E32-846C-517F77AC6211}"/>
    <hyperlink ref="Y235" r:id="rId487" xr:uid="{1D71727B-5C01-463D-93A3-B4792D0BB8BC}"/>
    <hyperlink ref="W236" r:id="rId488" xr:uid="{070FB4DF-48D9-4968-90F0-BCF5686FE2D3}"/>
    <hyperlink ref="X236" r:id="rId489" xr:uid="{642F1A9C-0A1C-43B7-96C4-B00C670CDE24}"/>
    <hyperlink ref="W237" r:id="rId490" xr:uid="{CEE5DD34-EED0-4C15-BC05-CD0F24F6AA3B}"/>
    <hyperlink ref="X237" r:id="rId491" xr:uid="{B4235527-8C54-469D-B4C7-60DB3987D037}"/>
    <hyperlink ref="Y237" r:id="rId492" xr:uid="{994D4854-DF8C-4125-A280-36DAC79DC22C}"/>
    <hyperlink ref="W238" r:id="rId493" xr:uid="{E9890D41-6277-41D4-BA1C-6A5758CC0F2A}"/>
    <hyperlink ref="X238" r:id="rId494" xr:uid="{E9B8BFFF-5FF4-4DD5-A6BC-2A899AD1DF9A}"/>
    <hyperlink ref="Y238" r:id="rId495" xr:uid="{71B1AE2F-FA67-4676-9D49-5D09C21FDB7A}"/>
    <hyperlink ref="W239" r:id="rId496" xr:uid="{03400995-76CE-47AE-9B71-7423AB4663B2}"/>
    <hyperlink ref="X239" r:id="rId497" xr:uid="{A60F4386-987C-4B50-8959-6F6FB442DB80}"/>
    <hyperlink ref="Y239" r:id="rId498" xr:uid="{1BF51EDC-577C-40B0-9DBC-9D7898592638}"/>
    <hyperlink ref="W241" r:id="rId499" xr:uid="{FBE6DA13-78C6-4DCF-B803-A65B15ECEE72}"/>
    <hyperlink ref="X241" r:id="rId500" xr:uid="{262CA549-05C4-4C58-90B1-9F80DA890B33}"/>
    <hyperlink ref="Y241" r:id="rId501" xr:uid="{9867599F-297B-485D-AEC7-28A04644532A}"/>
    <hyperlink ref="W242" r:id="rId502" xr:uid="{B392EF24-2D83-4B56-870E-F7B481F86ED8}"/>
    <hyperlink ref="X242" r:id="rId503" xr:uid="{72AE1EB4-725A-443D-9340-92893E9EC95F}"/>
    <hyperlink ref="W243" r:id="rId504" xr:uid="{A20C5FE8-C20C-44D5-A8E2-3DAD5F0445BC}"/>
    <hyperlink ref="X243" r:id="rId505" xr:uid="{89F2AD06-3615-4BF7-8423-9E343BA315F2}"/>
    <hyperlink ref="X244" r:id="rId506" xr:uid="{3B67E78F-AC2C-4C34-B400-B7227EB791F7}"/>
    <hyperlink ref="W244" r:id="rId507" xr:uid="{3746DC23-C7B1-4D30-92EE-94FB7F841F05}"/>
    <hyperlink ref="W245" r:id="rId508" xr:uid="{940CD281-F332-4735-8E0B-0C881C28158C}"/>
    <hyperlink ref="X245" r:id="rId509" xr:uid="{AB79CD8A-D774-4735-86BC-71C9C291DD67}"/>
    <hyperlink ref="W246" r:id="rId510" xr:uid="{556153E1-BDE5-4E29-BD15-D399C5748524}"/>
    <hyperlink ref="X246" r:id="rId511" xr:uid="{DCC32F6B-48EF-4E8E-BB23-CA968A4315E2}"/>
    <hyperlink ref="W247" r:id="rId512" xr:uid="{40BEF9C3-0EFD-4670-9980-6693F002C5A9}"/>
    <hyperlink ref="X247" r:id="rId513" xr:uid="{28417594-0F42-4562-86B7-81F428311416}"/>
    <hyperlink ref="W248" r:id="rId514" xr:uid="{3BC31F8A-F307-4EF1-82B4-A93FF40E3DE1}"/>
    <hyperlink ref="X248" r:id="rId515" xr:uid="{5C1914B2-A0F5-425D-B758-EBD6631CFE46}"/>
    <hyperlink ref="Y248" r:id="rId516" xr:uid="{13178AD2-B7F2-40F2-B91A-0863897DC3C2}"/>
    <hyperlink ref="Z248" r:id="rId517" xr:uid="{7B894917-FA73-42CB-AACA-AF38F611660F}"/>
    <hyperlink ref="W249" r:id="rId518" xr:uid="{48305BAA-7B2F-4FA5-8A14-4D772AFC8FC0}"/>
    <hyperlink ref="X249" r:id="rId519" xr:uid="{8A8690A4-1DAA-4DBA-B5C4-BA9C8AEECEE6}"/>
    <hyperlink ref="Y249" r:id="rId520" xr:uid="{F22B6E89-B4B8-4605-B8DC-E16FBC610766}"/>
    <hyperlink ref="W250" r:id="rId521" xr:uid="{B56E0C16-7706-4028-9C7E-F5AA8138E67E}"/>
    <hyperlink ref="X250" r:id="rId522" xr:uid="{1803B8E7-FEE4-40BE-A3CE-414E96E3A780}"/>
    <hyperlink ref="Y250" r:id="rId523" xr:uid="{C383FE55-B0A2-4B16-BB0E-9AF813189197}"/>
    <hyperlink ref="W251" r:id="rId524" xr:uid="{0A71A51C-65B7-455F-A10F-FE299097246D}"/>
    <hyperlink ref="X251" r:id="rId525" xr:uid="{FC6EAA71-6D70-4603-831D-880D8528A2ED}"/>
    <hyperlink ref="Y251" r:id="rId526" xr:uid="{E7877690-E36B-41E7-A4C5-4BACBAD01B79}"/>
    <hyperlink ref="W252" r:id="rId527" xr:uid="{7E946395-D88B-489A-B8EB-586D5923E26B}"/>
    <hyperlink ref="X252" r:id="rId528" xr:uid="{91C55C01-A62F-42D0-951B-602791014AE8}"/>
    <hyperlink ref="W253" r:id="rId529" xr:uid="{736C065D-59A5-4E96-9FF8-78B859D629E6}"/>
    <hyperlink ref="X253" r:id="rId530" xr:uid="{6582B0A5-C12F-49EA-A198-4C6DCFE25991}"/>
    <hyperlink ref="Y253" r:id="rId531" xr:uid="{8A538247-0D51-477E-BC0C-3393379BFD21}"/>
    <hyperlink ref="W254" r:id="rId532" xr:uid="{D8CDA417-64E8-4E61-9BDE-3AC09886472A}"/>
    <hyperlink ref="X254" r:id="rId533" xr:uid="{D91C9218-78A5-4B52-ACEB-B6D55B175CC4}"/>
    <hyperlink ref="Y254" r:id="rId534" xr:uid="{17EA5C84-B21B-44CE-81D9-7C64DB48E217}"/>
    <hyperlink ref="Z254" r:id="rId535" xr:uid="{D0C01C57-23B3-4CF0-A37A-4C2F9AE0AD92}"/>
    <hyperlink ref="Y255" r:id="rId536" xr:uid="{45FC695A-1F3C-4F42-B462-EED759525569}"/>
    <hyperlink ref="W255" r:id="rId537" xr:uid="{4E3939A4-B7B3-4644-820C-D3BF9E7E0AF1}"/>
    <hyperlink ref="X255" r:id="rId538" xr:uid="{73058C3B-B341-483B-A0A6-87C8FADE59F2}"/>
    <hyperlink ref="W256" r:id="rId539" xr:uid="{8512D2D0-8298-4D4D-9A87-FCE2229B97C1}"/>
    <hyperlink ref="X256" r:id="rId540" xr:uid="{E5C13EFB-F909-4B08-90F5-6E8B539F3EAE}"/>
    <hyperlink ref="Y256" r:id="rId541" xr:uid="{C3693497-5F6A-4E0E-A998-BA034241DB16}"/>
    <hyperlink ref="W257" r:id="rId542" xr:uid="{0B8E6E56-A010-4516-AA12-9066D12DBC2D}"/>
    <hyperlink ref="W258" r:id="rId543" xr:uid="{631879B8-8209-43A6-9EB0-C92A7E929E95}"/>
    <hyperlink ref="X258" r:id="rId544" xr:uid="{FBF2E7C5-CF9E-461F-9435-3E43957FBFE9}"/>
    <hyperlink ref="W259" r:id="rId545" xr:uid="{C482DF1E-8C1F-4DBC-8554-DF16EAAC093D}"/>
    <hyperlink ref="X259" r:id="rId546" xr:uid="{63F288C4-02BC-43BE-BF20-65B4346A8D54}"/>
    <hyperlink ref="W260" r:id="rId547" xr:uid="{686747AC-8433-40AE-B4DA-21AD35C934AA}"/>
    <hyperlink ref="X260" r:id="rId548" xr:uid="{EE69E613-DC72-4860-9F12-05F94ED34AD6}"/>
    <hyperlink ref="Y260" r:id="rId549" xr:uid="{2929A95C-0A19-40A5-97DA-95D6AA53B600}"/>
    <hyperlink ref="W261" r:id="rId550" xr:uid="{B2CABE58-B492-4566-8CB1-E032161C0B36}"/>
    <hyperlink ref="X261" r:id="rId551" xr:uid="{94A61AC7-0B73-4E89-9F1D-3C7BD7C463E8}"/>
    <hyperlink ref="W262" r:id="rId552" xr:uid="{7DB6388A-4336-4996-AE8C-4E00924653F3}"/>
    <hyperlink ref="X262" r:id="rId553" xr:uid="{C6CFE178-BDBD-400D-9981-ADDA7102E77F}"/>
    <hyperlink ref="W263" r:id="rId554" xr:uid="{E0750FDD-287E-4F70-B29A-8BA7E6B6499A}"/>
    <hyperlink ref="X263" r:id="rId555" xr:uid="{B00A9F23-9D24-4910-8993-419A8A13B083}"/>
    <hyperlink ref="W264" r:id="rId556" xr:uid="{049F1DD9-7684-461F-9D2F-650F7F93B903}"/>
    <hyperlink ref="X264" r:id="rId557" xr:uid="{0457D208-E546-4CB4-BA96-8DA3BC9CD7ED}"/>
    <hyperlink ref="W265" r:id="rId558" xr:uid="{A45445C3-C716-4304-9826-ED403174E1F1}"/>
    <hyperlink ref="W266" r:id="rId559" xr:uid="{B357F0AF-B2E5-4A15-BD4C-84FF830A1AC3}"/>
    <hyperlink ref="X266" r:id="rId560" xr:uid="{B213473B-025D-4632-8E7C-F974604F8563}"/>
    <hyperlink ref="W267" r:id="rId561" xr:uid="{9A76A196-BD4E-4433-96E5-0BD77B8960CE}"/>
    <hyperlink ref="X267" r:id="rId562" xr:uid="{94BA243E-95F8-439F-A183-AACBAC97E8A9}"/>
    <hyperlink ref="W268" r:id="rId563" xr:uid="{73F9AADC-96F6-4656-B692-FDD111BB16D4}"/>
    <hyperlink ref="X268" r:id="rId564" xr:uid="{62F5AF5B-994E-46C8-981B-EBCF34EF7180}"/>
    <hyperlink ref="W269" r:id="rId565" xr:uid="{589D43C8-D57C-4465-B6C0-12CC2CBF5286}"/>
    <hyperlink ref="X269" r:id="rId566" xr:uid="{98F61411-21EF-4E32-B5A6-CB381F072A3E}"/>
    <hyperlink ref="W270" r:id="rId567" xr:uid="{7465C8EE-BCAD-4869-951A-CA6B78975E90}"/>
    <hyperlink ref="X270" r:id="rId568" xr:uid="{3B8DE1F1-2313-45A4-8A57-BAA6205CEA80}"/>
    <hyperlink ref="Y270" r:id="rId569" xr:uid="{AEB663CA-BCD5-47F7-9859-37A728C96249}"/>
    <hyperlink ref="W272" r:id="rId570" xr:uid="{D0E51CD2-D7BA-41D1-880B-609D281EC789}"/>
    <hyperlink ref="X272" r:id="rId571" xr:uid="{0C321993-E1B3-4550-B54E-386CD4C52CE9}"/>
    <hyperlink ref="W271" r:id="rId572" xr:uid="{CDA5AA2F-E73B-4CC8-BBDD-869F6082335D}"/>
    <hyperlink ref="W273" r:id="rId573" xr:uid="{CA5C3881-BA45-42B8-A5C1-D9B1211DFFC9}"/>
    <hyperlink ref="X273" r:id="rId574" xr:uid="{2EE7693E-FD34-4BCF-92A1-33472B1C4452}"/>
    <hyperlink ref="W274" r:id="rId575" xr:uid="{A428DDF7-2B95-4804-A2E7-0CCFB617935D}"/>
    <hyperlink ref="X274" r:id="rId576" xr:uid="{133953BF-4D2E-4CFE-8D37-374E8B263523}"/>
    <hyperlink ref="W275" r:id="rId577" xr:uid="{D2503EC8-1B27-445A-AD34-E1916D14AF86}"/>
    <hyperlink ref="X275" r:id="rId578" xr:uid="{FB8564D2-14CA-4869-801E-EAE9FEEC1EB7}"/>
    <hyperlink ref="W276" r:id="rId579" xr:uid="{7063818D-C6EC-41E2-B158-B54893B8ECC8}"/>
    <hyperlink ref="W277" r:id="rId580" xr:uid="{26CA4A69-0A5A-4B01-83D0-F50FF77E0DBB}"/>
    <hyperlink ref="W278" r:id="rId581" xr:uid="{235F1C9F-7BB6-476C-88D2-937411E1DEC0}"/>
    <hyperlink ref="W279" r:id="rId582" xr:uid="{C242A0E0-4A3C-46CC-89E5-6314EA1EFF0A}"/>
    <hyperlink ref="W280" r:id="rId583" xr:uid="{8F7DD98B-C5F5-40A9-A4F1-C543DF6B6C41}"/>
    <hyperlink ref="W281" r:id="rId584" xr:uid="{157F5691-4B4A-4F00-A1E6-F904E2075488}"/>
    <hyperlink ref="X281" r:id="rId585" xr:uid="{ECA9DC18-2281-46B3-8DD4-B8C1FC312CD8}"/>
    <hyperlink ref="W282" r:id="rId586" xr:uid="{4BDE1900-56A0-4F35-83A7-23B7DE8AA4B6}"/>
    <hyperlink ref="X282" r:id="rId587" xr:uid="{B6688C42-80F3-4CC2-8C78-C8CB563AE980}"/>
    <hyperlink ref="W283" r:id="rId588" xr:uid="{788BEAD6-E289-48B2-8B5E-9329C356455C}"/>
    <hyperlink ref="W284" r:id="rId589" xr:uid="{0FBF1FF4-0D63-4786-80C1-14108CB86EA4}"/>
    <hyperlink ref="X284" r:id="rId590" xr:uid="{4D41C78B-42F3-4C0E-A8BB-AA415D1F8138}"/>
    <hyperlink ref="W113" r:id="rId591" xr:uid="{D963FB54-E5E4-4989-8919-DB08173D6A69}"/>
    <hyperlink ref="W117" r:id="rId592" xr:uid="{4C274A62-9268-4C28-B9D8-DA8599FE5E2A}"/>
    <hyperlink ref="X117" r:id="rId593" xr:uid="{4D38B2E2-A20C-4147-85BA-4E1075F4C967}"/>
    <hyperlink ref="W116" r:id="rId594" xr:uid="{F9BF8CF0-9045-41E8-906A-C7E1947B15FB}"/>
    <hyperlink ref="X116" r:id="rId595" xr:uid="{0608E326-6891-4905-9E1D-386E42CD7273}"/>
    <hyperlink ref="W114" r:id="rId596" xr:uid="{84AF270C-137B-4D0F-8523-E6ADF4EC4A9E}"/>
    <hyperlink ref="W115" r:id="rId597" xr:uid="{684D5884-883D-49CA-ACA1-DEAD83B44FD7}"/>
    <hyperlink ref="X115" r:id="rId598" xr:uid="{8827CA10-811C-4FDC-887B-D62FC287783B}"/>
    <hyperlink ref="W43" r:id="rId599" xr:uid="{80AB72FF-AF66-4DBD-B8D0-D0BD80F3CA97}"/>
    <hyperlink ref="W48" r:id="rId600" xr:uid="{67557AEF-F6C3-45A8-A59F-642EEBD2796C}"/>
    <hyperlink ref="X48" r:id="rId601" xr:uid="{F9D0927B-67E4-4CD1-B534-D3EF543A8B2C}"/>
    <hyperlink ref="W49" r:id="rId602" xr:uid="{E78DD014-3D63-42B7-BDAF-F6F6546848F3}"/>
    <hyperlink ref="W65" r:id="rId603" xr:uid="{1DB8DD9B-39A2-4EA5-863B-EA08B4234D52}"/>
    <hyperlink ref="W129" r:id="rId604" xr:uid="{F564AD60-1F0E-4BA9-9C4C-D6AE20B33783}"/>
    <hyperlink ref="X129" r:id="rId605" xr:uid="{A8478EDF-0EC1-4673-A8D3-223878EE46E9}"/>
    <hyperlink ref="Y129" r:id="rId606" xr:uid="{C865EE68-8F62-40F5-8814-27FDD7C91C40}"/>
    <hyperlink ref="W144" r:id="rId607" xr:uid="{D59E2727-C75F-433B-BDDD-9A1DC55E39B9}"/>
    <hyperlink ref="W148" r:id="rId608" xr:uid="{1660074C-9E8A-47BE-945D-9CA750B71B00}"/>
    <hyperlink ref="X148" r:id="rId609" xr:uid="{D6DCC354-9CAF-4DCB-BB99-791EC7290E4E}"/>
    <hyperlink ref="W208" r:id="rId610" xr:uid="{8F366C70-8826-49FF-88E4-54603403566F}"/>
    <hyperlink ref="W209" r:id="rId611" xr:uid="{D3F1B596-6C16-4D9D-9BD6-6B7B35FF1E1D}"/>
    <hyperlink ref="X209" r:id="rId612" xr:uid="{14F70350-3506-453B-86B5-6110A6FEC7A6}"/>
    <hyperlink ref="W285" r:id="rId613" xr:uid="{08B6EAA9-046F-4613-BEBF-F9CD2274C72C}"/>
    <hyperlink ref="W286" r:id="rId614" xr:uid="{11500419-187E-4F65-BD05-4D59F533B6F8}"/>
    <hyperlink ref="X286" r:id="rId615" xr:uid="{B15B7146-FABA-4631-958F-098A5625ACB2}"/>
    <hyperlink ref="Y286" r:id="rId616" xr:uid="{57E38645-427B-4139-A10E-2DE514D1D3C4}"/>
    <hyperlink ref="W288" r:id="rId617" xr:uid="{CC386CAF-B11C-4D02-83E7-940673EE2099}"/>
    <hyperlink ref="W289" r:id="rId618" xr:uid="{27573456-EFA9-4206-BC83-C9962E81D05A}"/>
    <hyperlink ref="W290" r:id="rId619" xr:uid="{DA29C347-AF77-4AC9-B851-7EE246A00B6B}"/>
    <hyperlink ref="X290" r:id="rId620" xr:uid="{1E74922D-EDE5-4B20-8BAB-A42247D5B99A}"/>
    <hyperlink ref="W291" r:id="rId621" xr:uid="{6D55F02A-F8BF-4625-B19E-A52CFC3A33EC}"/>
    <hyperlink ref="X291" r:id="rId622" xr:uid="{27F59C82-62BC-4864-B907-9A111F323A42}"/>
    <hyperlink ref="W292" r:id="rId623" xr:uid="{0A9BA6F5-9E89-4AEA-B008-17B8A246D450}"/>
    <hyperlink ref="X292" r:id="rId624" xr:uid="{E1878521-6D1E-4CF9-9BD7-096FF14819DC}"/>
    <hyperlink ref="W293" r:id="rId625" xr:uid="{6202723E-5086-423D-ABA0-860787DFD8C4}"/>
    <hyperlink ref="X293" r:id="rId626" xr:uid="{5C2C4E5E-6C9E-46DF-9E28-4664C2C43BF3}"/>
    <hyperlink ref="W294" r:id="rId627" xr:uid="{DB80D8A9-4881-4ED8-B2D1-B7D5460D624F}"/>
    <hyperlink ref="X294" r:id="rId628" xr:uid="{CEF1DA01-4845-4DB1-985A-6C16E5DA55B1}"/>
    <hyperlink ref="Y294" r:id="rId629" xr:uid="{5BB71642-6D2D-4976-B4DF-CE12A20D9B11}"/>
    <hyperlink ref="W295" r:id="rId630" xr:uid="{5FD5EC82-98BC-4E89-9639-995A7B047C1A}"/>
    <hyperlink ref="X295" r:id="rId631" xr:uid="{5DA1A847-0274-4BA8-A1F0-4DC8B5544B7A}"/>
    <hyperlink ref="W296" r:id="rId632" xr:uid="{31A01732-73DD-4392-8785-EF9CDA2520E3}"/>
    <hyperlink ref="X296" r:id="rId633" xr:uid="{5293E2AF-8C99-4265-AEA6-50F4C8AC0536}"/>
    <hyperlink ref="X297" r:id="rId634" xr:uid="{F315FCE8-C899-4B98-9E78-A7711D7D43D3}"/>
    <hyperlink ref="W297" r:id="rId635" xr:uid="{21A6992B-91EE-49A4-AE2C-5D3F646AC6DB}"/>
    <hyperlink ref="W298" r:id="rId636" xr:uid="{0673D6CC-C16A-4102-B3B4-235FF6498673}"/>
    <hyperlink ref="X298" r:id="rId637" xr:uid="{6DD0AE80-216E-45E3-ACC6-E30DD45146DD}"/>
    <hyperlink ref="W299" r:id="rId638" xr:uid="{A5240C2C-BAB2-4E92-BDC9-88637424C8C7}"/>
    <hyperlink ref="X299" r:id="rId639" xr:uid="{78C52F12-0A94-4F78-9E98-1FE53B3CEA56}"/>
    <hyperlink ref="W300" r:id="rId640" xr:uid="{04488161-5E92-4EF3-8081-9A2C8202A495}"/>
    <hyperlink ref="X300" r:id="rId641" xr:uid="{36569437-DD50-45EA-83FD-43FF2F27228C}"/>
    <hyperlink ref="X301" r:id="rId642" xr:uid="{8EE3F02E-CB9A-474D-8899-FA20F729D98C}"/>
    <hyperlink ref="W301" r:id="rId643" xr:uid="{5B3FD594-30EF-4D2F-867D-489B275A614D}"/>
    <hyperlink ref="W302" r:id="rId644" xr:uid="{BE371624-78EC-4378-9198-EB4D1409455A}"/>
    <hyperlink ref="X302" r:id="rId645" xr:uid="{166A5E8F-617E-4E5C-AD79-04E488798BF5}"/>
    <hyperlink ref="W303" r:id="rId646" xr:uid="{FC672491-9314-44E4-B73A-F7EE502B8724}"/>
    <hyperlink ref="X303" r:id="rId647" xr:uid="{61D34591-1640-4BEA-B9D7-1D60D4734E0A}"/>
    <hyperlink ref="Y303" r:id="rId648" xr:uid="{3EBB3BFA-F285-486B-924B-741C0CBFC502}"/>
    <hyperlink ref="W304" r:id="rId649" xr:uid="{21B2B41D-84A2-4E3E-846F-AC2397471E26}"/>
    <hyperlink ref="X304" r:id="rId650" xr:uid="{1CBBE718-92F7-4881-B794-B1847D64C3CF}"/>
    <hyperlink ref="W305" r:id="rId651" xr:uid="{9A0D64A8-6629-4DEB-A9C9-EEFA265A2901}"/>
    <hyperlink ref="X305" r:id="rId652" xr:uid="{01110A96-873C-4052-9400-F6CE183C447E}"/>
    <hyperlink ref="W306" r:id="rId653" xr:uid="{3BBF8402-96A5-4779-871B-3ABF68A47517}"/>
    <hyperlink ref="W307" r:id="rId654" xr:uid="{BA95FED2-DF47-4672-9248-7CD4A33DDD57}"/>
    <hyperlink ref="Y307" r:id="rId655" xr:uid="{DCD6A68C-E7E0-4F79-967C-85191E0F6C85}"/>
    <hyperlink ref="X307" r:id="rId656" xr:uid="{733C3BDF-06E9-4C76-A036-43ABB70596BF}"/>
    <hyperlink ref="W308" r:id="rId657" xr:uid="{4E984B29-8A15-4D62-9119-6FF8429D72FE}"/>
    <hyperlink ref="X308" r:id="rId658" xr:uid="{4401A604-B8D7-4885-ADE1-1D974FBE6145}"/>
    <hyperlink ref="Y308" r:id="rId659" xr:uid="{A6E29082-C36A-4C99-A0DC-904F25235B65}"/>
    <hyperlink ref="W309" r:id="rId660" xr:uid="{976DB8B0-8468-40EA-8851-A38365A5B302}"/>
    <hyperlink ref="W310" r:id="rId661" xr:uid="{E79805F8-247C-4FBB-928A-B43D9F82167B}"/>
    <hyperlink ref="X310" r:id="rId662" xr:uid="{9FD1A8FF-68A0-4EDF-864A-7A6F7633FF48}"/>
    <hyperlink ref="W311" r:id="rId663" xr:uid="{D2BD96E6-02AF-4D1D-A99F-5BBECAEDEBA6}"/>
    <hyperlink ref="X311" r:id="rId664" xr:uid="{19EEEFE1-EA1D-4CDA-B258-34ADD90591B5}"/>
    <hyperlink ref="Y311" r:id="rId665" xr:uid="{E7482899-CD9B-4343-8CD6-3884F2F07CFA}"/>
    <hyperlink ref="W312" r:id="rId666" xr:uid="{E86BDC40-DE4D-4FAC-987F-D1BC5B80444A}"/>
    <hyperlink ref="X312" r:id="rId667" xr:uid="{6AF17EF5-3000-4545-A522-68D4C51838F7}"/>
    <hyperlink ref="W313" r:id="rId668" xr:uid="{BCC23B97-0550-41D9-9299-879473C658B0}"/>
    <hyperlink ref="X313" r:id="rId669" xr:uid="{469B10C1-76A8-4755-A773-3D72B41DA975}"/>
    <hyperlink ref="W314" r:id="rId670" xr:uid="{C8784886-5285-4F3D-81D8-ACA3A092A725}"/>
    <hyperlink ref="W315" r:id="rId671" xr:uid="{C1E39BC0-1B50-4B18-B750-69C10F6BFCB6}"/>
    <hyperlink ref="X315" r:id="rId672" xr:uid="{88AB2D67-321B-4D7E-8526-616FD2E70C93}"/>
    <hyperlink ref="Y315" r:id="rId673" xr:uid="{D0DF05DF-8E5C-4AEB-986F-DE9DA4A75286}"/>
    <hyperlink ref="W316" r:id="rId674" xr:uid="{27340920-3EAF-431E-A6DB-953C4D97D7A2}"/>
    <hyperlink ref="X316" r:id="rId675" xr:uid="{4BF685B2-0786-4B5A-AE67-5F05959C9716}"/>
    <hyperlink ref="W317" r:id="rId676" xr:uid="{825517B7-3E66-46B4-A5D6-A83B998FC34E}"/>
    <hyperlink ref="X317" r:id="rId677" xr:uid="{B9CE948C-F623-4041-AF60-2B09844130C2}"/>
    <hyperlink ref="W318" r:id="rId678" xr:uid="{5024FC93-9064-456F-9E0F-261989606328}"/>
    <hyperlink ref="X318" r:id="rId679" xr:uid="{4CA6A2A6-F981-4136-A85D-62E7B8A547B8}"/>
    <hyperlink ref="W319" r:id="rId680" xr:uid="{ECE6DBE0-8479-4656-B6DD-E0C161183B65}"/>
    <hyperlink ref="X319" r:id="rId681" xr:uid="{9D306DA4-B73D-419D-A7BC-4515E244737F}"/>
    <hyperlink ref="W320" r:id="rId682" xr:uid="{E9991992-7932-47DF-B230-73E4C4943B17}"/>
    <hyperlink ref="X320" r:id="rId683" xr:uid="{9A74BA92-0EBE-4C7E-AC63-5F609666CE0A}"/>
    <hyperlink ref="Y320" r:id="rId684" xr:uid="{2477F868-625B-4F02-B53F-697861AAC9E6}"/>
    <hyperlink ref="W321" r:id="rId685" xr:uid="{F26D988D-D43E-446C-8ABF-570823343D85}"/>
    <hyperlink ref="X321" r:id="rId686" xr:uid="{0FCB5120-04EF-406A-8146-BDDE0B8E0C45}"/>
    <hyperlink ref="Y321" r:id="rId687" xr:uid="{4245468C-63D2-4480-A816-F1A48DE5A438}"/>
    <hyperlink ref="W322" r:id="rId688" xr:uid="{B05275B3-F5E9-41D9-A8CF-60107073D670}"/>
    <hyperlink ref="X322" r:id="rId689" xr:uid="{75A41294-846F-4E01-AB76-865262D8D130}"/>
    <hyperlink ref="Y322" r:id="rId690" xr:uid="{871DF821-88F5-4F8C-9011-A4988F931CD0}"/>
    <hyperlink ref="W323" r:id="rId691" xr:uid="{BA62A887-DF70-4BDB-A82A-DF23AC7D8A45}"/>
    <hyperlink ref="X323" r:id="rId692" xr:uid="{72C26031-8056-4A7B-B907-00E68452CEF4}"/>
    <hyperlink ref="W324" r:id="rId693" xr:uid="{B612B49B-361F-4090-8A43-BBB1DDB25F2D}"/>
    <hyperlink ref="X324" r:id="rId694" xr:uid="{663C1348-061B-4411-B8C9-E53E9B5FA28A}"/>
    <hyperlink ref="W325" r:id="rId695" xr:uid="{279BCE7B-8340-4408-9292-FD24B6D40999}"/>
    <hyperlink ref="X325" r:id="rId696" xr:uid="{17D9942C-7147-4376-97B9-CCE45E0620C8}"/>
    <hyperlink ref="W326" r:id="rId697" xr:uid="{18E12244-CC0D-4206-A731-6262F848545F}"/>
    <hyperlink ref="X326" r:id="rId698" xr:uid="{13B22A14-A26C-4F81-9FE7-E3ABFC0F5038}"/>
    <hyperlink ref="W327" r:id="rId699" xr:uid="{8C3EC336-A3A2-41FC-BEA4-28FED1D797A1}"/>
    <hyperlink ref="W328" r:id="rId700" xr:uid="{55ECCE83-27CF-448A-9807-C6FACC142781}"/>
    <hyperlink ref="X328" r:id="rId701" xr:uid="{44864E09-7446-47AA-A8A1-182D87F1617B}"/>
    <hyperlink ref="W329" r:id="rId702" xr:uid="{38BA6F1D-65B1-4692-83B1-216BF8C29B20}"/>
    <hyperlink ref="W331" r:id="rId703" xr:uid="{3E625011-30DD-460C-B277-E878EA98CFE1}"/>
    <hyperlink ref="X331" r:id="rId704" xr:uid="{33B959C1-0ADE-4FE5-AF02-79A3C42782B1}"/>
    <hyperlink ref="W332" r:id="rId705" xr:uid="{33DAEF47-CB16-4430-A148-3D388C2B178C}"/>
    <hyperlink ref="X332" r:id="rId706" xr:uid="{51E98719-0355-42B9-B75F-2E06D320EC82}"/>
    <hyperlink ref="W333" r:id="rId707" xr:uid="{D142F3F3-240E-4F90-9A18-3F7680E246BD}"/>
    <hyperlink ref="X333" r:id="rId708" xr:uid="{87792365-66B9-4BE9-94B5-BEAE2C9E2078}"/>
    <hyperlink ref="Y333" r:id="rId709" xr:uid="{0E233444-78BF-4C81-BA11-7DF230A370DE}"/>
    <hyperlink ref="W334" r:id="rId710" xr:uid="{D7F73DAB-6027-4800-B356-766BBA9A9DD3}"/>
    <hyperlink ref="X334" r:id="rId711" xr:uid="{C175F931-9FBD-4C65-AC75-96305E21CF3D}"/>
    <hyperlink ref="W336" r:id="rId712" xr:uid="{A2A41650-6475-4F8E-9B02-05622636A6D0}"/>
    <hyperlink ref="X336" r:id="rId713" xr:uid="{DE8C63BF-0129-4BC9-9B8D-5DE9F5588756}"/>
    <hyperlink ref="W337" r:id="rId714" xr:uid="{6459814A-A734-47FD-AE15-0896681C677A}"/>
    <hyperlink ref="X337" r:id="rId715" xr:uid="{B667B217-9D39-44E5-A6F3-601AA3AB001F}"/>
    <hyperlink ref="W338" r:id="rId716" xr:uid="{1FF9E1A9-E820-4DE5-8A15-4DFB5DBF8FFE}"/>
    <hyperlink ref="X338" r:id="rId717" xr:uid="{08F3930C-A090-4476-A3E1-05EA47D00BAD}"/>
    <hyperlink ref="W345" r:id="rId718" xr:uid="{2B17B36C-4881-4D09-AA12-3C7F061498FC}"/>
    <hyperlink ref="X345" r:id="rId719" xr:uid="{DB1F7E54-8A2D-4D47-8929-01D2B35F0B13}"/>
    <hyperlink ref="W344" r:id="rId720" xr:uid="{589B05A1-3EDF-4C7A-9EC7-C2912B05D534}"/>
    <hyperlink ref="X344" r:id="rId721" xr:uid="{B3FECAEA-0AB1-4A75-9F74-F2E65CE5F6C4}"/>
    <hyperlink ref="W343" r:id="rId722" xr:uid="{BBB56236-FB2A-44C5-9BDB-E7AA18F81A0C}"/>
    <hyperlink ref="X343" r:id="rId723" xr:uid="{2BA24ED1-CAEC-4836-A467-A062660382AB}"/>
    <hyperlink ref="Y343" r:id="rId724" xr:uid="{F9BC3E6D-0C0E-44FF-BD3F-2B7D84BC383C}"/>
    <hyperlink ref="W342" r:id="rId725" xr:uid="{11CFB140-B2D2-4E95-9100-692F1152DEC2}"/>
    <hyperlink ref="W340" r:id="rId726" xr:uid="{A40A9D5B-02D7-472F-A9BD-B87D4CBE2A5E}"/>
    <hyperlink ref="X340" r:id="rId727" xr:uid="{3D8A01D0-2373-4841-8ECE-BB9C7EB6DCB1}"/>
    <hyperlink ref="W339" r:id="rId728" xr:uid="{78FAC912-B94B-4745-8C5F-371472C0C78D}"/>
    <hyperlink ref="X339" r:id="rId729" xr:uid="{7DD73F00-CA1C-4AF9-A67B-97E914690B68}"/>
    <hyperlink ref="Y339" r:id="rId730" xr:uid="{E6029182-25C7-4E7A-8D31-C712162565D1}"/>
    <hyperlink ref="X341" r:id="rId731" xr:uid="{E9DFC8B5-8BF5-4EAF-8BDA-F9D17CC4F48B}"/>
    <hyperlink ref="W341" r:id="rId732" xr:uid="{D0E213DF-7EBA-4D6C-B8F7-71F8F7243CEB}"/>
    <hyperlink ref="W330" r:id="rId733" xr:uid="{6A7A5987-4F07-4B02-AC0F-C7116F402B32}"/>
    <hyperlink ref="X330" r:id="rId734" xr:uid="{42FB4BE3-E5AB-4685-BEA7-386C69FB303D}"/>
    <hyperlink ref="Y330" r:id="rId735" xr:uid="{675D6448-0E51-4B30-BA7A-834EB7CF3364}"/>
    <hyperlink ref="W335" r:id="rId736" xr:uid="{7237F4E6-E255-42FB-A240-65C04678C62A}"/>
    <hyperlink ref="X335" r:id="rId737" xr:uid="{46EA4052-D967-45D0-8605-8C99C903CFFD}"/>
    <hyperlink ref="W86" r:id="rId738" xr:uid="{9FDDD9F7-89E1-4172-9C8B-68F681EBC2A4}"/>
    <hyperlink ref="X86" r:id="rId739" xr:uid="{F97A95F7-D1E8-4FAE-834D-95CEFD0EBFF4}"/>
    <hyperlink ref="X49" r:id="rId740" xr:uid="{41C942A9-3D35-4110-96D0-1D8148BADE57}"/>
    <hyperlink ref="W346" r:id="rId741" xr:uid="{806C15FA-AEFA-4DBD-B2E8-2621B084294A}"/>
    <hyperlink ref="X346" r:id="rId742" xr:uid="{F2758221-8C4B-49A4-9370-CC4B1DCE45A2}"/>
    <hyperlink ref="Y346" r:id="rId743" xr:uid="{02A1E172-0554-478F-A031-9D41B403342A}"/>
    <hyperlink ref="W347" r:id="rId744" xr:uid="{41F28D1A-3887-4CD1-AEE6-A1F98C256217}"/>
    <hyperlink ref="X347" r:id="rId745" xr:uid="{7CBE2753-4E4C-483F-B67F-9400F8B2A621}"/>
    <hyperlink ref="W287" r:id="rId746" xr:uid="{A121257E-95D6-47DB-A5C5-B29CD617E287}"/>
    <hyperlink ref="X287" r:id="rId747" xr:uid="{276742F5-2A99-4774-9D69-FE2959513A43}"/>
    <hyperlink ref="W348" r:id="rId748" xr:uid="{303423A8-2DAF-47C9-BB8E-2A492749646E}"/>
    <hyperlink ref="X348" r:id="rId749" xr:uid="{3C2628B4-B264-44FD-8361-B3EA398EB533}"/>
    <hyperlink ref="W349" r:id="rId750" xr:uid="{FEE1F79F-97BD-499B-88F3-428F8BF3115C}"/>
    <hyperlink ref="X349" r:id="rId751" xr:uid="{F732ACD4-EDD1-4667-9C04-DBBE361BAE23}"/>
    <hyperlink ref="W350" r:id="rId752" xr:uid="{2FE2D99B-D1EB-44BA-AA38-E74C3F8E3A2D}"/>
    <hyperlink ref="X350" r:id="rId753" xr:uid="{EF5E7CD6-C58C-4213-AB2D-1A9DCEB7FBEE}"/>
    <hyperlink ref="W351" r:id="rId754" xr:uid="{6ACBF737-B993-4355-B4EF-91AA4F5F38EC}"/>
    <hyperlink ref="Y351" r:id="rId755" xr:uid="{166B057C-412D-42E8-BB57-E3226064A9D4}"/>
    <hyperlink ref="X351" r:id="rId756" xr:uid="{35D22AAB-8FF9-4330-B369-9C3AA7C5C4CE}"/>
    <hyperlink ref="W352" r:id="rId757" xr:uid="{F8B29857-109D-4B92-BABF-1807BA2E9C82}"/>
    <hyperlink ref="X352" r:id="rId758" xr:uid="{41EFE095-9BF5-42DF-9A76-59661C2F2484}"/>
    <hyperlink ref="W353" r:id="rId759" xr:uid="{17C0E594-E553-48B9-B5E8-5B987213401F}"/>
    <hyperlink ref="X353" r:id="rId760" xr:uid="{5E8691F1-26B1-4124-BE35-799CFB65D2C4}"/>
    <hyperlink ref="W354" r:id="rId761" xr:uid="{0129C208-0657-4589-95C2-51A6AD54F8B7}"/>
    <hyperlink ref="X354" r:id="rId762" xr:uid="{9419AF19-4691-4BA2-8766-4BD8D2FF509F}"/>
    <hyperlink ref="W355" r:id="rId763" xr:uid="{D17702A0-A790-45B8-9D13-EA02F5B4F1C3}"/>
    <hyperlink ref="X355" r:id="rId764" xr:uid="{248DAB0F-0352-4245-8B93-8D72A7746D53}"/>
    <hyperlink ref="Y355" r:id="rId765" xr:uid="{FACD75F8-C331-4AB1-BCF4-4DDC29208229}"/>
    <hyperlink ref="W356" r:id="rId766" xr:uid="{23F6712A-FA56-43B3-963A-278AA019E652}"/>
    <hyperlink ref="X356" r:id="rId767" xr:uid="{AE28008D-28F4-48F8-AB49-1C9F28003A0C}"/>
    <hyperlink ref="Y356" r:id="rId768" xr:uid="{84A149F9-99EA-41E5-BDF4-630CC8706647}"/>
    <hyperlink ref="W357" r:id="rId769" xr:uid="{203707AD-B5CE-40BD-844B-082C2E8F6A05}"/>
    <hyperlink ref="X357" r:id="rId770" xr:uid="{9454EC5C-C2CA-49F9-8594-C4FC013585A8}"/>
    <hyperlink ref="W358" r:id="rId771" xr:uid="{01FBEE8A-4C72-4629-88D0-01C1FFA31354}"/>
    <hyperlink ref="X358" r:id="rId772" xr:uid="{B6FDF5C4-29F0-4103-9C95-6391E08E7E5F}"/>
    <hyperlink ref="W359" r:id="rId773" xr:uid="{A9A09A67-88B5-4103-AF4C-744B8C0733D5}"/>
    <hyperlink ref="X359" r:id="rId774" xr:uid="{AB244F10-93EB-4CE0-B970-6915B070BD2D}"/>
    <hyperlink ref="W360" r:id="rId775" xr:uid="{CCE3E837-D1A1-4655-91D2-135FEE6E3401}"/>
    <hyperlink ref="X360" r:id="rId776" xr:uid="{2C70E9A3-09F9-4B0A-AF5F-0694B8D66FE9}"/>
    <hyperlink ref="W361" r:id="rId777" xr:uid="{C1B234B8-0081-4CAB-856E-4405B55173C1}"/>
    <hyperlink ref="X361" r:id="rId778" xr:uid="{AB3F707A-B6C2-4460-B382-1D4A3EE30182}"/>
    <hyperlink ref="W362" r:id="rId779" xr:uid="{3FA2B75A-9761-4006-9A55-3130B9F10655}"/>
    <hyperlink ref="X362" r:id="rId780" xr:uid="{C561FC32-0656-4292-A1FA-FAC2B7ADE575}"/>
    <hyperlink ref="Y362" r:id="rId781" xr:uid="{30F21670-E1AF-4902-98E1-7883968542E3}"/>
    <hyperlink ref="W363" r:id="rId782" xr:uid="{CE3D293D-DD8B-4FC3-AE65-45A8BA653B4D}"/>
    <hyperlink ref="X363" r:id="rId783" xr:uid="{82D5F3F4-4512-4125-9E02-A09B1AB08622}"/>
    <hyperlink ref="W364" r:id="rId784" xr:uid="{D488E506-8C75-4AB3-BC71-5E984E38B6F7}"/>
    <hyperlink ref="X364" r:id="rId785" xr:uid="{33BC7551-1001-43A1-86EC-EFC4848C6709}"/>
    <hyperlink ref="W365" r:id="rId786" xr:uid="{F40AA71C-5935-4326-8AFB-8DFB3AE93573}"/>
    <hyperlink ref="X365" r:id="rId787" xr:uid="{3485FB69-DBAE-45BE-98B2-85CB3398BD1F}"/>
    <hyperlink ref="Y365" r:id="rId788" xr:uid="{75F899C0-DCDC-4E53-82DB-9D221DD0AF87}"/>
    <hyperlink ref="W366" r:id="rId789" xr:uid="{F945C049-FCD9-4A21-95F7-63FC0B2E1D50}"/>
    <hyperlink ref="X366" r:id="rId790" xr:uid="{E0CE6429-4FD4-490D-B4F6-719FF8F85D7D}"/>
    <hyperlink ref="W367" r:id="rId791" xr:uid="{D2279EA9-9474-426E-B761-7BCA5453AD1F}"/>
    <hyperlink ref="X367" r:id="rId792" xr:uid="{4FCF7393-93F0-40F6-9286-3BDBAFDADCE2}"/>
    <hyperlink ref="Y367" r:id="rId793" xr:uid="{B78F5CD7-D6BF-49B7-96C1-15B3968B9F18}"/>
    <hyperlink ref="W368" r:id="rId794" xr:uid="{8AB11ECE-4699-4456-B2CE-759F66781A60}"/>
    <hyperlink ref="W369" r:id="rId795" xr:uid="{606BBFB2-A35F-47AB-AAA8-70A7539B223B}"/>
    <hyperlink ref="W370" r:id="rId796" xr:uid="{A2907A39-7AC4-4852-B482-B6ED958D31EE}"/>
    <hyperlink ref="W371" r:id="rId797" xr:uid="{DB9A2A0B-52EA-4CA8-87A1-7CD9AEA274BF}"/>
    <hyperlink ref="X371" r:id="rId798" xr:uid="{3FED500F-E059-4570-8A67-CC1B1CE29F6E}"/>
    <hyperlink ref="Y371" r:id="rId799" xr:uid="{A5BE11F2-56D5-4B75-9BD3-9549F4D2178A}"/>
    <hyperlink ref="W372" r:id="rId800" xr:uid="{C2B09218-5C97-4C74-9D15-5B19320489BF}"/>
    <hyperlink ref="X372" r:id="rId801" xr:uid="{D2BD5771-B704-41AC-8EAF-F8A94D67E34F}"/>
    <hyperlink ref="Y372" r:id="rId802" xr:uid="{B5C48D99-28E4-47ED-8D03-B65E75370492}"/>
    <hyperlink ref="W373" r:id="rId803" xr:uid="{43B47EC7-1E92-4986-B2B7-3E22A34B9AD1}"/>
    <hyperlink ref="X373" r:id="rId804" xr:uid="{40883102-0D2A-4E78-B02B-664D863E244A}"/>
    <hyperlink ref="W374" r:id="rId805" xr:uid="{ADA2EF12-5B76-4172-85C9-DD961BE83B25}"/>
    <hyperlink ref="X374" r:id="rId806" xr:uid="{371C18F9-A301-4E70-BE7E-4E88B518A48D}"/>
    <hyperlink ref="W375" r:id="rId807" xr:uid="{CEB7504C-EC6C-4CDF-BAE7-21329DB815D5}"/>
    <hyperlink ref="X375" r:id="rId808" xr:uid="{F36EE040-90EC-44ED-9607-29075759244A}"/>
    <hyperlink ref="W376" r:id="rId809" xr:uid="{0C5F9903-A4FA-425D-B616-995860B58A06}"/>
    <hyperlink ref="X376" r:id="rId810" display="PD050364" xr:uid="{B404C2EB-5952-4940-876E-16300C6E2308}"/>
    <hyperlink ref="Y376" r:id="rId811" xr:uid="{FB3FAE86-47DE-4A99-8B19-D9FC3BD28C5A}"/>
    <hyperlink ref="W377" r:id="rId812" xr:uid="{A47B644F-10D8-4DAE-949A-5B26AAB515E9}"/>
    <hyperlink ref="W378" r:id="rId813" xr:uid="{9FC24EA3-FE9C-4B21-8FAD-F086A65EB041}"/>
    <hyperlink ref="W379" r:id="rId814" xr:uid="{8865B599-C462-42F3-A36C-CD7B66659D9B}"/>
    <hyperlink ref="X379" r:id="rId815" xr:uid="{EB26D619-2EAB-4A16-B8DF-BF1DF2D090E8}"/>
    <hyperlink ref="W380" r:id="rId816" xr:uid="{1FD36CD5-0A1B-461B-A0B3-545C6F55136B}"/>
    <hyperlink ref="X380" r:id="rId817" xr:uid="{825CA93B-5508-47D8-B27D-0AAB3D94622E}"/>
    <hyperlink ref="Y380" r:id="rId818" xr:uid="{8F90F7F8-8331-48D1-9432-E97E01EF5879}"/>
    <hyperlink ref="W381" r:id="rId819" xr:uid="{61269D24-7562-4091-94ED-26D170A3F278}"/>
    <hyperlink ref="X381" r:id="rId820" xr:uid="{E232AD6B-672F-4F94-B805-BF8CB81825BC}"/>
    <hyperlink ref="W382" r:id="rId821" xr:uid="{BF4CB8AE-4C79-4DD7-BE5B-BA3308D33040}"/>
    <hyperlink ref="X382" r:id="rId822" xr:uid="{E2CDBE67-E931-4211-AFD9-3E309CF43C5A}"/>
    <hyperlink ref="W383" r:id="rId823" xr:uid="{F384D4CD-323A-457C-9A8E-26E3035B0C1A}"/>
    <hyperlink ref="X383" r:id="rId824" xr:uid="{35DE2947-9281-4050-8F57-0D834A6D3445}"/>
    <hyperlink ref="W384" r:id="rId825" xr:uid="{81A119D3-76B4-4489-A478-507E484173B4}"/>
    <hyperlink ref="X384" r:id="rId826" xr:uid="{955D2A81-4A2D-4DC6-89DA-F71B977FC7A5}"/>
    <hyperlink ref="W385" r:id="rId827" xr:uid="{8C4B64F4-5732-4F2D-BD38-DC94EBE76633}"/>
    <hyperlink ref="W386" r:id="rId828" xr:uid="{F407025E-B07B-458F-8478-740B924A2AD9}"/>
    <hyperlink ref="X386" r:id="rId829" xr:uid="{A66FCC59-186D-4720-BC14-0F4D0D5DB4FA}"/>
    <hyperlink ref="W387" r:id="rId830" xr:uid="{6C960C56-6EC8-4B24-A77D-E06C0F558817}"/>
    <hyperlink ref="W388" r:id="rId831" xr:uid="{A9DBE2BA-7A04-486A-88F5-E0D484341780}"/>
    <hyperlink ref="W389" r:id="rId832" xr:uid="{69D9FC60-BFA1-4E66-978E-664F59E21A7F}"/>
    <hyperlink ref="X389" r:id="rId833" xr:uid="{9FF177DD-5ECC-4A80-A6E8-8819F5E01BB6}"/>
    <hyperlink ref="W390" r:id="rId834" xr:uid="{23BE32B1-7155-4757-B9EF-B25C86F96F19}"/>
    <hyperlink ref="X390" r:id="rId835" xr:uid="{27354088-B7C2-4235-A7FA-45A730D51777}"/>
    <hyperlink ref="W391" r:id="rId836" xr:uid="{4CF38364-4773-457B-9E71-C525A8549AE9}"/>
    <hyperlink ref="X391" r:id="rId837" xr:uid="{3395B98C-5950-4C88-9E1D-3DDF228C7ED6}"/>
    <hyperlink ref="Y391" r:id="rId838" xr:uid="{9686A34E-D857-4369-ACAB-4531F8054069}"/>
    <hyperlink ref="W392" r:id="rId839" xr:uid="{9AD16036-73B3-4A44-BC95-AAE08548B3C7}"/>
    <hyperlink ref="W393" r:id="rId840" xr:uid="{4C7F982F-F0A9-4B31-8937-15B7FA74F6E2}"/>
    <hyperlink ref="W394" r:id="rId841" xr:uid="{6F5B1340-8B9F-41D9-9A00-255CE7C9C3A0}"/>
    <hyperlink ref="X394" r:id="rId842" xr:uid="{A8DCF138-2C18-48CC-AA35-9815457CBE39}"/>
    <hyperlink ref="Y394" r:id="rId843" xr:uid="{3DDADA21-C600-4051-AB2D-8C1E261DF5B4}"/>
    <hyperlink ref="W395" r:id="rId844" xr:uid="{8BE17AF1-A202-4481-AEF5-B53A7B5ABB4A}"/>
    <hyperlink ref="X395" r:id="rId845" xr:uid="{3B91036C-6666-4E77-BAFC-DA8666430A6E}"/>
    <hyperlink ref="Y395" r:id="rId846" xr:uid="{244DC7F6-66DF-4CCE-BD8F-0C29759EA01A}"/>
    <hyperlink ref="Z395" r:id="rId847" xr:uid="{3160E3DE-93C4-450C-8FAB-94E72AB2DEE2}"/>
    <hyperlink ref="W396" r:id="rId848" xr:uid="{8D46A0F0-F60D-4338-AFBD-5CBD60D9FC01}"/>
    <hyperlink ref="X396" r:id="rId849" xr:uid="{BA79B59A-3067-43FA-95C3-ED07708BAD22}"/>
    <hyperlink ref="Y396" r:id="rId850" xr:uid="{E77EA519-A86A-4778-A5CA-2770EA65B2EC}"/>
    <hyperlink ref="W397" r:id="rId851" xr:uid="{88CECB05-E89D-4DCB-B3F7-ED55287F2FA5}"/>
    <hyperlink ref="X397" r:id="rId852" xr:uid="{99EDE428-CCD1-46DF-B156-3E00EE8FF30F}"/>
    <hyperlink ref="W399" r:id="rId853" xr:uid="{206083EF-83A1-4E10-AADB-F9504BB1AA27}"/>
    <hyperlink ref="X399" r:id="rId854" xr:uid="{74570FE6-5712-4292-97C2-AADB6C7BF0B4}"/>
    <hyperlink ref="W400" r:id="rId855" xr:uid="{2FFA6B4B-8060-4373-BE2A-4E435AB3F9E6}"/>
    <hyperlink ref="X400" r:id="rId856" xr:uid="{8EA3C2D5-C2D6-4DB4-AFC0-EC52F4D3B310}"/>
    <hyperlink ref="W401" r:id="rId857" xr:uid="{D00F12A1-5D9F-4149-93FD-8DFB26A64046}"/>
    <hyperlink ref="X401" r:id="rId858" xr:uid="{DB9C4CDB-397D-4F90-BEA0-2A3CB4AF04C2}"/>
    <hyperlink ref="W402" r:id="rId859" xr:uid="{BF32F6F1-B512-4AE1-8A74-E8487FA65C1E}"/>
    <hyperlink ref="W403" r:id="rId860" xr:uid="{D290B1A7-350C-4A88-AC2E-BA4CF246417B}"/>
    <hyperlink ref="X403" r:id="rId861" xr:uid="{AF56BAB5-34A4-478D-A568-A1B2E6A20E40}"/>
    <hyperlink ref="W398" r:id="rId862" xr:uid="{BB250076-5FD6-4948-BF4F-E81C6AAB78AC}"/>
    <hyperlink ref="X398" r:id="rId863" xr:uid="{68BFC7AC-1E6A-46DE-AA32-7E1C63907C7E}"/>
    <hyperlink ref="W404" r:id="rId864" xr:uid="{1F643537-E459-4ACB-8E47-834048B4D757}"/>
    <hyperlink ref="X404" r:id="rId865" xr:uid="{90BA6FE9-0555-4871-9130-E56F8E7661FE}"/>
    <hyperlink ref="W405" r:id="rId866" xr:uid="{75958C47-A081-4FE4-B5D1-9895BA9BCEEF}"/>
    <hyperlink ref="X405" r:id="rId867" xr:uid="{AD18EEFA-82E5-4900-9004-403CA71A0847}"/>
    <hyperlink ref="W406" r:id="rId868" xr:uid="{7B76884B-151A-475F-AE66-9DFBC003DE0B}"/>
    <hyperlink ref="X406" r:id="rId869" xr:uid="{CABFE9EA-3C52-4475-AABE-3F7D1F9CAE03}"/>
    <hyperlink ref="W407" r:id="rId870" xr:uid="{279DBF89-91E2-4DAB-9DA1-2C8C02B1733C}"/>
    <hyperlink ref="W408" r:id="rId871" xr:uid="{C1EEB4B6-1159-453C-ACC7-1DD83C64024C}"/>
    <hyperlink ref="X408" r:id="rId872" xr:uid="{36608A37-1948-43B6-8691-761EB7A92C3A}"/>
    <hyperlink ref="W409" r:id="rId873" xr:uid="{20580702-F5B8-4B26-8B61-01A5C057181F}"/>
    <hyperlink ref="X409" r:id="rId874" xr:uid="{62760A13-2B59-4DAA-B83D-230EFABD2A86}"/>
    <hyperlink ref="W410" r:id="rId875" xr:uid="{90833F3A-90B4-4013-B9B1-D6F10B4D9956}"/>
    <hyperlink ref="U411" r:id="rId876" display="https://buckrogers.fandom.com/" xr:uid="{F5D5BA69-1306-4AF7-BAD7-97F8A704E7A3}"/>
    <hyperlink ref="W411" r:id="rId877" xr:uid="{4564CB97-F846-40D3-AEA5-5474F5A13716}"/>
    <hyperlink ref="X411" r:id="rId878" xr:uid="{F8ED195C-F66B-434A-95E8-55F1FCC8C0E5}"/>
    <hyperlink ref="W412" r:id="rId879" xr:uid="{05FA691B-C15E-4321-B024-5E8A56667063}"/>
    <hyperlink ref="W413" r:id="rId880" xr:uid="{1601C6F7-B147-449F-BDE8-3932CC5001FB}"/>
    <hyperlink ref="X413" r:id="rId881" xr:uid="{0D300279-5B0E-4B68-B78E-FC44CED3DD2B}"/>
    <hyperlink ref="W414" r:id="rId882" xr:uid="{D38A6924-3F56-45E1-823C-038F80D44AB5}"/>
    <hyperlink ref="X414" r:id="rId883" xr:uid="{33F60937-89A9-44B1-B205-3AC30CE146F7}"/>
    <hyperlink ref="W415" r:id="rId884" xr:uid="{A21057C1-D559-4DD2-A7E3-423B77821F29}"/>
    <hyperlink ref="X415" r:id="rId885" xr:uid="{1FC5E8B0-0C3C-4BEB-B9C1-83F83253DFF4}"/>
    <hyperlink ref="W416" r:id="rId886" xr:uid="{955028CC-0AC2-4692-B7C0-C056032B3AC9}"/>
    <hyperlink ref="X416" r:id="rId887" xr:uid="{A7DD6B5B-BB58-4686-AF92-5DB58E5CB5AA}"/>
    <hyperlink ref="Y416" r:id="rId888" xr:uid="{F5D96717-9BA8-4D78-905F-681A2D3B4CE9}"/>
    <hyperlink ref="W417" r:id="rId889" xr:uid="{E3B3B5F8-7EA6-4A96-9ABE-198DCA48C58F}"/>
    <hyperlink ref="X417" r:id="rId890" xr:uid="{851B1D17-8EDE-45CC-8395-68DF32BF2CCB}"/>
    <hyperlink ref="Y417" r:id="rId891" xr:uid="{FF2F8050-15DD-4C5D-B69E-34CFCD58427E}"/>
    <hyperlink ref="W418" r:id="rId892" xr:uid="{5C2D3D2F-EEF6-432C-88BE-CC8C26413AF6}"/>
    <hyperlink ref="W419" r:id="rId893" xr:uid="{1201810D-C9DD-4905-ACF6-FBC4C47E4EE3}"/>
    <hyperlink ref="X419" r:id="rId894" xr:uid="{7382700F-E2DD-4692-BC1A-94D529C3C842}"/>
    <hyperlink ref="W420" r:id="rId895" xr:uid="{93C86B58-48F2-46E6-8DC0-DF030ED1C89D}"/>
    <hyperlink ref="W421" r:id="rId896" xr:uid="{06E65EA9-C2EF-4893-AF69-ED4CC7F60C46}"/>
    <hyperlink ref="X421" r:id="rId897" xr:uid="{0E0D676E-82D5-4B2E-B726-1A9DB7704D4E}"/>
    <hyperlink ref="W423" r:id="rId898" xr:uid="{1A8FDD4C-C63D-4D10-9EC1-FF0FBAF12C7D}"/>
    <hyperlink ref="W425" r:id="rId899" xr:uid="{3646F04C-327F-4780-B89F-4CE61A600B13}"/>
    <hyperlink ref="W426" r:id="rId900" xr:uid="{6446F0E8-5586-4E16-8306-8D156C1E0413}"/>
    <hyperlink ref="X426" r:id="rId901" xr:uid="{18D7526B-024D-42A3-873F-10122B0B3FB0}"/>
    <hyperlink ref="W429" r:id="rId902" xr:uid="{B6743ECB-CCE4-479B-8FE7-0FFCB1397EED}"/>
    <hyperlink ref="X429" r:id="rId903" xr:uid="{BCFAE64B-E310-4231-A1D0-9E3E8C0E1180}"/>
    <hyperlink ref="W431" r:id="rId904" xr:uid="{14D9287C-2D25-4A90-8DEB-DCAD45146166}"/>
    <hyperlink ref="X431" r:id="rId905" xr:uid="{48F4C47D-7CEE-4652-8B79-5052730BEBD5}"/>
    <hyperlink ref="Y431" r:id="rId906" xr:uid="{D07E5BA5-1BAA-4BEE-88CD-BF0F50833DAF}"/>
    <hyperlink ref="W210" r:id="rId907" xr:uid="{B51CDA93-F8C0-4F5D-A400-ED7CF6319744}"/>
    <hyperlink ref="W433" r:id="rId908" xr:uid="{08DD38B7-13FC-42DA-AD5D-5F7E0BEBC373}"/>
    <hyperlink ref="X433" r:id="rId909" xr:uid="{BD336DB8-7782-4BAB-ACBF-C991DE18EA80}"/>
    <hyperlink ref="W422" r:id="rId910" xr:uid="{1C9F8567-232F-4DA2-A98D-9964A4CE2324}"/>
    <hyperlink ref="X422" r:id="rId911" xr:uid="{3A2531D2-002C-4B80-8993-82715B63D141}"/>
    <hyperlink ref="W424" r:id="rId912" xr:uid="{5E3B48BF-B72F-434B-9797-692BD21C4FD0}"/>
    <hyperlink ref="W427" r:id="rId913" xr:uid="{9914200B-CE45-42BA-AEF4-91A5013E8510}"/>
    <hyperlink ref="W428" r:id="rId914" xr:uid="{96EF8152-7015-4EF1-B041-5D64154A8877}"/>
    <hyperlink ref="X428" r:id="rId915" xr:uid="{8FA10EA1-25F2-4238-B779-46AAFD559D72}"/>
    <hyperlink ref="W430" r:id="rId916" xr:uid="{FEB4CF26-B30D-4203-8BF8-3BC2DDE88B70}"/>
    <hyperlink ref="X430" r:id="rId917" xr:uid="{D5FCF87A-BAA3-464B-B665-43D93E1E3A44}"/>
    <hyperlink ref="W432" r:id="rId918" xr:uid="{CB3DAF7E-66C5-49F9-BF66-C742A93DC891}"/>
    <hyperlink ref="X432" r:id="rId919" xr:uid="{31FD479F-041E-43BC-85BC-F2EC69E389BF}"/>
    <hyperlink ref="W434" r:id="rId920" xr:uid="{475F93BF-9A12-4373-97BC-09ECB2F7ECC6}"/>
    <hyperlink ref="X434" r:id="rId921" xr:uid="{E72E5A87-41DF-4A60-A622-ABE45F3A167B}"/>
    <hyperlink ref="Y434" r:id="rId922" xr:uid="{35C1CC03-FEA6-4207-BCDF-7FAEE7AFC425}"/>
    <hyperlink ref="W435" r:id="rId923" xr:uid="{0A3B395D-4BEA-45BF-A697-AC85D9B68A7D}"/>
    <hyperlink ref="W436" r:id="rId924" xr:uid="{D9CF249F-689B-478C-8769-004449406B0D}"/>
    <hyperlink ref="X436" r:id="rId925" xr:uid="{FD32B53E-DF03-4676-A591-F41BF193A93B}"/>
    <hyperlink ref="W437" r:id="rId926" xr:uid="{D49D97EA-24EE-4758-8366-485470FDD9E8}"/>
    <hyperlink ref="X437" r:id="rId927" xr:uid="{77085D67-6CAE-4251-BF62-8A3216A6F7BE}"/>
    <hyperlink ref="W438" r:id="rId928" xr:uid="{80C50163-DABD-4C2B-9AAD-02A647ABD81F}"/>
    <hyperlink ref="X438" r:id="rId929" xr:uid="{1B33A9DA-8A19-42CB-9CFC-8FCAD751E929}"/>
    <hyperlink ref="Y438" r:id="rId930" xr:uid="{FE270914-228E-4178-84D1-59704CC7C0B4}"/>
    <hyperlink ref="W439" r:id="rId931" xr:uid="{1EA8CBEE-9A7E-4506-ABED-D1E0848184A0}"/>
    <hyperlink ref="X439" r:id="rId932" xr:uid="{16CD2D75-5AC8-4793-8D8F-994352A5BA4B}"/>
    <hyperlink ref="Y439" r:id="rId933" xr:uid="{19EAB4FA-B50E-433E-996A-5CD60ACFBC8F}"/>
    <hyperlink ref="W440" r:id="rId934" xr:uid="{0908CF31-2D13-422C-A2C5-C616C7DDB1EF}"/>
    <hyperlink ref="X440" r:id="rId935" xr:uid="{9E464C14-ED60-4C07-A082-1F0807BBA7BD}"/>
    <hyperlink ref="Y440" r:id="rId936" xr:uid="{C04328EE-1243-4B14-9EC2-078703420D84}"/>
    <hyperlink ref="W441" r:id="rId937" xr:uid="{0A101E0A-3A69-409A-AE6A-F5B8BA3339F0}"/>
    <hyperlink ref="W442" r:id="rId938" xr:uid="{FA2BBEAF-8749-4F5C-B312-DE7CB37532AD}"/>
    <hyperlink ref="X442" r:id="rId939" xr:uid="{78617DC5-721C-4D90-A1A2-F5AA52901A87}"/>
    <hyperlink ref="W443" r:id="rId940" xr:uid="{96DE908B-9189-4307-982E-9EA5043F2BDC}"/>
    <hyperlink ref="W444" r:id="rId941" xr:uid="{0E65658D-225B-49B6-9C02-AB581FA67725}"/>
    <hyperlink ref="W445" r:id="rId942" xr:uid="{D2CF7344-4292-4373-9640-1B3F418813F6}"/>
    <hyperlink ref="W446" r:id="rId943" xr:uid="{8CDA8E77-E484-4E6B-8E9E-229A7D083D35}"/>
    <hyperlink ref="W447" r:id="rId944" xr:uid="{0B762D6A-DE12-4AA0-B9A0-94667E8D4393}"/>
    <hyperlink ref="W448" r:id="rId945" xr:uid="{E83A0A07-9ADC-4F2F-8901-FC80F2EFE131}"/>
    <hyperlink ref="X448" r:id="rId946" xr:uid="{48CCCE07-22E9-437B-AB5E-48042A6B10CC}"/>
    <hyperlink ref="W449" r:id="rId947" xr:uid="{6583F78B-843A-4C6B-8FE6-D9131123409B}"/>
    <hyperlink ref="X449" r:id="rId948" xr:uid="{C5B1BCC3-7AE6-46D4-B641-80C9FEE8C1DD}"/>
    <hyperlink ref="W450" r:id="rId949" xr:uid="{520439AA-1E8E-44A2-AB39-158432E5270C}"/>
    <hyperlink ref="X450" r:id="rId950" xr:uid="{C62C0FF4-53EC-493B-810A-DDF06B958591}"/>
    <hyperlink ref="W451" r:id="rId951" xr:uid="{3DB6138B-D470-414E-9F5E-8A8B9A8B6C82}"/>
    <hyperlink ref="X451" r:id="rId952" xr:uid="{553377E1-0AF3-41B5-9949-55499D7E4167}"/>
    <hyperlink ref="W452" r:id="rId953" xr:uid="{36D53595-B1F0-43A2-BE18-24670A898E30}"/>
    <hyperlink ref="W453" r:id="rId954" xr:uid="{B1B20E42-7BAD-4030-A81E-04E37960F298}"/>
    <hyperlink ref="X453" r:id="rId955" xr:uid="{C5F5DCDC-3B0F-400A-9CDB-4334D4A6B675}"/>
    <hyperlink ref="W454" r:id="rId956" xr:uid="{6A97955C-03BB-4A35-89AD-2B91CD014888}"/>
    <hyperlink ref="X454" r:id="rId957" xr:uid="{F9986395-D17C-458C-A224-FEBCCF9B1E98}"/>
    <hyperlink ref="W455" r:id="rId958" xr:uid="{0E1A770A-C459-43AA-B8BD-215C8764B1C5}"/>
    <hyperlink ref="X455" r:id="rId959" xr:uid="{45D74D66-9FCB-420C-9056-C7C5DF7A9ADC}"/>
    <hyperlink ref="W456" r:id="rId960" xr:uid="{1F679B8E-3DF8-4A82-A525-B78A0C368556}"/>
    <hyperlink ref="X456" r:id="rId961" xr:uid="{D9FEB3F5-6DED-48E8-A41E-5965ED031A5C}"/>
    <hyperlink ref="Y456" r:id="rId962" xr:uid="{5030037A-6194-4084-A46F-074533BBC9E1}"/>
    <hyperlink ref="W457" r:id="rId963" xr:uid="{2A223F14-9AB1-4D26-9859-36433F57AA7D}"/>
    <hyperlink ref="X457" r:id="rId964" xr:uid="{E70924A0-E1C1-414E-9115-B9FF32D3F1F7}"/>
    <hyperlink ref="W458" r:id="rId965" xr:uid="{D550DE2E-41CF-4B50-91FF-5189972CCD09}"/>
    <hyperlink ref="X458" r:id="rId966" xr:uid="{437E8325-1030-4B59-8739-9150A1B9122E}"/>
    <hyperlink ref="W459" r:id="rId967" xr:uid="{31BC573D-97A3-401C-8263-AD18955B202D}"/>
    <hyperlink ref="X459" r:id="rId968" xr:uid="{561680CF-F2E9-43AA-9A69-A2532060E066}"/>
    <hyperlink ref="Y458" r:id="rId969" xr:uid="{0EDE503A-6FF4-426C-B99E-DD26D20AE6FC}"/>
    <hyperlink ref="Y459" r:id="rId970" xr:uid="{3CE266CB-5231-42F0-BDD2-34CDCCB7F68F}"/>
    <hyperlink ref="W240" r:id="rId971" xr:uid="{10716488-A1DB-486C-B047-D1B1399DC2CA}"/>
    <hyperlink ref="X240" r:id="rId972" xr:uid="{D5EAAE88-77FB-417F-8B41-D24434AB2F5C}"/>
    <hyperlink ref="W461" r:id="rId973" xr:uid="{6F775F04-BA81-413F-8744-E9A146D3E361}"/>
    <hyperlink ref="X461" r:id="rId974" xr:uid="{5708018C-EB65-4929-9504-6C8B4B2F4BF1}"/>
    <hyperlink ref="W460" r:id="rId975" xr:uid="{70BD345E-DE5C-4B6B-A21E-2328A322514D}"/>
    <hyperlink ref="X460" r:id="rId976" xr:uid="{FFE997D4-A0FC-42D2-B596-CD491C253E1C}"/>
    <hyperlink ref="W462" r:id="rId977" xr:uid="{20A2A48F-3035-4C44-8215-B90FD100CF09}"/>
    <hyperlink ref="X462" r:id="rId978" xr:uid="{C5539E95-72B2-424D-8DF8-7E6970C8B300}"/>
    <hyperlink ref="W463" r:id="rId979" xr:uid="{836264AF-5449-4A9C-8AA6-3DDA3B91B8F6}"/>
    <hyperlink ref="X463" r:id="rId980" xr:uid="{CE4BE82F-AFD2-417F-94ED-E78A89ED3139}"/>
    <hyperlink ref="Y463" r:id="rId981" xr:uid="{E93D2E3F-34C2-41FD-AE49-6D05AD8FEA72}"/>
    <hyperlink ref="W464" r:id="rId982" xr:uid="{05D378DA-14CD-47F9-9C88-C704F0F95900}"/>
    <hyperlink ref="X464" r:id="rId983" xr:uid="{C91DAE3B-FF39-46AD-84BB-0C01CAC543CC}"/>
    <hyperlink ref="W465" r:id="rId984" xr:uid="{BDAFDF76-E7AB-47E8-BD16-D618AA497BE5}"/>
    <hyperlink ref="X465" r:id="rId985" xr:uid="{22020081-D83B-4B30-9CBB-D790E215F7D6}"/>
    <hyperlink ref="Y465" r:id="rId986" xr:uid="{8EC488DE-5153-4DE0-B67F-6074C6041DD4}"/>
    <hyperlink ref="Z465" r:id="rId987" xr:uid="{CF98BCB1-B5BD-40EA-9162-79FA5D0DB59A}"/>
    <hyperlink ref="W466" r:id="rId988" xr:uid="{52C5E82B-D52B-4A3F-8D7F-11B8D926F252}"/>
    <hyperlink ref="X466" r:id="rId989" xr:uid="{52144C5F-4E2F-4EB6-A4FB-DB63478BA909}"/>
    <hyperlink ref="W467" r:id="rId990" xr:uid="{2590128F-1761-4E1A-9555-BBC24CF3813F}"/>
    <hyperlink ref="X467" r:id="rId991" xr:uid="{190889D4-726C-4E99-B17B-9DD2FB7D0497}"/>
    <hyperlink ref="Y467" r:id="rId992" xr:uid="{2CB104BE-57A0-4B5B-81E6-D49C816CDEE9}"/>
    <hyperlink ref="W468" r:id="rId993" xr:uid="{5CDEE30E-9268-4A71-9C2D-98852A5DEE15}"/>
    <hyperlink ref="X468" r:id="rId994" xr:uid="{066B6EFF-D07B-4405-98C5-F8E180BB5CB2}"/>
    <hyperlink ref="Y468" r:id="rId995" xr:uid="{DD6403A0-E4E2-4E21-9372-9F760C18AA14}"/>
    <hyperlink ref="W469" r:id="rId996" xr:uid="{BA02C95B-20D1-40F2-831D-3C766B603A3B}"/>
    <hyperlink ref="X469" r:id="rId997" xr:uid="{9B25A908-917C-402F-AAA7-486A55BD14D3}"/>
    <hyperlink ref="Y469" r:id="rId998" xr:uid="{6919CB8D-2695-405B-ABDF-1638E91F9B05}"/>
    <hyperlink ref="W470" r:id="rId999" xr:uid="{C74203F2-4BAA-49E1-96BC-93576383EE20}"/>
    <hyperlink ref="W471" r:id="rId1000" xr:uid="{21154E5B-F8E8-4668-841F-9E983F619B0C}"/>
    <hyperlink ref="X471" r:id="rId1001" xr:uid="{CDA2E2E3-7DE3-401D-ADC9-7D207AFEDE31}"/>
    <hyperlink ref="W472" r:id="rId1002" xr:uid="{16BD1094-67E0-405D-B4A7-366CB756DB10}"/>
    <hyperlink ref="X472" r:id="rId1003" xr:uid="{E42E766A-FB43-4035-AFE1-E63ED2298F0E}"/>
    <hyperlink ref="Y472" r:id="rId1004" xr:uid="{E1F3631C-484E-4EA6-ABF1-CF286B12A11E}"/>
    <hyperlink ref="W473" r:id="rId1005" xr:uid="{3C9BE4E2-C5D0-4388-90B1-01C1B09DEB70}"/>
    <hyperlink ref="X473" r:id="rId1006" xr:uid="{D7A324F9-B778-498C-AADC-49A08A5B3279}"/>
    <hyperlink ref="W474" r:id="rId1007" xr:uid="{7D848520-FD80-47F4-A821-D661029AE6F0}"/>
    <hyperlink ref="X474" r:id="rId1008" xr:uid="{C1E5C9A3-0EF2-478B-ACF1-18777CABF6FC}"/>
    <hyperlink ref="Y474" r:id="rId1009" xr:uid="{FD1749A2-B714-485A-B381-AE0BA075D499}"/>
    <hyperlink ref="W475" r:id="rId1010" xr:uid="{499454EB-5AE8-471D-A9E9-FAD7DC32C968}"/>
    <hyperlink ref="X475" r:id="rId1011" xr:uid="{07A82DD4-60C2-43DF-91D2-C602713F9A6A}"/>
    <hyperlink ref="W476" r:id="rId1012" xr:uid="{98D1822C-A456-4C0D-A85B-4ADFAD374B93}"/>
    <hyperlink ref="X476" r:id="rId1013" xr:uid="{9635818F-8BC5-4272-A928-0208E78CD50D}"/>
    <hyperlink ref="Y476" r:id="rId1014" xr:uid="{A9A77831-1483-448D-B23F-1D890EE2A087}"/>
    <hyperlink ref="W477" r:id="rId1015" xr:uid="{3FEF6909-5243-402F-8D6F-6705DD908B28}"/>
    <hyperlink ref="X477" r:id="rId1016" xr:uid="{44A2FA3D-BA9F-4A66-A4F0-17792B96EECF}"/>
    <hyperlink ref="Y477" r:id="rId1017" xr:uid="{40CCA3DF-464F-4788-839B-6520D4B1883D}"/>
    <hyperlink ref="W478" r:id="rId1018" xr:uid="{A9B956E7-E10D-4297-A3A1-344F6274EC1F}"/>
    <hyperlink ref="X478" r:id="rId1019" xr:uid="{7FC851D5-EA03-4C38-AA9F-1C12A961184C}"/>
    <hyperlink ref="W479" r:id="rId1020" xr:uid="{C625E3E5-6949-4F23-B5EF-C929EAF38012}"/>
    <hyperlink ref="X479" r:id="rId1021" xr:uid="{2F9FA254-7DFA-453B-B71E-B2CF1E4479EF}"/>
    <hyperlink ref="W480" r:id="rId1022" xr:uid="{B5749FED-D00B-4B8D-8470-837D9685910E}"/>
    <hyperlink ref="X480" r:id="rId1023" xr:uid="{22A854F8-9070-4848-8C57-238DF273CB5D}"/>
    <hyperlink ref="W481" r:id="rId1024" xr:uid="{B2F931BA-3A05-44C5-AD93-74D9B8ABAFA2}"/>
    <hyperlink ref="X481" r:id="rId1025" xr:uid="{A94D9A87-E5B5-48D6-8384-AE2C16B070C1}"/>
    <hyperlink ref="Y481" r:id="rId1026" xr:uid="{36EF1EDA-DD58-4F2C-A283-BAE438592027}"/>
    <hyperlink ref="W482" r:id="rId1027" xr:uid="{C7624673-57DC-4F0D-9E58-19D9180A1368}"/>
    <hyperlink ref="X482" r:id="rId1028" xr:uid="{2400C9B1-77AD-42B2-84DA-D09C8AEC7511}"/>
    <hyperlink ref="W483" r:id="rId1029" xr:uid="{49576577-2D37-4EFE-ADAA-80F637822223}"/>
    <hyperlink ref="X483" r:id="rId1030" xr:uid="{B3362AF9-7220-45A7-95F0-894B75C5EC49}"/>
    <hyperlink ref="Y483" r:id="rId1031" xr:uid="{595C15A1-79BE-4396-89BD-E60974FD364A}"/>
    <hyperlink ref="Y457" r:id="rId1032" xr:uid="{AB3B42A6-D8DF-45DA-A4B8-A6E2751651B7}"/>
    <hyperlink ref="W484" r:id="rId1033" xr:uid="{15D163EA-C762-4899-B331-A990082170AD}"/>
    <hyperlink ref="W485" r:id="rId1034" xr:uid="{DA3C0733-483A-4FFE-BD68-5532D980DD3A}"/>
    <hyperlink ref="X485" r:id="rId1035" xr:uid="{AE3DBA54-2738-494E-96AD-76665476E57A}"/>
    <hyperlink ref="W486" r:id="rId1036" xr:uid="{AAE10C1F-10A0-4845-A2B2-10E2E632F60E}"/>
    <hyperlink ref="X486" r:id="rId1037" xr:uid="{DFDF5E9C-72AB-4BB3-B920-5A6BC85CC97F}"/>
    <hyperlink ref="W487" r:id="rId1038" xr:uid="{170B4640-52BE-40B8-B84D-43437F3CBC24}"/>
    <hyperlink ref="X487" r:id="rId1039" xr:uid="{8D0748C4-D79E-451E-8545-E19E44F54EFB}"/>
    <hyperlink ref="W488" r:id="rId1040" xr:uid="{020042A5-C244-4857-85BA-E1C39E507F19}"/>
    <hyperlink ref="W489" r:id="rId1041" xr:uid="{95CEF670-302C-44EE-9831-C053599B315E}"/>
    <hyperlink ref="W490" r:id="rId1042" xr:uid="{9F426A5C-17F0-4ABB-A6E3-E9667B19D9D7}"/>
    <hyperlink ref="X490" r:id="rId1043" xr:uid="{75CFFC10-D6EA-420F-9573-4CBCE73E605E}"/>
    <hyperlink ref="W491" r:id="rId1044" xr:uid="{89DCA9CB-031E-4992-9559-9675AA62B6AB}"/>
    <hyperlink ref="X491" r:id="rId1045" xr:uid="{867386AE-C344-43AB-9CFF-1BEB7BDB5B38}"/>
    <hyperlink ref="Y491" r:id="rId1046" xr:uid="{EA49D7EB-4162-4B24-B81D-875B7430E6C8}"/>
    <hyperlink ref="Z491" r:id="rId1047" xr:uid="{34A1B71A-4FF5-4E2A-8D71-5D0B4B96948A}"/>
    <hyperlink ref="W492" r:id="rId1048" xr:uid="{E4B8199E-3801-4D57-9866-728D5703F359}"/>
    <hyperlink ref="X492" r:id="rId1049" display="PE010114" xr:uid="{E02B3DF4-D2EC-4586-B597-8C3D7E9C79CC}"/>
    <hyperlink ref="W493" r:id="rId1050" xr:uid="{2120D78B-7970-47D4-93E4-438CDA9345D4}"/>
    <hyperlink ref="X493" r:id="rId1051" xr:uid="{5E26775B-5D53-46BC-B1DC-C1B60941B9D8}"/>
    <hyperlink ref="Y493" r:id="rId1052" xr:uid="{FA656C91-917C-4285-A4A8-4B03DA960B4A}"/>
    <hyperlink ref="W494" r:id="rId1053" xr:uid="{9D9F99AC-9B55-4108-882C-D2D306AE49D2}"/>
    <hyperlink ref="X494" r:id="rId1054" xr:uid="{16B3B148-72DD-46C0-B5F9-F0E300B1962E}"/>
    <hyperlink ref="W495" r:id="rId1055" xr:uid="{2E8726C8-46A7-4BAF-96C9-BF6597874F49}"/>
    <hyperlink ref="X495" r:id="rId1056" xr:uid="{FCA94283-7672-4E5C-9879-AF90D2A46F5C}"/>
    <hyperlink ref="Y495" r:id="rId1057" xr:uid="{EEF816A7-FE48-48C3-9847-6D234F9A8774}"/>
    <hyperlink ref="W496" r:id="rId1058" xr:uid="{745FCFC9-8AA1-4E9A-ABB2-1F54B3462A3D}"/>
    <hyperlink ref="X496" r:id="rId1059" xr:uid="{3C9EF907-525A-466F-B66B-38A099254EFA}"/>
    <hyperlink ref="W497" r:id="rId1060" xr:uid="{13EF6263-E0EB-419C-BAE0-5C98380C4537}"/>
    <hyperlink ref="X497" r:id="rId1061" xr:uid="{0E75CA63-3CA8-4A5F-B125-B70848A76B42}"/>
    <hyperlink ref="Y497" r:id="rId1062" xr:uid="{C6225070-5790-430C-A36D-8B5E049BCFBC}"/>
    <hyperlink ref="W498" r:id="rId1063" xr:uid="{CA58F404-1B01-417C-BCF9-560F0D047AB0}"/>
    <hyperlink ref="X498" r:id="rId1064" xr:uid="{4BF55B43-4F15-46B6-829D-764CCDD0A6C0}"/>
    <hyperlink ref="Y498" r:id="rId1065" xr:uid="{9A2108DA-7D84-4AFA-93A6-EDFDFA5EFDFA}"/>
    <hyperlink ref="Z498" r:id="rId1066" xr:uid="{91100040-7D92-4045-A934-20A9552F9766}"/>
    <hyperlink ref="W499" r:id="rId1067" xr:uid="{8C917AB8-F337-476B-A550-BE5E41534DFB}"/>
    <hyperlink ref="W500" r:id="rId1068" xr:uid="{50A849C1-5ED0-42EA-A9CD-D2A9419B8EFC}"/>
    <hyperlink ref="X500" r:id="rId1069" xr:uid="{A87F0D3B-4AB3-45FB-A5B0-38668AF2CBA0}"/>
    <hyperlink ref="Y500" r:id="rId1070" xr:uid="{3BCE2D89-6535-48F5-95F1-CCC945DE7761}"/>
    <hyperlink ref="W501" r:id="rId1071" xr:uid="{4CAFF918-6C30-47DC-B43C-30ADC8E958DE}"/>
    <hyperlink ref="X501" r:id="rId1072" xr:uid="{6E2FCCF0-98A1-46DA-B302-1ABFA3DA7FCD}"/>
    <hyperlink ref="Y501" r:id="rId1073" xr:uid="{90DD4F5B-CE2A-425A-A5C7-A4B965553E28}"/>
    <hyperlink ref="Z501" r:id="rId1074" xr:uid="{E6DC482C-FBEC-44E2-B7F3-5AB70CB03784}"/>
    <hyperlink ref="W502" r:id="rId1075" xr:uid="{58CAEEBE-4AD5-431A-82D8-F878DE39933D}"/>
    <hyperlink ref="X502" r:id="rId1076" xr:uid="{CF9700D9-40E2-46A9-99BE-C9879D1E2750}"/>
    <hyperlink ref="W503" r:id="rId1077" xr:uid="{AEE9D48A-124E-4079-92F0-996FCB612DDE}"/>
    <hyperlink ref="X503" r:id="rId1078" xr:uid="{28C3977E-B37F-4E8C-8EFA-9F9C4B7371F0}"/>
    <hyperlink ref="Y503" r:id="rId1079" xr:uid="{6CE189CC-27BD-4401-B297-953B071CCEC5}"/>
    <hyperlink ref="W504" r:id="rId1080" xr:uid="{8E46FB1C-7275-4DE9-89C0-8CAF85577D58}"/>
    <hyperlink ref="X504" r:id="rId1081" xr:uid="{CFF07631-9060-4E45-AA13-206BE8F8B0A9}"/>
    <hyperlink ref="W505" r:id="rId1082" xr:uid="{A23D6062-675F-4BBA-A0B7-CBD0F5081F21}"/>
    <hyperlink ref="X505" r:id="rId1083" xr:uid="{9E58BA28-56A9-4548-9329-24B92355EAD4}"/>
    <hyperlink ref="W506" r:id="rId1084" xr:uid="{9822BDC2-EFEF-47ED-AAE7-4E8A91EDCBE2}"/>
    <hyperlink ref="X506" r:id="rId1085" xr:uid="{77380246-5FD1-4017-BA21-F1726C516C1D}"/>
    <hyperlink ref="Y506" r:id="rId1086" xr:uid="{6835E1E3-82E5-4BD5-AA3F-1D8703A644FA}"/>
    <hyperlink ref="W507" r:id="rId1087" xr:uid="{1599C1F7-5045-452D-8D33-BC4A95326060}"/>
    <hyperlink ref="W508" r:id="rId1088" xr:uid="{2118BEC8-D9D2-4929-9E8C-0A05FE5867D1}"/>
    <hyperlink ref="W509" r:id="rId1089" xr:uid="{C9C2FC9F-B7F1-4694-8615-B39526158EF5}"/>
    <hyperlink ref="X509" r:id="rId1090" xr:uid="{B4EF679F-2E7C-4330-8CC3-A49CE65F1721}"/>
    <hyperlink ref="Y509" r:id="rId1091" xr:uid="{2BAFF527-D977-42E7-B8EE-CDC07E04766D}"/>
    <hyperlink ref="W510" r:id="rId1092" xr:uid="{BF04E4FC-D821-4FD5-AD50-8B5C3B7A656B}"/>
    <hyperlink ref="W527" r:id="rId1093" xr:uid="{04C2363C-58A9-4DB7-AD0F-5A6E0F448D3A}"/>
    <hyperlink ref="W526" r:id="rId1094" xr:uid="{02FF6C7E-343C-4BFC-A3AF-F8D4B1A7FB20}"/>
    <hyperlink ref="W525" r:id="rId1095" xr:uid="{D319B857-4E25-487A-9FF8-022AD24293B2}"/>
    <hyperlink ref="W511" r:id="rId1096" xr:uid="{DB6370E8-38E4-406B-AE6C-3525CF52A4D1}"/>
    <hyperlink ref="X511" r:id="rId1097" xr:uid="{EC2F216A-6543-4B3B-9DBA-F4E79317F52F}"/>
    <hyperlink ref="W512" r:id="rId1098" xr:uid="{638F9110-7554-4166-A580-FB5C3B136214}"/>
    <hyperlink ref="X512" r:id="rId1099" xr:uid="{06BBB382-C582-4319-AEBB-BCF9B4DEB118}"/>
    <hyperlink ref="W513" r:id="rId1100" xr:uid="{C7584178-54EA-41B4-BE54-A37067170D19}"/>
    <hyperlink ref="X513" r:id="rId1101" xr:uid="{0EE4CE38-EF0E-410F-97C0-B25E4E75D8C7}"/>
    <hyperlink ref="W514" r:id="rId1102" xr:uid="{10362DD8-33B9-4958-B43B-D87BE3098438}"/>
    <hyperlink ref="X514" r:id="rId1103" xr:uid="{2EE6D0A5-6C08-4172-912E-EBB02E233F6F}"/>
    <hyperlink ref="Y514" r:id="rId1104" xr:uid="{9CC2A67A-7944-4DCC-AD4D-76E2015C104E}"/>
    <hyperlink ref="W515" r:id="rId1105" xr:uid="{0B7CBB2C-0C1C-4FBF-AB4D-6AE33D82DEB3}"/>
    <hyperlink ref="X515" r:id="rId1106" xr:uid="{3AD78D13-665E-46D0-BDE2-801F75170F27}"/>
    <hyperlink ref="Y515" r:id="rId1107" xr:uid="{C06AABE5-E272-4B18-B73D-84A50DA125AE}"/>
    <hyperlink ref="W516" r:id="rId1108" xr:uid="{14F52862-985D-4BAE-B2DE-2D284E81C281}"/>
    <hyperlink ref="X516" r:id="rId1109" xr:uid="{37DE23F0-BC59-4B41-8F1D-4179504F8814}"/>
    <hyperlink ref="Y516" r:id="rId1110" xr:uid="{5F26E375-F5F7-430E-B330-A437DF5A6D22}"/>
    <hyperlink ref="W517" r:id="rId1111" xr:uid="{FC51D499-9787-40B0-A46F-FDE313D695B1}"/>
    <hyperlink ref="X517" r:id="rId1112" xr:uid="{4487C4C6-A734-4946-9290-6F5CB0DB43F4}"/>
    <hyperlink ref="W518" r:id="rId1113" xr:uid="{7726FE4A-DCBD-40A1-9CDF-20D5D7879DC7}"/>
    <hyperlink ref="X518" r:id="rId1114" xr:uid="{F1B1C8AD-8CDF-4329-B59D-C82C74CBFC6D}"/>
    <hyperlink ref="Y518" r:id="rId1115" xr:uid="{629EC327-9D88-492A-82EB-A89E1630E0E4}"/>
    <hyperlink ref="W519" r:id="rId1116" xr:uid="{53BC9049-9B41-4DCC-97EF-974E54EAD9F9}"/>
    <hyperlink ref="X519" r:id="rId1117" xr:uid="{578149B5-CD77-42D3-9E7D-9BA1DCC747F0}"/>
    <hyperlink ref="Y519" r:id="rId1118" xr:uid="{4297E8ED-B380-4E73-BCC8-AC33A41F8C3C}"/>
    <hyperlink ref="W520" r:id="rId1119" xr:uid="{B0BD391D-3E2F-49CE-A273-B5F52CCA595F}"/>
    <hyperlink ref="X520" r:id="rId1120" xr:uid="{2A5877D4-10F7-4459-920D-EE9518773C03}"/>
    <hyperlink ref="W521" r:id="rId1121" xr:uid="{1A1FAD3A-BD8F-4221-8A56-1F581F7AFC59}"/>
    <hyperlink ref="X521" r:id="rId1122" xr:uid="{B4C9792E-B8B3-49C4-969D-A399D52083EB}"/>
    <hyperlink ref="W522" r:id="rId1123" xr:uid="{E1B384DA-607B-486E-B1EB-F2B5280CD63B}"/>
    <hyperlink ref="X522" r:id="rId1124" xr:uid="{A3ECCEC8-9B0F-40FD-A945-36BFAA7C8F7B}"/>
    <hyperlink ref="W523" r:id="rId1125" xr:uid="{70A957C4-0967-4215-8BD3-E75EEAE2584C}"/>
    <hyperlink ref="X523" r:id="rId1126" xr:uid="{8E28D2DF-2130-4312-B804-D416666717D3}"/>
    <hyperlink ref="W524" r:id="rId1127" xr:uid="{A55C44F6-2931-4BD4-9FCE-9102A1FD5A0D}"/>
    <hyperlink ref="W528" r:id="rId1128" xr:uid="{3A503BAF-F0BE-4EA1-9E35-E0A8A170514F}"/>
    <hyperlink ref="W529" r:id="rId1129" xr:uid="{841127D7-FBAC-4411-97C7-2993BB9173CB}"/>
    <hyperlink ref="W530" r:id="rId1130" xr:uid="{6BA10A1F-2182-4089-8C6B-4B1E145D252A}"/>
    <hyperlink ref="W531" r:id="rId1131" xr:uid="{FD34A6CB-F05C-4600-A086-76B7523756FB}"/>
    <hyperlink ref="W532" r:id="rId1132" xr:uid="{7CADAA21-8A6A-4A3F-BB89-ABD18B719D31}"/>
    <hyperlink ref="W533" r:id="rId1133" xr:uid="{5EB9B964-6811-4D76-A437-8AAC54C71E1B}"/>
    <hyperlink ref="W534" r:id="rId1134" xr:uid="{2F8CF96E-4419-4CCB-8CB9-28E50DF73EAD}"/>
    <hyperlink ref="W535" r:id="rId1135" xr:uid="{2619DABF-5C76-4CDF-9FCA-23A589E03C48}"/>
    <hyperlink ref="W536" r:id="rId1136" xr:uid="{0FCC6DEE-192F-4AD8-9AF1-3A8A642CE264}"/>
    <hyperlink ref="W537" r:id="rId1137" xr:uid="{CDE02140-0A1D-48F7-AA18-02C601F3AF5D}"/>
    <hyperlink ref="W538" r:id="rId1138" xr:uid="{B2A1E63A-EC92-44AC-8E91-CC03291F09A7}"/>
    <hyperlink ref="X538" r:id="rId1139" xr:uid="{5AAEBAC4-970C-45F2-AAC9-285D449A9BC8}"/>
    <hyperlink ref="W539" r:id="rId1140" xr:uid="{EC3918C9-6795-419B-868C-DEEB3234D747}"/>
    <hyperlink ref="X539" r:id="rId1141" xr:uid="{7E8F7998-210A-476A-8B72-2A6639615C04}"/>
    <hyperlink ref="W540" r:id="rId1142" xr:uid="{5175911A-27E4-4947-8177-7B911D1532E9}"/>
    <hyperlink ref="X540" r:id="rId1143" xr:uid="{49497021-516A-4BEA-BAE4-86D691F3723E}"/>
    <hyperlink ref="Y540" r:id="rId1144" xr:uid="{ED857FF6-23AB-4E71-A998-FD2045F83B23}"/>
    <hyperlink ref="W541" r:id="rId1145" xr:uid="{27BCC6B3-9276-4450-BF88-432E87CCCE2E}"/>
    <hyperlink ref="X541" r:id="rId1146" display="Photos\PE010201A.JPG" xr:uid="{A24D2F19-6078-4724-98C0-94CF36C9F8CD}"/>
    <hyperlink ref="W542" r:id="rId1147" xr:uid="{2586BE66-EEEE-41A6-A26F-F79DAC7AE19B}"/>
    <hyperlink ref="X542" r:id="rId1148" display="Photos\PE010203.JPG" xr:uid="{1836A9E2-5B49-418F-823F-ABABD85E5CCF}"/>
    <hyperlink ref="Y542" r:id="rId1149" xr:uid="{DFD92A0F-DB4D-4B4E-ABD0-A8A6767DBB72}"/>
    <hyperlink ref="W543" r:id="rId1150" xr:uid="{ACDD5BEF-6840-4C41-971C-D317BF5AA2A0}"/>
    <hyperlink ref="W544" r:id="rId1151" xr:uid="{00971761-C17B-4382-8C80-36D6ED9FCFC2}"/>
    <hyperlink ref="W545" r:id="rId1152" xr:uid="{A020D0F4-532D-4B65-931E-A2C435B853C7}"/>
    <hyperlink ref="W546" r:id="rId1153" xr:uid="{80CCD2C0-7600-4C28-9E02-3FAFF8501BE5}"/>
    <hyperlink ref="W547" r:id="rId1154" xr:uid="{63397062-9FA0-4B5A-AE6F-82F9C2256370}"/>
    <hyperlink ref="X547" r:id="rId1155" xr:uid="{473D559E-9212-4266-BF11-98B99A45E953}"/>
    <hyperlink ref="W548" r:id="rId1156" xr:uid="{8921EA56-3956-4974-B7F9-B1796F3185EE}"/>
    <hyperlink ref="W549" r:id="rId1157" xr:uid="{85FD7A88-1991-4874-B34D-6E80097FA3A9}"/>
    <hyperlink ref="W550" r:id="rId1158" xr:uid="{436D16D6-2E9D-4356-948F-2557C297EC73}"/>
    <hyperlink ref="W551" r:id="rId1159" xr:uid="{FFBC0E8E-98A0-4230-9A40-F5133CF1F14E}"/>
    <hyperlink ref="W552" r:id="rId1160" xr:uid="{BEF6EFFB-8A71-48F5-B5A0-0F79B780FC88}"/>
    <hyperlink ref="W553" r:id="rId1161" xr:uid="{FBBB7884-F3A2-486D-8AC5-919C38178C3F}"/>
    <hyperlink ref="W554" r:id="rId1162" xr:uid="{AB164F88-654D-4E4D-A07F-3B6276013683}"/>
    <hyperlink ref="W555" r:id="rId1163" xr:uid="{EF1613FF-9073-4819-91A4-25B093ACB087}"/>
    <hyperlink ref="X555" r:id="rId1164" xr:uid="{236CB83D-874E-4ECC-8871-233F85CECA3B}"/>
    <hyperlink ref="Y555" r:id="rId1165" xr:uid="{8EDA1399-88EE-433A-9106-7C686FD1923D}"/>
    <hyperlink ref="W556" r:id="rId1166" xr:uid="{2E6A1C14-3E04-4249-9415-FC5A1B6F78A2}"/>
    <hyperlink ref="X556" r:id="rId1167" xr:uid="{4DCF2473-1B26-4AEB-B8CA-18F21B946DC6}"/>
    <hyperlink ref="Y556" r:id="rId1168" xr:uid="{7D986687-EC42-4122-A08B-CEB8C45BDEE8}"/>
    <hyperlink ref="W557" r:id="rId1169" xr:uid="{DAF3C5E5-40A0-4073-8AE0-BF1156D5CF5A}"/>
    <hyperlink ref="W558" r:id="rId1170" xr:uid="{FC0DB15E-3BAC-4552-895F-F7383048B86A}"/>
    <hyperlink ref="W560" r:id="rId1171" xr:uid="{B3512C0C-2CED-4F41-9CFA-6FA351B816B6}"/>
    <hyperlink ref="W561" r:id="rId1172" xr:uid="{E623B7D9-32E8-4766-BA60-0E6EF2000002}"/>
    <hyperlink ref="X561" r:id="rId1173" xr:uid="{2BF89B14-0E16-4D2D-A3A2-019A21F6352A}"/>
    <hyperlink ref="W562" r:id="rId1174" xr:uid="{1DA69A81-5AEE-451D-9A4C-94637F85E3F4}"/>
    <hyperlink ref="X562" r:id="rId1175" xr:uid="{67AF22D2-CB60-48FC-989B-EA310C4B66B8}"/>
    <hyperlink ref="W563" r:id="rId1176" xr:uid="{98900981-5EA1-467E-A911-08E4D47B89E7}"/>
    <hyperlink ref="W559" r:id="rId1177" xr:uid="{8F891C68-E4F1-440D-B0E6-2BDB059988BB}"/>
    <hyperlink ref="X559" r:id="rId1178" xr:uid="{891662E3-5514-49DD-B64C-0B415F75E109}"/>
    <hyperlink ref="W564" r:id="rId1179" xr:uid="{DCCA2F48-66DF-44BC-B13A-35850F0B8597}"/>
    <hyperlink ref="X564" r:id="rId1180" xr:uid="{06FE4495-99CB-4E1F-9852-4B14666EE484}"/>
    <hyperlink ref="Y564" r:id="rId1181" xr:uid="{42C6BE05-1F65-437F-8CE4-ABF16886D245}"/>
    <hyperlink ref="W565" r:id="rId1182" xr:uid="{683EAC7D-AA92-4D89-8B10-F201B2E41677}"/>
    <hyperlink ref="X565" r:id="rId1183" xr:uid="{0797FF20-F4FF-4D3F-974A-CF11F6735D4D}"/>
    <hyperlink ref="Y565" r:id="rId1184" xr:uid="{EA5EC39B-64E0-4E83-A652-25900C76A592}"/>
    <hyperlink ref="W566" r:id="rId1185" xr:uid="{81BE7E14-DC04-4480-8FF1-BB7B578F8601}"/>
    <hyperlink ref="X566" r:id="rId1186" xr:uid="{D4514E59-B1D4-4F7A-A987-9C06C471430C}"/>
    <hyperlink ref="Y566" r:id="rId1187" xr:uid="{042180ED-D427-4D93-9888-A32DB89A0EB4}"/>
    <hyperlink ref="W567" r:id="rId1188" xr:uid="{428096D2-C128-46E0-83EC-D86F7664694D}"/>
    <hyperlink ref="X567" r:id="rId1189" xr:uid="{2F62321A-682F-4E36-8D47-AC07B58DB63F}"/>
    <hyperlink ref="W568" r:id="rId1190" xr:uid="{1C9883AF-3F72-4A4F-9B0F-C9DA9C3A2AA8}"/>
    <hyperlink ref="X568" r:id="rId1191" xr:uid="{5D361BA1-F7ED-4786-BD94-EC0D295A4D18}"/>
    <hyperlink ref="Y568" r:id="rId1192" xr:uid="{E3228167-546F-4D80-BE2F-C80373CA65F4}"/>
    <hyperlink ref="W569" r:id="rId1193" xr:uid="{83E92BB3-3A95-4B36-B026-43CA4F0E0EAA}"/>
    <hyperlink ref="X569" r:id="rId1194" xr:uid="{6F87256A-1804-41A1-8AD7-33AFC6045585}"/>
    <hyperlink ref="Y569" r:id="rId1195" xr:uid="{3E1B6753-B96E-418E-A42B-65DF28EE5EA3}"/>
    <hyperlink ref="W570" r:id="rId1196" xr:uid="{DEB91090-BA20-45AC-9DED-A61DD6274F25}"/>
    <hyperlink ref="X570" r:id="rId1197" xr:uid="{24702B27-6F64-4F05-BAC3-7F702A8A5671}"/>
    <hyperlink ref="W571" r:id="rId1198" xr:uid="{23474A62-1102-4FC8-83D7-920CD06907F9}"/>
    <hyperlink ref="X571" r:id="rId1199" xr:uid="{F20409E5-E19B-4A94-82CC-3191C107DA77}"/>
    <hyperlink ref="W572" r:id="rId1200" xr:uid="{B31EACF6-D2D5-4A28-8DF4-133B96B40AC6}"/>
    <hyperlink ref="X572" r:id="rId1201" xr:uid="{EEE72053-C44D-4AA3-893C-37E0E098968A}"/>
    <hyperlink ref="W573" r:id="rId1202" xr:uid="{55D459A5-D257-4B9B-94E8-62FF50E09668}"/>
    <hyperlink ref="X573" r:id="rId1203" xr:uid="{946BDB96-8992-4C4A-AC96-5306967D34EA}"/>
    <hyperlink ref="Y573" r:id="rId1204" xr:uid="{E7ABD8B2-F2CD-4415-9D2C-3A097A84A96C}"/>
    <hyperlink ref="W574" r:id="rId1205" xr:uid="{27705C9C-2071-4FE1-A50F-86961D6DCE5E}"/>
    <hyperlink ref="X574" r:id="rId1206" xr:uid="{260AD37C-2ED2-4469-9E3A-4B10DECF2F51}"/>
    <hyperlink ref="Y574" r:id="rId1207" xr:uid="{75EC5902-D53D-4810-BEE5-FBE313681A2B}"/>
    <hyperlink ref="W575" r:id="rId1208" xr:uid="{2BC16A2E-2F92-49BF-888F-CEF8B2BE608C}"/>
    <hyperlink ref="X575" r:id="rId1209" xr:uid="{558B2378-2F6C-4DAE-A6DA-CB7A583C1DBB}"/>
    <hyperlink ref="W576" r:id="rId1210" xr:uid="{D4B16FBD-5137-4868-8780-F3F5328E4009}"/>
    <hyperlink ref="W577" r:id="rId1211" xr:uid="{33783E22-3E0F-479B-896E-98B59481ED91}"/>
    <hyperlink ref="X577" r:id="rId1212" xr:uid="{64904123-484A-4EB4-B9BA-688DBE37CA03}"/>
    <hyperlink ref="W578" r:id="rId1213" xr:uid="{B6A31B0F-9B2D-442F-9D0F-5D0E243245BD}"/>
    <hyperlink ref="X578" r:id="rId1214" xr:uid="{867B13FC-6140-4408-9864-F292B4DFD4AD}"/>
    <hyperlink ref="Y578" r:id="rId1215" xr:uid="{7215198C-8CD9-40FA-9598-7220EACFBEB7}"/>
    <hyperlink ref="W579" r:id="rId1216" xr:uid="{DF320167-F3BA-437B-9E4B-871F949EFDC5}"/>
    <hyperlink ref="X579" r:id="rId1217" xr:uid="{9F3848A8-E604-43FB-A299-1E98A14B82EE}"/>
    <hyperlink ref="Y579" r:id="rId1218" xr:uid="{77589594-D8EC-4EBE-A8A5-264EA92B8D9F}"/>
    <hyperlink ref="W580" r:id="rId1219" xr:uid="{A0064639-1362-44D9-8043-B386802C8BA4}"/>
    <hyperlink ref="X580" r:id="rId1220" xr:uid="{DCAB5632-19E3-4046-AED2-2BFFF379FF57}"/>
    <hyperlink ref="W581" r:id="rId1221" xr:uid="{159CA914-C470-4297-9E8D-4CDD2890712F}"/>
    <hyperlink ref="X581" r:id="rId1222" xr:uid="{E7C88966-FCD9-4267-B421-F27738061752}"/>
    <hyperlink ref="W582" r:id="rId1223" xr:uid="{6D926A19-69E3-4408-90FE-B06608B9D11F}"/>
    <hyperlink ref="X582" r:id="rId1224" xr:uid="{6A518AC3-76A8-4525-B65D-44C00EEBC8B3}"/>
    <hyperlink ref="W583" r:id="rId1225" xr:uid="{1F53B377-08F3-4B2A-9F86-D4A41A43ED92}"/>
    <hyperlink ref="X583" r:id="rId1226" xr:uid="{C5DBC186-8256-4D8C-B349-E4CE232FCA1D}"/>
    <hyperlink ref="W584" r:id="rId1227" xr:uid="{D2F58948-A09E-4476-AC68-6D824487F0CE}"/>
    <hyperlink ref="X584" r:id="rId1228" xr:uid="{5AAD7083-7DCC-44AA-B499-3DA74E5AABE6}"/>
    <hyperlink ref="Y584" r:id="rId1229" xr:uid="{CB031D2E-AA2A-4E07-9B93-DFF7689EF61D}"/>
    <hyperlink ref="W585" r:id="rId1230" xr:uid="{B61AB816-E247-4BB5-8A0A-4CCFB64B2AEF}"/>
    <hyperlink ref="X585" r:id="rId1231" xr:uid="{8774087A-A2B4-4A5A-B72C-AB1F2B28AC81}"/>
    <hyperlink ref="W586" r:id="rId1232" xr:uid="{D9A57C10-DF16-4916-95D2-AF82CE7A6304}"/>
    <hyperlink ref="W587" r:id="rId1233" xr:uid="{3A1D74B5-5D21-4723-B4E2-59FD42624794}"/>
    <hyperlink ref="X587" r:id="rId1234" xr:uid="{73177FF0-3344-4F4E-8486-B2FDA7C7A5C2}"/>
    <hyperlink ref="W588" r:id="rId1235" xr:uid="{610323A5-78AC-4B9F-B682-C0A8A2E40A15}"/>
    <hyperlink ref="X588" r:id="rId1236" xr:uid="{78259BAB-A0EE-4D16-BBA8-323921F9E3D7}"/>
    <hyperlink ref="W589" r:id="rId1237" xr:uid="{DE0FECE8-6BF5-43EA-AE63-6B135339847B}"/>
    <hyperlink ref="X589" r:id="rId1238" xr:uid="{2939077A-4F16-4050-A6EE-BAA74E6FD1B4}"/>
    <hyperlink ref="W590" r:id="rId1239" xr:uid="{5357AC2D-E2F3-413C-9613-BFACAA1BC6B5}"/>
    <hyperlink ref="X590" r:id="rId1240" xr:uid="{EEFB66CC-499F-4C74-80DD-09EB8BEDC685}"/>
    <hyperlink ref="W591" r:id="rId1241" xr:uid="{A43D80A0-3AFC-4EB4-9CF5-15D37D99488A}"/>
    <hyperlink ref="X591" r:id="rId1242" xr:uid="{589A6C1E-F323-47FA-8FDC-F6A3EE0544D2}"/>
    <hyperlink ref="W592" r:id="rId1243" xr:uid="{7F231E7C-2054-421F-8BFE-064CC8574C3A}"/>
    <hyperlink ref="X592" r:id="rId1244" xr:uid="{D0750FC6-27C8-478E-A7F8-3B592E2C96A1}"/>
    <hyperlink ref="W593" r:id="rId1245" xr:uid="{ADD2B7C8-D3DB-4353-8480-0EAFE4F81119}"/>
    <hyperlink ref="X593" r:id="rId1246" xr:uid="{6D9E6809-C0CC-43B4-A019-7CBECE312B57}"/>
    <hyperlink ref="Y593" r:id="rId1247" xr:uid="{85571CA6-003C-4C7D-82CE-4FC8DA09284C}"/>
    <hyperlink ref="Z593" r:id="rId1248" xr:uid="{1B7200AE-EF26-411A-BB12-4EC58FCC5FCF}"/>
    <hyperlink ref="W594" r:id="rId1249" xr:uid="{1708D9F6-6D0B-4CAB-A752-597A1D467826}"/>
    <hyperlink ref="X594" r:id="rId1250" xr:uid="{8715E3E4-4DE9-4D11-BD2E-6ACB47C6F2B5}"/>
    <hyperlink ref="Y594" r:id="rId1251" xr:uid="{FF588F70-2621-48C4-8FC0-B161445828CD}"/>
    <hyperlink ref="W595" r:id="rId1252" xr:uid="{2313ECD9-4F57-4B47-AD63-6AD4C23F6A2E}"/>
    <hyperlink ref="W596" r:id="rId1253" xr:uid="{877507AA-9D04-42E3-B4DF-7B9D3F5EC159}"/>
    <hyperlink ref="X596" r:id="rId1254" xr:uid="{893C9F27-C69F-43D7-B0E7-4F9971E42031}"/>
    <hyperlink ref="W597" r:id="rId1255" xr:uid="{1C24E1FF-6DE4-4AC3-BD7D-0B16043893AE}"/>
    <hyperlink ref="X597" r:id="rId1256" xr:uid="{71CF5A5E-A847-4E6F-B910-2A250748B20A}"/>
    <hyperlink ref="Y597" r:id="rId1257" xr:uid="{78D0B37E-8B83-4C77-95F3-C17A7DE14730}"/>
    <hyperlink ref="W598" r:id="rId1258" xr:uid="{C3310B8E-0688-4F62-BBE7-99C68E97410E}"/>
    <hyperlink ref="W599" r:id="rId1259" xr:uid="{DECF4B58-FC2B-4830-B000-34ACB88F4F3D}"/>
    <hyperlink ref="X599" r:id="rId1260" xr:uid="{5DEBFF15-FB51-4D76-AB6A-6517EBD227FC}"/>
    <hyperlink ref="W600" r:id="rId1261" xr:uid="{09D03B0E-85EF-428F-BCAF-01939B5CDF6F}"/>
    <hyperlink ref="X600" r:id="rId1262" xr:uid="{2A544D0D-BB20-4479-BF52-BA25D549E825}"/>
    <hyperlink ref="W601" r:id="rId1263" xr:uid="{563BFE2C-EB1B-4B39-8785-517812DF9850}"/>
    <hyperlink ref="W602" r:id="rId1264" xr:uid="{9EEEE949-356B-4D9F-81A1-364F856088EF}"/>
    <hyperlink ref="W603" r:id="rId1265" xr:uid="{667DD4BA-E13D-4519-AD51-456BDB611FD0}"/>
    <hyperlink ref="W604" r:id="rId1266" xr:uid="{A223BBAD-7BAD-4EF7-929F-9ADB6951E807}"/>
    <hyperlink ref="X604" r:id="rId1267" xr:uid="{EBD79F79-9ECB-47C3-9A95-14EF3A13A30A}"/>
    <hyperlink ref="W605" r:id="rId1268" xr:uid="{856DB500-19B6-430D-B4D0-03D0F73326F8}"/>
    <hyperlink ref="X605" r:id="rId1269" xr:uid="{EC1CD008-5852-4356-A34C-BE4E7212F66A}"/>
    <hyperlink ref="W606" r:id="rId1270" xr:uid="{5355B188-FD7A-4893-B09E-F51CD3461316}"/>
    <hyperlink ref="X606" r:id="rId1271" xr:uid="{5876E208-DB96-427A-83FE-B2A9196FE766}"/>
    <hyperlink ref="W607" r:id="rId1272" xr:uid="{706FE29B-BC1A-4437-812C-343724535198}"/>
    <hyperlink ref="W608" r:id="rId1273" xr:uid="{B6828E2E-D155-495D-901D-4DB773E37102}"/>
    <hyperlink ref="X608" r:id="rId1274" xr:uid="{73C6FEA8-2596-4F20-9D21-AE4C8C5E7CF7}"/>
    <hyperlink ref="W609" r:id="rId1275" xr:uid="{1FFC52E9-4A77-4026-8621-1C9231FBB273}"/>
    <hyperlink ref="X609" r:id="rId1276" xr:uid="{C35D6A17-9EEA-43D4-BC38-FB558E284807}"/>
    <hyperlink ref="Y609" r:id="rId1277" xr:uid="{41B81EDD-7958-4DE3-8DE0-81E124D0DDB2}"/>
    <hyperlink ref="W610" r:id="rId1278" xr:uid="{25E0B678-366C-4673-9053-F340C799CA7F}"/>
    <hyperlink ref="W611" r:id="rId1279" xr:uid="{07A771CA-A5AC-492B-ABAF-079E7CAD9C18}"/>
    <hyperlink ref="W612" r:id="rId1280" xr:uid="{28B79D6D-DED1-4772-AC13-123367411F9A}"/>
    <hyperlink ref="W613" r:id="rId1281" xr:uid="{0B3DB9F8-39D4-4A2F-8F73-CA6A32487306}"/>
    <hyperlink ref="X613" r:id="rId1282" xr:uid="{9B5B01E7-BEDC-4E4F-A746-4281EE3D02DD}"/>
    <hyperlink ref="Y613" r:id="rId1283" xr:uid="{31788855-74AB-480F-BE62-5A79F2ED191F}"/>
    <hyperlink ref="W614" r:id="rId1284" xr:uid="{BBA0E059-6819-4F33-A5CC-1364FD6C31BD}"/>
    <hyperlink ref="X614" r:id="rId1285" xr:uid="{66584796-5E81-430B-A1FC-3C505BEC0CC9}"/>
    <hyperlink ref="W615" r:id="rId1286" xr:uid="{C89A6C13-77F4-4004-A4BD-B0FFF22FFC98}"/>
    <hyperlink ref="X615" r:id="rId1287" xr:uid="{F19BF49C-BC47-441A-81DB-B63E752DFB5E}"/>
    <hyperlink ref="W616" r:id="rId1288" xr:uid="{6B80EA67-C128-4D9F-BFA9-50C4BE63C4D2}"/>
    <hyperlink ref="X616" r:id="rId1289" xr:uid="{D14535E9-D58C-460A-BDD7-3694B5F6000D}"/>
    <hyperlink ref="Y616" r:id="rId1290" xr:uid="{746935B8-351C-4E85-9C67-AA2DE9C41F7C}"/>
    <hyperlink ref="W617" r:id="rId1291" xr:uid="{6484EF20-421A-4CFD-8E2D-F88339017D24}"/>
    <hyperlink ref="W618" r:id="rId1292" xr:uid="{DCD56DE6-79A1-4A96-9D30-3E41DE277DD2}"/>
    <hyperlink ref="W619" r:id="rId1293" xr:uid="{67C427E1-24B6-46F2-ABD2-9DEE63E071A9}"/>
    <hyperlink ref="W620" r:id="rId1294" xr:uid="{8F32EF92-7BD2-4E88-BB21-B2C93A510031}"/>
    <hyperlink ref="W621" r:id="rId1295" xr:uid="{B66C83E3-C389-48EA-9785-628A6CBB58D3}"/>
    <hyperlink ref="W622" r:id="rId1296" xr:uid="{1FADFE17-EF7D-478F-9A19-9B088A7165E7}"/>
    <hyperlink ref="W623" r:id="rId1297" xr:uid="{817676F1-994B-4C22-AC02-D5E5CFF4808E}"/>
    <hyperlink ref="X623" r:id="rId1298" xr:uid="{9CA74F4E-1B99-4F5D-A3E0-AA936D3B8191}"/>
    <hyperlink ref="W624" r:id="rId1299" xr:uid="{4DE714AB-65A0-4976-AAA3-C3258EEA8E01}"/>
    <hyperlink ref="X624" r:id="rId1300" xr:uid="{6BC74466-BA9D-4DA6-956E-E62216B99F44}"/>
    <hyperlink ref="W625" r:id="rId1301" xr:uid="{8DE87D11-AECC-4684-835E-0D875E4ABBC3}"/>
    <hyperlink ref="W626" r:id="rId1302" xr:uid="{2BBB4675-B8A1-4870-93AA-B4317DD59D89}"/>
    <hyperlink ref="W627" r:id="rId1303" xr:uid="{C805C485-78DA-46FE-B641-0FF57C3B6421}"/>
    <hyperlink ref="W628" r:id="rId1304" xr:uid="{28418232-2FB3-4C9C-9D43-742534B002A7}"/>
    <hyperlink ref="W629" r:id="rId1305" xr:uid="{FAFC6E54-5CF3-404A-A1B3-391BBEB6FC4B}"/>
    <hyperlink ref="W630" r:id="rId1306" xr:uid="{886EC37F-378D-45F6-8752-566DF3484319}"/>
    <hyperlink ref="W631" r:id="rId1307" xr:uid="{922A5357-EC62-45C7-9B21-840FB0C6D0CE}"/>
    <hyperlink ref="W632" r:id="rId1308" xr:uid="{94ACBBD5-CBA0-4DD4-9ADF-A62AA760DEFE}"/>
    <hyperlink ref="W633" r:id="rId1309" xr:uid="{4CA82D57-CA1F-4C3A-BFB4-E06FB2F8BE00}"/>
    <hyperlink ref="W634" r:id="rId1310" xr:uid="{FCEE310C-55D0-48F6-85C6-CB65EC480DE5}"/>
    <hyperlink ref="W635" r:id="rId1311" xr:uid="{808C9A06-5CF7-4A9B-A9C6-11E9805A1894}"/>
    <hyperlink ref="W636" r:id="rId1312" xr:uid="{59DA8D93-59F5-4AC5-BCEE-19473EAA86FD}"/>
    <hyperlink ref="X636" r:id="rId1313" xr:uid="{D74C1C27-9E8D-492E-9A40-23FC32BE2EB1}"/>
    <hyperlink ref="W637" r:id="rId1314" xr:uid="{471EEAB4-210D-44F4-9480-66BAD60A0EC2}"/>
    <hyperlink ref="W638" r:id="rId1315" xr:uid="{C9095791-A6FF-4458-BFD8-D749B148EFED}"/>
    <hyperlink ref="W639" r:id="rId1316" xr:uid="{386CB28C-2E8C-4C57-9434-003AAEF12284}"/>
    <hyperlink ref="W640" r:id="rId1317" xr:uid="{98A1B8E3-6983-4C7E-B1BA-21DAC3C28C3D}"/>
    <hyperlink ref="W641" r:id="rId1318" xr:uid="{3AD02731-1F87-475B-B8AC-377DDCAECE82}"/>
    <hyperlink ref="W642" r:id="rId1319" xr:uid="{06C25FB7-7B1B-4CB0-AD58-26063E2080AD}"/>
    <hyperlink ref="W643" r:id="rId1320" xr:uid="{FA6D08F2-710A-4A34-9F24-C0ED7046FC6B}"/>
    <hyperlink ref="W644" r:id="rId1321" xr:uid="{BBAD4881-A89B-48BA-B4A1-241DD77976C7}"/>
    <hyperlink ref="W645" r:id="rId1322" xr:uid="{5AEAEF9C-3B2C-42F1-8C03-3CE93443C406}"/>
    <hyperlink ref="W646" r:id="rId1323" xr:uid="{E1378CE9-E9F8-426B-B3E2-4607211D9C08}"/>
    <hyperlink ref="W647" r:id="rId1324" xr:uid="{C59CC548-B11F-4750-8FA3-7ECA9C0F5467}"/>
    <hyperlink ref="W648" r:id="rId1325" xr:uid="{5BE61536-F522-4A42-A5FC-EEF5AC4128C8}"/>
    <hyperlink ref="W649" r:id="rId1326" xr:uid="{DB2A7E1F-0354-445D-AD05-B7D40890221F}"/>
    <hyperlink ref="W650" r:id="rId1327" xr:uid="{E6CB2785-E3A3-429D-9150-54BD219176FF}"/>
    <hyperlink ref="W651" r:id="rId1328" xr:uid="{0D9131AF-CA18-4F4C-BA28-31D5C4796DE5}"/>
    <hyperlink ref="W652" r:id="rId1329" xr:uid="{EFC072C4-EFF9-4EE7-8951-A7843EA2410C}"/>
    <hyperlink ref="W653" r:id="rId1330" xr:uid="{3F347D1A-DBCE-4E7A-BA79-C3017F3EF5AD}"/>
    <hyperlink ref="W654" r:id="rId1331" xr:uid="{77986337-260F-4E46-B84E-CD34C16E84C8}"/>
    <hyperlink ref="W655" r:id="rId1332" xr:uid="{ABB135D9-13F1-4DA9-B6E0-4191B7969843}"/>
    <hyperlink ref="W656" r:id="rId1333" xr:uid="{6ECB06F4-145F-44E2-8410-B8FA62FA270C}"/>
    <hyperlink ref="W657" r:id="rId1334" xr:uid="{A5AA852E-6D5A-4A86-A306-05AC2DF0A727}"/>
    <hyperlink ref="W659" r:id="rId1335" xr:uid="{942045B9-1E7A-467E-8B4E-D1B857E5328B}"/>
    <hyperlink ref="W658" r:id="rId1336" xr:uid="{C3A3A16E-9CD9-4926-A3FF-CF6B3C486FF2}"/>
    <hyperlink ref="W660" r:id="rId1337" xr:uid="{CBF32D65-63E5-4BF4-A56A-240ED8338DD1}"/>
    <hyperlink ref="X660" r:id="rId1338" xr:uid="{29DA07CB-76B6-456D-9EFB-8273B9D7082D}"/>
    <hyperlink ref="Y660" r:id="rId1339" xr:uid="{37A6BF9D-25F4-4EEA-AE2F-6AFA854DC6D0}"/>
    <hyperlink ref="W661" r:id="rId1340" xr:uid="{2D0F925A-EC27-4344-98D9-0285D12B9E07}"/>
    <hyperlink ref="X661" r:id="rId1341" xr:uid="{A6430B69-5C1E-407C-A2A7-02C3EF113177}"/>
    <hyperlink ref="Y661" r:id="rId1342" xr:uid="{6DCB0B25-F925-44EE-9FFB-421AAFE36585}"/>
    <hyperlink ref="Z661" r:id="rId1343" xr:uid="{FD973348-1ED7-402A-BA2B-AFFE160336BA}"/>
    <hyperlink ref="W662" r:id="rId1344" xr:uid="{0A5AD4BE-F002-4307-B2AF-4265F6076981}"/>
    <hyperlink ref="X662" r:id="rId1345" xr:uid="{6C34414A-D31B-4116-AF77-23365DF657F8}"/>
    <hyperlink ref="Y662" r:id="rId1346" xr:uid="{EEF4EA71-8B2D-44E6-91D6-796D0291B73A}"/>
    <hyperlink ref="W663" r:id="rId1347" xr:uid="{E605220B-CD09-4E13-BB28-1A115602ED59}"/>
    <hyperlink ref="W664" r:id="rId1348" xr:uid="{09C041C1-4346-46DA-BD23-4881AA881507}"/>
    <hyperlink ref="X664" r:id="rId1349" xr:uid="{2337FFEB-C717-471C-AA17-94F80C97FB07}"/>
    <hyperlink ref="W665" r:id="rId1350" xr:uid="{64A6D582-BFD8-40A0-8C53-B2F692525B7B}"/>
    <hyperlink ref="X665" r:id="rId1351" xr:uid="{FA8E8A75-02DD-4C7D-90DE-91AB9B4507CC}"/>
    <hyperlink ref="Y665" r:id="rId1352" xr:uid="{4E785DCD-04E2-4E8F-B598-82896049DC49}"/>
    <hyperlink ref="Z665" r:id="rId1353" xr:uid="{5517E0F5-D732-41B2-ADDC-E1F9F51C1653}"/>
  </hyperlinks>
  <pageMargins left="0.7" right="0.7" top="0.75" bottom="0.75" header="0.3" footer="0.3"/>
  <pageSetup paperSize="9" orientation="portrait" r:id="rId1354"/>
  <extLst>
    <ext xmlns:x14="http://schemas.microsoft.com/office/spreadsheetml/2009/9/main" uri="{CCE6A557-97BC-4b89-ADB6-D9C93CAAB3DF}">
      <x14:dataValidations xmlns:xm="http://schemas.microsoft.com/office/excel/2006/main" count="3">
        <x14:dataValidation type="list" allowBlank="1" showInputMessage="1" showErrorMessage="1" xr:uid="{663DDDF1-13F5-4C20-A351-4DFF79B907C0}">
          <x14:formula1>
            <xm:f>fabricantes!$B$2:$B$978</xm:f>
          </x14:formula1>
          <xm:sqref>K2:K55 K57:K654 K657:K711</xm:sqref>
        </x14:dataValidation>
        <x14:dataValidation type="list" allowBlank="1" showInputMessage="1" showErrorMessage="1" xr:uid="{17CD13B1-6CA7-40AE-A4E8-6B84059F9444}">
          <x14:formula1>
            <xm:f>Estatísticas!$G$3:$G$20</xm:f>
          </x14:formula1>
          <xm:sqref>D1:D654 D657:D1048576</xm:sqref>
        </x14:dataValidation>
        <x14:dataValidation type="list" allowBlank="1" showInputMessage="1" showErrorMessage="1" xr:uid="{0AF03C83-4D66-45CD-84D6-C734D55F5E50}">
          <x14:formula1>
            <xm:f>Estatísticas!$H$3:$H$20</xm:f>
          </x14:formula1>
          <xm:sqref>E1:E654 E657:E1048576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43"/>
  <sheetViews>
    <sheetView workbookViewId="0">
      <pane ySplit="1" topLeftCell="A77" activePane="bottomLeft" state="frozen"/>
      <selection pane="bottomLeft" activeCell="B1" sqref="B1"/>
    </sheetView>
  </sheetViews>
  <sheetFormatPr defaultColWidth="9" defaultRowHeight="14.25"/>
  <cols>
    <col min="1" max="1" width="5.265625" style="10" customWidth="1"/>
    <col min="2" max="2" width="31.59765625" style="10" customWidth="1"/>
    <col min="3" max="3" width="26.59765625" style="10" customWidth="1"/>
    <col min="4" max="4" width="5.265625" style="10" customWidth="1"/>
    <col min="5" max="5" width="19.53125" style="10" customWidth="1"/>
    <col min="6" max="6" width="17.1328125" style="10" customWidth="1"/>
    <col min="7" max="7" width="44.796875" style="10" customWidth="1"/>
    <col min="8" max="8" width="18.265625" style="10" customWidth="1"/>
    <col min="9" max="16384" width="9" style="10"/>
  </cols>
  <sheetData>
    <row r="1" spans="1:8" ht="25.9" customHeight="1">
      <c r="A1" s="2" t="s">
        <v>0</v>
      </c>
      <c r="B1" s="2" t="s">
        <v>417</v>
      </c>
      <c r="C1" s="2" t="s">
        <v>418</v>
      </c>
      <c r="D1" s="2" t="s">
        <v>419</v>
      </c>
      <c r="E1" s="2" t="s">
        <v>420</v>
      </c>
      <c r="F1" s="8" t="s">
        <v>421</v>
      </c>
      <c r="G1" s="3" t="s">
        <v>422</v>
      </c>
      <c r="H1" s="2" t="s">
        <v>1</v>
      </c>
    </row>
    <row r="2" spans="1:8" ht="42.75">
      <c r="A2" s="10">
        <v>1</v>
      </c>
      <c r="B2" s="10" t="s">
        <v>368</v>
      </c>
      <c r="C2" s="10" t="s">
        <v>369</v>
      </c>
      <c r="D2" s="10">
        <v>1993</v>
      </c>
      <c r="E2" s="11" t="s">
        <v>365</v>
      </c>
      <c r="F2" s="10" t="s">
        <v>366</v>
      </c>
      <c r="G2" s="11" t="s">
        <v>370</v>
      </c>
    </row>
    <row r="3" spans="1:8" ht="28.5">
      <c r="A3" s="10">
        <v>2</v>
      </c>
      <c r="B3" s="10" t="s">
        <v>695</v>
      </c>
      <c r="C3" s="10" t="s">
        <v>369</v>
      </c>
      <c r="D3" s="10">
        <v>2008</v>
      </c>
      <c r="E3" s="11" t="s">
        <v>696</v>
      </c>
      <c r="F3" s="11" t="s">
        <v>697</v>
      </c>
      <c r="G3" s="11" t="s">
        <v>698</v>
      </c>
    </row>
    <row r="4" spans="1:8" ht="57">
      <c r="A4" s="10">
        <v>3</v>
      </c>
      <c r="B4" s="10" t="s">
        <v>633</v>
      </c>
      <c r="C4" s="10" t="s">
        <v>634</v>
      </c>
      <c r="D4" s="10">
        <v>1996</v>
      </c>
      <c r="E4" s="10" t="s">
        <v>635</v>
      </c>
      <c r="F4" s="10" t="s">
        <v>412</v>
      </c>
      <c r="G4" s="11" t="s">
        <v>636</v>
      </c>
    </row>
    <row r="5" spans="1:8" ht="28.5">
      <c r="A5" s="10">
        <v>4</v>
      </c>
      <c r="B5" s="11" t="s">
        <v>644</v>
      </c>
      <c r="D5" s="10">
        <v>1991</v>
      </c>
      <c r="F5" s="10" t="s">
        <v>645</v>
      </c>
      <c r="G5" s="10" t="s">
        <v>646</v>
      </c>
    </row>
    <row r="6" spans="1:8" ht="71.25">
      <c r="A6" s="10">
        <v>141</v>
      </c>
      <c r="B6" s="11" t="s">
        <v>6475</v>
      </c>
      <c r="C6" s="11" t="s">
        <v>6476</v>
      </c>
      <c r="D6" s="10">
        <v>2025</v>
      </c>
      <c r="E6" s="11" t="s">
        <v>6473</v>
      </c>
      <c r="F6" s="10" t="s">
        <v>534</v>
      </c>
      <c r="G6" s="10" t="s">
        <v>6523</v>
      </c>
    </row>
    <row r="7" spans="1:8" ht="57">
      <c r="A7" s="10">
        <v>140</v>
      </c>
      <c r="B7" s="11" t="s">
        <v>6474</v>
      </c>
      <c r="C7" s="11" t="s">
        <v>6472</v>
      </c>
      <c r="D7" s="10">
        <v>2025</v>
      </c>
      <c r="E7" s="11" t="s">
        <v>6473</v>
      </c>
      <c r="F7" s="10" t="s">
        <v>534</v>
      </c>
      <c r="G7" s="10" t="s">
        <v>6522</v>
      </c>
    </row>
    <row r="8" spans="1:8" ht="28.5">
      <c r="A8" s="10">
        <v>5</v>
      </c>
      <c r="B8" s="11" t="s">
        <v>225</v>
      </c>
      <c r="D8" s="10">
        <v>1982</v>
      </c>
      <c r="E8" s="11" t="s">
        <v>226</v>
      </c>
      <c r="F8" s="10" t="s">
        <v>227</v>
      </c>
      <c r="G8" s="10" t="s">
        <v>228</v>
      </c>
    </row>
    <row r="9" spans="1:8">
      <c r="A9" s="10">
        <v>6</v>
      </c>
      <c r="B9" s="10" t="s">
        <v>546</v>
      </c>
      <c r="C9" s="10" t="s">
        <v>547</v>
      </c>
      <c r="D9" s="10">
        <v>1981</v>
      </c>
      <c r="E9" s="10" t="s">
        <v>31</v>
      </c>
      <c r="F9" s="10" t="s">
        <v>32</v>
      </c>
    </row>
    <row r="10" spans="1:8">
      <c r="A10" s="10">
        <v>7</v>
      </c>
      <c r="B10" s="10" t="s">
        <v>348</v>
      </c>
      <c r="C10" s="10" t="s">
        <v>349</v>
      </c>
      <c r="D10" s="10">
        <v>1995</v>
      </c>
      <c r="E10" s="10" t="s">
        <v>350</v>
      </c>
      <c r="F10" s="10" t="s">
        <v>351</v>
      </c>
      <c r="G10" s="10" t="s">
        <v>352</v>
      </c>
    </row>
    <row r="11" spans="1:8" ht="28.5">
      <c r="A11" s="10">
        <v>8</v>
      </c>
      <c r="B11" s="10" t="s">
        <v>485</v>
      </c>
      <c r="C11" s="10" t="s">
        <v>1830</v>
      </c>
      <c r="D11" s="10">
        <v>1999</v>
      </c>
      <c r="E11" s="10" t="s">
        <v>31</v>
      </c>
      <c r="F11" s="10" t="s">
        <v>267</v>
      </c>
      <c r="G11" s="11" t="s">
        <v>486</v>
      </c>
    </row>
    <row r="12" spans="1:8">
      <c r="A12" s="10">
        <v>9</v>
      </c>
      <c r="B12" s="10" t="s">
        <v>588</v>
      </c>
      <c r="C12" s="10" t="s">
        <v>587</v>
      </c>
      <c r="D12" s="10">
        <v>1971</v>
      </c>
      <c r="E12" s="10" t="s">
        <v>589</v>
      </c>
      <c r="F12" s="10" t="s">
        <v>263</v>
      </c>
    </row>
    <row r="13" spans="1:8" ht="42.75">
      <c r="A13" s="10">
        <v>10</v>
      </c>
      <c r="B13" s="10" t="s">
        <v>675</v>
      </c>
      <c r="C13" s="10" t="s">
        <v>676</v>
      </c>
      <c r="D13" s="10">
        <v>2014</v>
      </c>
      <c r="E13" s="10" t="s">
        <v>677</v>
      </c>
      <c r="F13" s="10" t="s">
        <v>416</v>
      </c>
      <c r="G13" s="11" t="s">
        <v>678</v>
      </c>
    </row>
    <row r="14" spans="1:8">
      <c r="A14" s="9">
        <v>11</v>
      </c>
      <c r="B14" s="10" t="s">
        <v>221</v>
      </c>
      <c r="C14" s="10" t="s">
        <v>222</v>
      </c>
      <c r="D14" s="10">
        <v>2005</v>
      </c>
      <c r="E14" s="10" t="s">
        <v>223</v>
      </c>
      <c r="F14" s="10" t="s">
        <v>344</v>
      </c>
      <c r="G14" s="10" t="s">
        <v>224</v>
      </c>
    </row>
    <row r="15" spans="1:8">
      <c r="A15" s="10">
        <v>12</v>
      </c>
      <c r="B15" s="10" t="s">
        <v>19</v>
      </c>
      <c r="C15" s="10" t="s">
        <v>20</v>
      </c>
      <c r="D15" s="10">
        <v>1995</v>
      </c>
      <c r="E15" s="10" t="s">
        <v>21</v>
      </c>
      <c r="F15" s="10" t="s">
        <v>410</v>
      </c>
      <c r="G15" s="10" t="s">
        <v>276</v>
      </c>
    </row>
    <row r="16" spans="1:8">
      <c r="A16" s="10">
        <v>13</v>
      </c>
      <c r="B16" s="10" t="s">
        <v>578</v>
      </c>
      <c r="C16" s="10" t="s">
        <v>579</v>
      </c>
      <c r="D16" s="10">
        <v>1988</v>
      </c>
      <c r="E16" s="10" t="s">
        <v>580</v>
      </c>
      <c r="F16" s="10" t="s">
        <v>263</v>
      </c>
      <c r="G16" s="10" t="s">
        <v>581</v>
      </c>
    </row>
    <row r="17" spans="1:7" ht="28.5">
      <c r="A17" s="10">
        <v>14</v>
      </c>
      <c r="B17" s="10" t="s">
        <v>341</v>
      </c>
      <c r="C17" s="10" t="s">
        <v>342</v>
      </c>
      <c r="D17" s="10">
        <v>2004</v>
      </c>
      <c r="E17" s="10" t="s">
        <v>343</v>
      </c>
      <c r="F17" s="10" t="s">
        <v>344</v>
      </c>
      <c r="G17" s="11" t="s">
        <v>345</v>
      </c>
    </row>
    <row r="18" spans="1:7" ht="42.75">
      <c r="A18" s="10">
        <v>15</v>
      </c>
      <c r="B18" s="10" t="s">
        <v>481</v>
      </c>
      <c r="C18" s="10" t="s">
        <v>483</v>
      </c>
      <c r="D18" s="10">
        <v>2007</v>
      </c>
      <c r="E18" s="11" t="s">
        <v>482</v>
      </c>
      <c r="F18" s="10" t="s">
        <v>308</v>
      </c>
      <c r="G18" s="10" t="s">
        <v>484</v>
      </c>
    </row>
    <row r="19" spans="1:7">
      <c r="A19" s="10">
        <v>16</v>
      </c>
      <c r="B19" s="10" t="s">
        <v>14</v>
      </c>
      <c r="C19" s="10" t="s">
        <v>16</v>
      </c>
      <c r="D19" s="10">
        <v>1996</v>
      </c>
      <c r="E19" s="10" t="s">
        <v>15</v>
      </c>
      <c r="F19" s="10" t="s">
        <v>17</v>
      </c>
      <c r="G19" s="10" t="s">
        <v>18</v>
      </c>
    </row>
    <row r="20" spans="1:7" ht="57">
      <c r="A20" s="9">
        <v>17</v>
      </c>
      <c r="B20" s="10" t="s">
        <v>257</v>
      </c>
      <c r="C20" s="10" t="s">
        <v>258</v>
      </c>
      <c r="D20" s="10">
        <v>1984</v>
      </c>
      <c r="E20" s="10" t="s">
        <v>31</v>
      </c>
      <c r="F20" s="10" t="s">
        <v>32</v>
      </c>
      <c r="G20" s="11" t="s">
        <v>259</v>
      </c>
    </row>
    <row r="21" spans="1:7" ht="28.5">
      <c r="A21" s="10">
        <v>18</v>
      </c>
      <c r="B21" s="11" t="s">
        <v>729</v>
      </c>
      <c r="C21" s="10" t="s">
        <v>735</v>
      </c>
      <c r="D21" s="10">
        <v>1977</v>
      </c>
      <c r="E21" s="10" t="s">
        <v>731</v>
      </c>
      <c r="F21" s="11" t="s">
        <v>732</v>
      </c>
      <c r="G21" s="10" t="s">
        <v>733</v>
      </c>
    </row>
    <row r="22" spans="1:7" ht="28.5">
      <c r="A22" s="10">
        <v>19</v>
      </c>
      <c r="B22" s="11" t="s">
        <v>734</v>
      </c>
      <c r="C22" s="10" t="s">
        <v>735</v>
      </c>
      <c r="D22" s="10">
        <v>1979</v>
      </c>
      <c r="E22" s="10" t="s">
        <v>731</v>
      </c>
      <c r="F22" s="11" t="s">
        <v>732</v>
      </c>
      <c r="G22" s="11" t="s">
        <v>736</v>
      </c>
    </row>
    <row r="23" spans="1:7" ht="57">
      <c r="A23" s="10">
        <v>20</v>
      </c>
      <c r="B23" s="10" t="s">
        <v>467</v>
      </c>
      <c r="C23" s="10" t="s">
        <v>468</v>
      </c>
      <c r="D23" s="10">
        <v>1982</v>
      </c>
      <c r="E23" s="10" t="s">
        <v>469</v>
      </c>
      <c r="F23" s="10" t="s">
        <v>470</v>
      </c>
      <c r="G23" s="11" t="s">
        <v>471</v>
      </c>
    </row>
    <row r="24" spans="1:7" ht="42.75">
      <c r="A24" s="10">
        <v>21</v>
      </c>
      <c r="B24" s="10" t="s">
        <v>526</v>
      </c>
      <c r="C24" s="10" t="s">
        <v>369</v>
      </c>
      <c r="D24" s="10">
        <v>1993</v>
      </c>
      <c r="E24" s="10" t="s">
        <v>469</v>
      </c>
      <c r="F24" s="10" t="s">
        <v>527</v>
      </c>
      <c r="G24" s="11" t="s">
        <v>528</v>
      </c>
    </row>
    <row r="25" spans="1:7" ht="147.75" customHeight="1">
      <c r="A25" s="10">
        <v>22</v>
      </c>
      <c r="B25" s="11" t="s">
        <v>596</v>
      </c>
      <c r="C25" s="10" t="s">
        <v>598</v>
      </c>
      <c r="D25" s="10">
        <v>1996</v>
      </c>
      <c r="E25" s="10" t="s">
        <v>597</v>
      </c>
      <c r="F25" s="10" t="s">
        <v>599</v>
      </c>
      <c r="G25" s="11" t="s">
        <v>600</v>
      </c>
    </row>
    <row r="26" spans="1:7" ht="42.75">
      <c r="A26" s="10">
        <v>139</v>
      </c>
      <c r="B26" s="11" t="s">
        <v>6471</v>
      </c>
      <c r="C26" s="10" t="s">
        <v>6469</v>
      </c>
      <c r="D26" s="10">
        <v>2024</v>
      </c>
      <c r="E26" s="10" t="s">
        <v>6470</v>
      </c>
      <c r="F26" s="10" t="s">
        <v>534</v>
      </c>
      <c r="G26" s="10" t="s">
        <v>6521</v>
      </c>
    </row>
    <row r="27" spans="1:7">
      <c r="A27" s="10">
        <v>23</v>
      </c>
      <c r="B27" s="10" t="s">
        <v>726</v>
      </c>
      <c r="D27" s="10">
        <v>1955</v>
      </c>
      <c r="F27" s="10" t="s">
        <v>725</v>
      </c>
    </row>
    <row r="28" spans="1:7">
      <c r="A28" s="10">
        <v>24</v>
      </c>
      <c r="B28" s="10" t="s">
        <v>727</v>
      </c>
      <c r="F28" s="10" t="s">
        <v>725</v>
      </c>
    </row>
    <row r="29" spans="1:7">
      <c r="A29" s="10">
        <v>25</v>
      </c>
      <c r="B29" s="10" t="s">
        <v>532</v>
      </c>
      <c r="C29" s="10" t="s">
        <v>533</v>
      </c>
      <c r="D29" s="10">
        <v>2001</v>
      </c>
      <c r="E29" s="10" t="s">
        <v>535</v>
      </c>
      <c r="F29" s="10" t="s">
        <v>534</v>
      </c>
      <c r="G29" s="10">
        <v>17</v>
      </c>
    </row>
    <row r="30" spans="1:7">
      <c r="A30" s="10">
        <v>26</v>
      </c>
      <c r="B30" s="10" t="s">
        <v>377</v>
      </c>
      <c r="C30" s="10" t="s">
        <v>378</v>
      </c>
      <c r="D30" s="10">
        <v>1984</v>
      </c>
      <c r="E30" s="10" t="s">
        <v>379</v>
      </c>
      <c r="F30" s="10" t="s">
        <v>411</v>
      </c>
      <c r="G30" s="10" t="s">
        <v>380</v>
      </c>
    </row>
    <row r="31" spans="1:7">
      <c r="A31" s="10">
        <v>27</v>
      </c>
      <c r="B31" s="10" t="s">
        <v>472</v>
      </c>
      <c r="C31" s="10" t="s">
        <v>473</v>
      </c>
      <c r="D31" s="10">
        <v>1998</v>
      </c>
      <c r="E31" s="10" t="s">
        <v>474</v>
      </c>
      <c r="F31" s="10" t="s">
        <v>475</v>
      </c>
      <c r="G31" s="10" t="s">
        <v>476</v>
      </c>
    </row>
    <row r="32" spans="1:7" ht="28.5">
      <c r="A32" s="10">
        <v>28</v>
      </c>
      <c r="B32" s="10" t="s">
        <v>333</v>
      </c>
      <c r="C32" s="10" t="s">
        <v>334</v>
      </c>
      <c r="D32" s="10">
        <v>1998</v>
      </c>
      <c r="E32" s="10" t="s">
        <v>31</v>
      </c>
      <c r="F32" s="10" t="s">
        <v>267</v>
      </c>
      <c r="G32" s="11" t="s">
        <v>335</v>
      </c>
    </row>
    <row r="33" spans="1:7">
      <c r="A33" s="9">
        <v>29</v>
      </c>
      <c r="B33" s="10" t="s">
        <v>260</v>
      </c>
      <c r="C33" s="10" t="s">
        <v>261</v>
      </c>
      <c r="D33" s="10">
        <v>1984</v>
      </c>
      <c r="E33" s="10" t="s">
        <v>262</v>
      </c>
      <c r="F33" s="10" t="s">
        <v>263</v>
      </c>
      <c r="G33" s="11" t="s">
        <v>264</v>
      </c>
    </row>
    <row r="34" spans="1:7" ht="28.5">
      <c r="A34" s="10">
        <v>30</v>
      </c>
      <c r="B34" s="10" t="s">
        <v>529</v>
      </c>
      <c r="C34" s="10" t="s">
        <v>293</v>
      </c>
      <c r="D34" s="10">
        <v>1985</v>
      </c>
      <c r="E34" s="11" t="s">
        <v>530</v>
      </c>
      <c r="G34" s="11" t="s">
        <v>531</v>
      </c>
    </row>
    <row r="35" spans="1:7">
      <c r="A35" s="10">
        <v>31</v>
      </c>
      <c r="B35" s="10" t="s">
        <v>336</v>
      </c>
      <c r="C35" s="10" t="s">
        <v>337</v>
      </c>
      <c r="D35" s="10">
        <v>1995</v>
      </c>
      <c r="E35" s="10" t="s">
        <v>338</v>
      </c>
      <c r="F35" s="10" t="s">
        <v>339</v>
      </c>
      <c r="G35" s="10" t="s">
        <v>340</v>
      </c>
    </row>
    <row r="36" spans="1:7" ht="42.75">
      <c r="A36" s="10">
        <v>32</v>
      </c>
      <c r="B36" s="11" t="s">
        <v>715</v>
      </c>
      <c r="C36" s="10" t="s">
        <v>712</v>
      </c>
      <c r="D36" s="10">
        <v>1985</v>
      </c>
      <c r="E36" s="10" t="s">
        <v>338</v>
      </c>
      <c r="F36" s="10" t="s">
        <v>339</v>
      </c>
      <c r="G36" s="11" t="s">
        <v>716</v>
      </c>
    </row>
    <row r="37" spans="1:7" ht="57">
      <c r="A37" s="10">
        <v>33</v>
      </c>
      <c r="B37" s="11" t="s">
        <v>714</v>
      </c>
      <c r="C37" s="10" t="s">
        <v>712</v>
      </c>
      <c r="D37" s="10">
        <v>1990</v>
      </c>
      <c r="E37" s="10" t="s">
        <v>338</v>
      </c>
      <c r="F37" s="10" t="s">
        <v>339</v>
      </c>
      <c r="G37" s="11" t="s">
        <v>713</v>
      </c>
    </row>
    <row r="38" spans="1:7">
      <c r="A38" s="10">
        <v>34</v>
      </c>
      <c r="B38" s="10" t="s">
        <v>391</v>
      </c>
      <c r="C38" s="10" t="s">
        <v>392</v>
      </c>
      <c r="D38" s="10">
        <v>1985</v>
      </c>
      <c r="E38" s="10" t="s">
        <v>393</v>
      </c>
      <c r="F38" s="10" t="s">
        <v>394</v>
      </c>
      <c r="G38" s="10" t="s">
        <v>395</v>
      </c>
    </row>
    <row r="39" spans="1:7" ht="114">
      <c r="A39" s="10">
        <v>35</v>
      </c>
      <c r="B39" s="10" t="s">
        <v>374</v>
      </c>
      <c r="C39" s="10" t="s">
        <v>375</v>
      </c>
      <c r="D39" s="10">
        <v>2002</v>
      </c>
      <c r="E39" s="11" t="s">
        <v>282</v>
      </c>
      <c r="F39" s="10" t="s">
        <v>283</v>
      </c>
      <c r="G39" s="11" t="s">
        <v>376</v>
      </c>
    </row>
    <row r="40" spans="1:7" ht="28.5">
      <c r="A40" s="10">
        <v>36</v>
      </c>
      <c r="B40" s="11" t="s">
        <v>651</v>
      </c>
      <c r="C40" s="10" t="s">
        <v>652</v>
      </c>
      <c r="D40" s="10">
        <v>1991</v>
      </c>
      <c r="E40" s="11" t="s">
        <v>653</v>
      </c>
      <c r="F40" s="10" t="s">
        <v>654</v>
      </c>
      <c r="G40" s="10" t="s">
        <v>655</v>
      </c>
    </row>
    <row r="41" spans="1:7" ht="42.75">
      <c r="A41" s="10">
        <v>37</v>
      </c>
      <c r="B41" s="11" t="s">
        <v>319</v>
      </c>
      <c r="C41" s="10" t="s">
        <v>320</v>
      </c>
      <c r="D41" s="10">
        <v>1999</v>
      </c>
      <c r="E41" s="11" t="s">
        <v>282</v>
      </c>
      <c r="F41" s="10" t="s">
        <v>283</v>
      </c>
    </row>
    <row r="42" spans="1:7" ht="44.65" customHeight="1">
      <c r="A42" s="9">
        <v>38</v>
      </c>
      <c r="B42" s="10" t="s">
        <v>249</v>
      </c>
      <c r="C42" s="10" t="s">
        <v>250</v>
      </c>
      <c r="E42" s="10" t="s">
        <v>251</v>
      </c>
      <c r="F42" s="10" t="s">
        <v>412</v>
      </c>
    </row>
    <row r="43" spans="1:7" ht="28.5">
      <c r="A43" s="9">
        <v>39</v>
      </c>
      <c r="B43" s="10" t="s">
        <v>255</v>
      </c>
      <c r="D43" s="10">
        <v>2011</v>
      </c>
      <c r="E43" s="11" t="s">
        <v>256</v>
      </c>
      <c r="F43" s="10" t="s">
        <v>410</v>
      </c>
      <c r="G43" s="11" t="s">
        <v>389</v>
      </c>
    </row>
    <row r="44" spans="1:7" ht="28.5">
      <c r="A44" s="10">
        <v>40</v>
      </c>
      <c r="B44" s="10" t="s">
        <v>563</v>
      </c>
      <c r="D44" s="10">
        <v>1981</v>
      </c>
      <c r="E44" s="11" t="s">
        <v>564</v>
      </c>
      <c r="F44" s="11" t="s">
        <v>565</v>
      </c>
      <c r="G44" s="11" t="s">
        <v>682</v>
      </c>
    </row>
    <row r="45" spans="1:7">
      <c r="A45" s="10">
        <v>41</v>
      </c>
      <c r="B45" s="10" t="s">
        <v>679</v>
      </c>
      <c r="C45" s="10" t="s">
        <v>676</v>
      </c>
      <c r="D45" s="10">
        <v>2017</v>
      </c>
      <c r="E45" s="10" t="s">
        <v>677</v>
      </c>
      <c r="F45" s="10" t="s">
        <v>416</v>
      </c>
      <c r="G45" s="10" t="s">
        <v>680</v>
      </c>
    </row>
    <row r="46" spans="1:7" ht="28.5">
      <c r="A46" s="10">
        <v>42</v>
      </c>
      <c r="B46" s="10" t="s">
        <v>346</v>
      </c>
      <c r="C46" s="11" t="s">
        <v>347</v>
      </c>
      <c r="D46" s="10">
        <v>2005</v>
      </c>
      <c r="E46" s="10" t="s">
        <v>31</v>
      </c>
      <c r="F46" s="10" t="s">
        <v>267</v>
      </c>
      <c r="G46" s="10">
        <v>64</v>
      </c>
    </row>
    <row r="47" spans="1:7" ht="42.75">
      <c r="A47" s="10">
        <v>43</v>
      </c>
      <c r="B47" s="10" t="s">
        <v>566</v>
      </c>
      <c r="C47" s="11" t="s">
        <v>567</v>
      </c>
      <c r="D47" s="10">
        <v>1999</v>
      </c>
      <c r="E47" s="10" t="s">
        <v>262</v>
      </c>
      <c r="F47" s="10" t="s">
        <v>263</v>
      </c>
      <c r="G47" s="11" t="s">
        <v>568</v>
      </c>
    </row>
    <row r="48" spans="1:7" ht="42.75">
      <c r="A48" s="10">
        <v>44</v>
      </c>
      <c r="B48" s="10" t="s">
        <v>685</v>
      </c>
      <c r="C48" s="10" t="s">
        <v>688</v>
      </c>
      <c r="D48" s="10">
        <v>1996</v>
      </c>
      <c r="E48" s="11" t="s">
        <v>686</v>
      </c>
      <c r="F48" s="10" t="s">
        <v>687</v>
      </c>
      <c r="G48" s="10" t="s">
        <v>689</v>
      </c>
    </row>
    <row r="49" spans="1:7">
      <c r="A49" s="10">
        <v>45</v>
      </c>
      <c r="B49" s="10" t="s">
        <v>683</v>
      </c>
      <c r="C49" s="10" t="s">
        <v>676</v>
      </c>
      <c r="D49" s="10">
        <v>2012</v>
      </c>
      <c r="E49" s="10" t="s">
        <v>677</v>
      </c>
      <c r="F49" s="10" t="s">
        <v>416</v>
      </c>
      <c r="G49" s="10" t="s">
        <v>684</v>
      </c>
    </row>
    <row r="50" spans="1:7" ht="128.25">
      <c r="A50" s="10">
        <v>46</v>
      </c>
      <c r="B50" s="10" t="s">
        <v>669</v>
      </c>
      <c r="C50" s="10" t="s">
        <v>668</v>
      </c>
      <c r="D50" s="10">
        <v>1998</v>
      </c>
      <c r="E50" s="10" t="s">
        <v>670</v>
      </c>
      <c r="F50" s="10" t="s">
        <v>671</v>
      </c>
      <c r="G50" s="11" t="s">
        <v>672</v>
      </c>
    </row>
    <row r="51" spans="1:7" ht="28.5">
      <c r="A51" s="10">
        <v>47</v>
      </c>
      <c r="B51" s="10" t="s">
        <v>738</v>
      </c>
      <c r="C51" s="11" t="s">
        <v>739</v>
      </c>
      <c r="D51" s="10">
        <v>1998</v>
      </c>
      <c r="E51" s="11" t="s">
        <v>740</v>
      </c>
      <c r="F51" s="10" t="s">
        <v>412</v>
      </c>
      <c r="G51" s="11" t="s">
        <v>741</v>
      </c>
    </row>
    <row r="52" spans="1:7">
      <c r="A52" s="10">
        <v>48</v>
      </c>
      <c r="B52" s="10" t="s">
        <v>306</v>
      </c>
      <c r="C52" s="10" t="s">
        <v>309</v>
      </c>
      <c r="D52" s="10">
        <v>1992</v>
      </c>
      <c r="E52" s="10" t="s">
        <v>305</v>
      </c>
      <c r="F52" s="10" t="s">
        <v>307</v>
      </c>
      <c r="G52" s="10" t="s">
        <v>310</v>
      </c>
    </row>
    <row r="53" spans="1:7" ht="28.5">
      <c r="A53" s="10">
        <v>50</v>
      </c>
      <c r="B53" s="10" t="s">
        <v>311</v>
      </c>
      <c r="C53" s="10" t="s">
        <v>312</v>
      </c>
      <c r="D53" s="10">
        <v>1988</v>
      </c>
      <c r="E53" s="11" t="s">
        <v>313</v>
      </c>
      <c r="F53" s="10" t="s">
        <v>314</v>
      </c>
      <c r="G53" s="10" t="s">
        <v>315</v>
      </c>
    </row>
    <row r="54" spans="1:7" ht="28.5">
      <c r="A54" s="10">
        <v>49</v>
      </c>
      <c r="B54" s="10" t="s">
        <v>1254</v>
      </c>
      <c r="C54" s="10" t="s">
        <v>312</v>
      </c>
      <c r="D54" s="10">
        <v>1990</v>
      </c>
      <c r="E54" s="11" t="s">
        <v>313</v>
      </c>
      <c r="F54" s="10" t="s">
        <v>314</v>
      </c>
      <c r="G54" s="10" t="s">
        <v>316</v>
      </c>
    </row>
    <row r="55" spans="1:7" ht="42.75">
      <c r="A55" s="10">
        <v>51</v>
      </c>
      <c r="B55" s="10" t="s">
        <v>277</v>
      </c>
      <c r="C55" s="10" t="s">
        <v>278</v>
      </c>
      <c r="D55" s="10">
        <v>2000</v>
      </c>
      <c r="E55" s="10" t="s">
        <v>31</v>
      </c>
      <c r="F55" s="10" t="s">
        <v>267</v>
      </c>
      <c r="G55" s="11" t="s">
        <v>409</v>
      </c>
    </row>
    <row r="56" spans="1:7" ht="28.5">
      <c r="A56" s="10">
        <v>52</v>
      </c>
      <c r="B56" s="10" t="s">
        <v>647</v>
      </c>
      <c r="D56" s="10">
        <v>1998</v>
      </c>
      <c r="E56" s="10" t="s">
        <v>648</v>
      </c>
      <c r="F56" s="11" t="s">
        <v>649</v>
      </c>
      <c r="G56" s="10" t="s">
        <v>650</v>
      </c>
    </row>
    <row r="57" spans="1:7" ht="42.75">
      <c r="A57" s="10">
        <v>53</v>
      </c>
      <c r="B57" s="10" t="s">
        <v>25</v>
      </c>
      <c r="C57" s="11" t="s">
        <v>26</v>
      </c>
      <c r="D57" s="10">
        <v>2006</v>
      </c>
      <c r="E57" s="10" t="s">
        <v>27</v>
      </c>
      <c r="F57" s="11" t="s">
        <v>413</v>
      </c>
      <c r="G57" s="10" t="s">
        <v>28</v>
      </c>
    </row>
    <row r="58" spans="1:7" ht="42.75">
      <c r="A58" s="10">
        <v>54</v>
      </c>
      <c r="B58" s="10" t="s">
        <v>536</v>
      </c>
      <c r="C58" s="10" t="s">
        <v>539</v>
      </c>
      <c r="D58" s="10">
        <v>1993</v>
      </c>
      <c r="E58" s="11" t="s">
        <v>537</v>
      </c>
      <c r="F58" s="10" t="s">
        <v>538</v>
      </c>
      <c r="G58" s="11" t="s">
        <v>540</v>
      </c>
    </row>
    <row r="59" spans="1:7" ht="28.5">
      <c r="A59" s="9">
        <v>55</v>
      </c>
      <c r="B59" s="10" t="s">
        <v>154</v>
      </c>
      <c r="C59" s="10" t="s">
        <v>203</v>
      </c>
      <c r="D59" s="10">
        <v>2003</v>
      </c>
      <c r="E59" s="10" t="s">
        <v>204</v>
      </c>
      <c r="F59" s="11" t="s">
        <v>205</v>
      </c>
      <c r="G59" s="11" t="s">
        <v>206</v>
      </c>
    </row>
    <row r="60" spans="1:7">
      <c r="A60" s="10">
        <v>56</v>
      </c>
      <c r="B60" s="10" t="s">
        <v>582</v>
      </c>
      <c r="C60" s="10" t="s">
        <v>583</v>
      </c>
      <c r="D60" s="10">
        <v>1981</v>
      </c>
      <c r="E60" s="10" t="s">
        <v>584</v>
      </c>
      <c r="F60" s="10" t="s">
        <v>585</v>
      </c>
      <c r="G60" s="10" t="s">
        <v>586</v>
      </c>
    </row>
    <row r="61" spans="1:7" ht="28.5">
      <c r="A61" s="10">
        <v>57</v>
      </c>
      <c r="B61" s="10" t="s">
        <v>559</v>
      </c>
      <c r="C61" s="10" t="s">
        <v>560</v>
      </c>
      <c r="D61" s="10">
        <v>1984</v>
      </c>
      <c r="E61" s="11" t="s">
        <v>561</v>
      </c>
      <c r="F61" s="10" t="s">
        <v>344</v>
      </c>
      <c r="G61" s="11" t="s">
        <v>562</v>
      </c>
    </row>
    <row r="62" spans="1:7" ht="28.5">
      <c r="A62" s="10">
        <v>58</v>
      </c>
      <c r="B62" s="10" t="s">
        <v>406</v>
      </c>
      <c r="C62" s="10" t="s">
        <v>407</v>
      </c>
      <c r="D62" s="10">
        <v>1990</v>
      </c>
      <c r="E62" s="11" t="s">
        <v>408</v>
      </c>
      <c r="F62" s="10" t="s">
        <v>414</v>
      </c>
      <c r="G62" s="10" t="s">
        <v>423</v>
      </c>
    </row>
    <row r="63" spans="1:7" ht="57">
      <c r="A63" s="10">
        <v>59</v>
      </c>
      <c r="B63" s="10" t="s">
        <v>387</v>
      </c>
      <c r="C63" s="10" t="s">
        <v>253</v>
      </c>
      <c r="D63" s="10">
        <v>1981</v>
      </c>
      <c r="E63" s="10" t="s">
        <v>262</v>
      </c>
      <c r="F63" s="10" t="s">
        <v>263</v>
      </c>
      <c r="G63" s="11" t="s">
        <v>388</v>
      </c>
    </row>
    <row r="64" spans="1:7">
      <c r="A64" s="9">
        <v>60</v>
      </c>
      <c r="B64" s="10" t="s">
        <v>233</v>
      </c>
      <c r="C64" s="10" t="s">
        <v>234</v>
      </c>
      <c r="D64" s="10">
        <v>1985</v>
      </c>
      <c r="E64" s="10" t="s">
        <v>235</v>
      </c>
      <c r="F64" s="10" t="s">
        <v>410</v>
      </c>
      <c r="G64" s="10" t="s">
        <v>236</v>
      </c>
    </row>
    <row r="65" spans="1:7">
      <c r="A65" s="10">
        <v>61</v>
      </c>
      <c r="B65" s="10" t="s">
        <v>22</v>
      </c>
      <c r="C65" s="10" t="s">
        <v>23</v>
      </c>
      <c r="D65" s="10">
        <v>1998</v>
      </c>
      <c r="E65" s="10" t="s">
        <v>24</v>
      </c>
      <c r="F65" s="10" t="s">
        <v>410</v>
      </c>
    </row>
    <row r="66" spans="1:7" ht="42.75">
      <c r="A66" s="10">
        <v>62</v>
      </c>
      <c r="B66" s="10" t="s">
        <v>296</v>
      </c>
      <c r="C66" s="10" t="s">
        <v>297</v>
      </c>
      <c r="D66" s="10">
        <v>1982</v>
      </c>
      <c r="E66" s="10" t="s">
        <v>298</v>
      </c>
      <c r="F66" s="10" t="s">
        <v>299</v>
      </c>
      <c r="G66" s="11" t="s">
        <v>300</v>
      </c>
    </row>
    <row r="67" spans="1:7" ht="30.4" customHeight="1">
      <c r="A67" s="10">
        <v>63</v>
      </c>
      <c r="B67" s="10" t="s">
        <v>2</v>
      </c>
      <c r="C67" s="10" t="s">
        <v>3</v>
      </c>
      <c r="D67" s="10">
        <v>2000</v>
      </c>
      <c r="E67" s="10" t="s">
        <v>4</v>
      </c>
      <c r="F67" s="10" t="s">
        <v>410</v>
      </c>
      <c r="G67" s="10" t="s">
        <v>5</v>
      </c>
    </row>
    <row r="68" spans="1:7" ht="28.5">
      <c r="A68" s="10">
        <v>64</v>
      </c>
      <c r="B68" s="11" t="s">
        <v>615</v>
      </c>
      <c r="C68" s="10" t="s">
        <v>616</v>
      </c>
      <c r="D68" s="10">
        <v>2008</v>
      </c>
      <c r="E68" s="11" t="s">
        <v>617</v>
      </c>
      <c r="F68" s="10" t="s">
        <v>308</v>
      </c>
      <c r="G68" s="10" t="s">
        <v>618</v>
      </c>
    </row>
    <row r="69" spans="1:7" ht="42.75">
      <c r="A69" s="10">
        <v>65</v>
      </c>
      <c r="B69" s="10" t="s">
        <v>691</v>
      </c>
      <c r="C69" s="10" t="s">
        <v>692</v>
      </c>
      <c r="D69" s="10">
        <v>1989</v>
      </c>
      <c r="E69" s="11" t="s">
        <v>694</v>
      </c>
      <c r="F69" s="11" t="s">
        <v>693</v>
      </c>
      <c r="G69" s="10" t="s">
        <v>690</v>
      </c>
    </row>
    <row r="70" spans="1:7" ht="114">
      <c r="A70" s="9">
        <v>66</v>
      </c>
      <c r="B70" s="11" t="s">
        <v>252</v>
      </c>
      <c r="C70" s="10" t="s">
        <v>253</v>
      </c>
      <c r="D70" s="10">
        <v>2014</v>
      </c>
      <c r="E70" s="11" t="s">
        <v>254</v>
      </c>
      <c r="F70" s="10" t="s">
        <v>416</v>
      </c>
      <c r="G70" s="11" t="s">
        <v>290</v>
      </c>
    </row>
    <row r="71" spans="1:7" ht="28.5">
      <c r="A71" s="10">
        <v>67</v>
      </c>
      <c r="B71" s="11" t="s">
        <v>317</v>
      </c>
      <c r="C71" s="10" t="s">
        <v>312</v>
      </c>
      <c r="D71" s="10">
        <v>1996</v>
      </c>
      <c r="E71" s="10" t="s">
        <v>31</v>
      </c>
      <c r="F71" s="10" t="s">
        <v>267</v>
      </c>
      <c r="G71" s="10" t="s">
        <v>318</v>
      </c>
    </row>
    <row r="72" spans="1:7" ht="28.5">
      <c r="A72" s="10">
        <v>68</v>
      </c>
      <c r="B72" s="10" t="s">
        <v>363</v>
      </c>
      <c r="C72" s="10" t="s">
        <v>364</v>
      </c>
      <c r="D72" s="10">
        <v>1994</v>
      </c>
      <c r="E72" s="11" t="s">
        <v>365</v>
      </c>
      <c r="F72" s="10" t="s">
        <v>366</v>
      </c>
      <c r="G72" s="11" t="s">
        <v>367</v>
      </c>
    </row>
    <row r="73" spans="1:7">
      <c r="A73" s="10">
        <v>69</v>
      </c>
      <c r="B73" s="10" t="s">
        <v>609</v>
      </c>
      <c r="C73" s="10" t="s">
        <v>610</v>
      </c>
      <c r="D73" s="10">
        <v>1977</v>
      </c>
      <c r="E73" s="10" t="s">
        <v>611</v>
      </c>
      <c r="F73" s="10" t="s">
        <v>612</v>
      </c>
      <c r="G73" s="10" t="s">
        <v>613</v>
      </c>
    </row>
    <row r="74" spans="1:7" ht="28.5">
      <c r="A74" s="9">
        <v>70</v>
      </c>
      <c r="B74" s="10" t="s">
        <v>244</v>
      </c>
      <c r="C74" s="10" t="s">
        <v>245</v>
      </c>
      <c r="D74" s="10">
        <v>1979</v>
      </c>
      <c r="E74" s="10" t="s">
        <v>246</v>
      </c>
      <c r="F74" s="10" t="s">
        <v>247</v>
      </c>
      <c r="G74" s="11" t="s">
        <v>248</v>
      </c>
    </row>
    <row r="75" spans="1:7">
      <c r="A75" s="10">
        <v>71</v>
      </c>
      <c r="B75" s="10" t="s">
        <v>523</v>
      </c>
      <c r="C75" s="10" t="s">
        <v>524</v>
      </c>
      <c r="D75" s="10">
        <v>1989</v>
      </c>
      <c r="E75" s="10" t="s">
        <v>231</v>
      </c>
      <c r="F75" s="10" t="s">
        <v>263</v>
      </c>
      <c r="G75" s="10" t="s">
        <v>525</v>
      </c>
    </row>
    <row r="76" spans="1:7" ht="42.75">
      <c r="A76" s="10">
        <v>72</v>
      </c>
      <c r="B76" s="10" t="s">
        <v>428</v>
      </c>
      <c r="C76" s="10" t="s">
        <v>429</v>
      </c>
      <c r="D76" s="10">
        <v>1999</v>
      </c>
      <c r="E76" s="11" t="s">
        <v>430</v>
      </c>
      <c r="F76" s="11" t="s">
        <v>431</v>
      </c>
      <c r="G76" s="11" t="s">
        <v>432</v>
      </c>
    </row>
    <row r="77" spans="1:7" ht="42.75">
      <c r="A77" s="10">
        <v>73</v>
      </c>
      <c r="B77" s="10" t="s">
        <v>558</v>
      </c>
      <c r="C77" s="11" t="s">
        <v>555</v>
      </c>
      <c r="D77" s="10">
        <v>2000</v>
      </c>
      <c r="E77" s="10" t="s">
        <v>556</v>
      </c>
      <c r="F77" s="10" t="s">
        <v>344</v>
      </c>
      <c r="G77" s="11" t="s">
        <v>557</v>
      </c>
    </row>
    <row r="78" spans="1:7">
      <c r="A78" s="10">
        <v>74</v>
      </c>
      <c r="B78" s="10" t="s">
        <v>704</v>
      </c>
      <c r="C78" s="10" t="s">
        <v>705</v>
      </c>
      <c r="D78" s="10">
        <v>2006</v>
      </c>
      <c r="E78" s="10" t="s">
        <v>706</v>
      </c>
      <c r="F78" s="10" t="s">
        <v>263</v>
      </c>
      <c r="G78" s="10" t="s">
        <v>707</v>
      </c>
    </row>
    <row r="79" spans="1:7">
      <c r="A79" s="10">
        <v>75</v>
      </c>
      <c r="B79" s="10" t="s">
        <v>327</v>
      </c>
      <c r="C79" s="10" t="s">
        <v>328</v>
      </c>
      <c r="D79" s="10">
        <v>1992</v>
      </c>
      <c r="E79" s="10" t="s">
        <v>31</v>
      </c>
      <c r="F79" s="10" t="s">
        <v>267</v>
      </c>
      <c r="G79" s="10" t="s">
        <v>329</v>
      </c>
    </row>
    <row r="80" spans="1:7" ht="28.5">
      <c r="A80" s="10">
        <v>76</v>
      </c>
      <c r="B80" s="11" t="s">
        <v>659</v>
      </c>
      <c r="D80" s="10">
        <v>1995</v>
      </c>
      <c r="E80" s="11" t="s">
        <v>661</v>
      </c>
      <c r="F80" s="10" t="s">
        <v>263</v>
      </c>
      <c r="G80" s="10" t="s">
        <v>662</v>
      </c>
    </row>
    <row r="81" spans="1:7" ht="28.5">
      <c r="A81" s="10">
        <v>77</v>
      </c>
      <c r="B81" s="10" t="s">
        <v>592</v>
      </c>
      <c r="C81" s="10" t="s">
        <v>660</v>
      </c>
      <c r="D81" s="10">
        <v>2004</v>
      </c>
      <c r="E81" s="10" t="s">
        <v>593</v>
      </c>
      <c r="F81" s="10" t="s">
        <v>594</v>
      </c>
      <c r="G81" s="11" t="s">
        <v>595</v>
      </c>
    </row>
    <row r="82" spans="1:7" ht="57">
      <c r="A82" s="10">
        <v>78</v>
      </c>
      <c r="B82" s="10" t="s">
        <v>279</v>
      </c>
      <c r="C82" s="10" t="s">
        <v>278</v>
      </c>
      <c r="D82" s="10">
        <v>2005</v>
      </c>
      <c r="E82" s="10" t="s">
        <v>31</v>
      </c>
      <c r="F82" s="10" t="s">
        <v>267</v>
      </c>
      <c r="G82" s="11" t="s">
        <v>285</v>
      </c>
    </row>
    <row r="83" spans="1:7">
      <c r="A83" s="10">
        <v>79</v>
      </c>
      <c r="B83" s="10" t="s">
        <v>742</v>
      </c>
      <c r="C83" s="10" t="s">
        <v>230</v>
      </c>
      <c r="D83" s="10">
        <v>1983</v>
      </c>
      <c r="E83" s="10" t="s">
        <v>743</v>
      </c>
      <c r="F83" s="10" t="s">
        <v>744</v>
      </c>
    </row>
    <row r="84" spans="1:7" ht="42.75">
      <c r="A84" s="10">
        <v>80</v>
      </c>
      <c r="B84" s="11" t="s">
        <v>357</v>
      </c>
      <c r="C84" s="11" t="s">
        <v>358</v>
      </c>
      <c r="D84" s="10">
        <v>1995</v>
      </c>
      <c r="E84" s="11" t="s">
        <v>282</v>
      </c>
      <c r="F84" s="10" t="s">
        <v>283</v>
      </c>
      <c r="G84" s="11" t="s">
        <v>359</v>
      </c>
    </row>
    <row r="85" spans="1:7" ht="28.5">
      <c r="A85" s="10">
        <v>81</v>
      </c>
      <c r="B85" s="10" t="s">
        <v>477</v>
      </c>
      <c r="C85" s="11" t="s">
        <v>478</v>
      </c>
      <c r="D85" s="10">
        <v>2008</v>
      </c>
      <c r="E85" s="11" t="s">
        <v>479</v>
      </c>
      <c r="F85" s="10" t="s">
        <v>308</v>
      </c>
      <c r="G85" s="10" t="s">
        <v>480</v>
      </c>
    </row>
    <row r="86" spans="1:7">
      <c r="A86" s="10">
        <v>82</v>
      </c>
      <c r="B86" s="10" t="s">
        <v>628</v>
      </c>
      <c r="C86" s="10" t="s">
        <v>629</v>
      </c>
      <c r="D86" s="10">
        <v>1989</v>
      </c>
      <c r="E86" s="10" t="s">
        <v>621</v>
      </c>
      <c r="F86" s="10" t="s">
        <v>622</v>
      </c>
      <c r="G86" s="10" t="s">
        <v>631</v>
      </c>
    </row>
    <row r="87" spans="1:7">
      <c r="A87" s="10">
        <v>83</v>
      </c>
      <c r="B87" s="10" t="s">
        <v>630</v>
      </c>
      <c r="C87" s="10" t="s">
        <v>629</v>
      </c>
      <c r="D87" s="10">
        <v>1989</v>
      </c>
      <c r="E87" s="10" t="s">
        <v>621</v>
      </c>
      <c r="F87" s="10" t="s">
        <v>622</v>
      </c>
      <c r="G87" s="10" t="s">
        <v>632</v>
      </c>
    </row>
    <row r="88" spans="1:7" ht="28.5">
      <c r="A88" s="10">
        <v>84</v>
      </c>
      <c r="B88" s="10" t="s">
        <v>207</v>
      </c>
      <c r="C88" s="11" t="s">
        <v>208</v>
      </c>
      <c r="D88" s="10">
        <v>1997</v>
      </c>
      <c r="E88" s="10" t="s">
        <v>209</v>
      </c>
      <c r="F88" s="10" t="s">
        <v>210</v>
      </c>
      <c r="G88" s="10" t="s">
        <v>211</v>
      </c>
    </row>
    <row r="89" spans="1:7" ht="28.5">
      <c r="A89" s="10">
        <v>85</v>
      </c>
      <c r="B89" s="10" t="s">
        <v>551</v>
      </c>
      <c r="C89" s="11" t="s">
        <v>552</v>
      </c>
      <c r="D89" s="10">
        <v>1987</v>
      </c>
      <c r="E89" s="10" t="s">
        <v>553</v>
      </c>
      <c r="F89" s="10" t="s">
        <v>554</v>
      </c>
    </row>
    <row r="90" spans="1:7">
      <c r="A90" s="10">
        <v>86</v>
      </c>
      <c r="B90" s="10" t="s">
        <v>749</v>
      </c>
      <c r="C90" s="10" t="s">
        <v>746</v>
      </c>
      <c r="D90" s="10">
        <v>1988</v>
      </c>
      <c r="E90" s="10" t="s">
        <v>747</v>
      </c>
      <c r="F90" s="10" t="s">
        <v>748</v>
      </c>
    </row>
    <row r="91" spans="1:7">
      <c r="A91" s="10">
        <v>87</v>
      </c>
      <c r="B91" s="10" t="s">
        <v>728</v>
      </c>
      <c r="F91" s="10" t="s">
        <v>730</v>
      </c>
    </row>
    <row r="92" spans="1:7" ht="28.5">
      <c r="A92" s="10">
        <v>88</v>
      </c>
      <c r="B92" s="10" t="s">
        <v>601</v>
      </c>
      <c r="C92" s="10" t="s">
        <v>602</v>
      </c>
      <c r="D92" s="10">
        <v>1988</v>
      </c>
      <c r="E92" s="11" t="s">
        <v>603</v>
      </c>
      <c r="F92" s="10" t="s">
        <v>263</v>
      </c>
      <c r="G92" s="10" t="s">
        <v>604</v>
      </c>
    </row>
    <row r="93" spans="1:7" ht="57">
      <c r="A93" s="10">
        <v>89</v>
      </c>
      <c r="B93" s="10" t="s">
        <v>292</v>
      </c>
      <c r="C93" s="10" t="s">
        <v>293</v>
      </c>
      <c r="D93" s="10">
        <v>1991</v>
      </c>
      <c r="E93" s="10" t="s">
        <v>294</v>
      </c>
      <c r="F93" s="10" t="s">
        <v>263</v>
      </c>
      <c r="G93" s="11" t="s">
        <v>295</v>
      </c>
    </row>
    <row r="94" spans="1:7">
      <c r="A94" s="10">
        <v>90</v>
      </c>
      <c r="B94" s="10" t="s">
        <v>656</v>
      </c>
      <c r="D94" s="10">
        <v>1984</v>
      </c>
      <c r="F94" s="10" t="s">
        <v>657</v>
      </c>
      <c r="G94" s="10" t="s">
        <v>658</v>
      </c>
    </row>
    <row r="95" spans="1:7" ht="28.5">
      <c r="A95" s="10">
        <v>139</v>
      </c>
      <c r="B95" s="11" t="s">
        <v>777</v>
      </c>
      <c r="C95" s="10" t="s">
        <v>676</v>
      </c>
      <c r="D95" s="10">
        <v>2022</v>
      </c>
      <c r="E95" s="10" t="s">
        <v>677</v>
      </c>
      <c r="F95" s="10" t="s">
        <v>416</v>
      </c>
      <c r="G95" s="10">
        <v>164</v>
      </c>
    </row>
    <row r="96" spans="1:7" ht="42.75">
      <c r="A96" s="10">
        <v>91</v>
      </c>
      <c r="B96" s="11" t="s">
        <v>721</v>
      </c>
      <c r="C96" s="10" t="s">
        <v>722</v>
      </c>
      <c r="D96" s="10">
        <v>2000</v>
      </c>
      <c r="E96" s="11" t="s">
        <v>710</v>
      </c>
      <c r="F96" s="10" t="s">
        <v>283</v>
      </c>
      <c r="G96" s="10" t="s">
        <v>723</v>
      </c>
    </row>
    <row r="97" spans="1:7" ht="42.75">
      <c r="A97" s="10">
        <v>92</v>
      </c>
      <c r="B97" s="10" t="s">
        <v>753</v>
      </c>
      <c r="C97" s="10" t="s">
        <v>468</v>
      </c>
      <c r="D97" s="10">
        <v>1995</v>
      </c>
      <c r="E97" s="10" t="s">
        <v>469</v>
      </c>
      <c r="F97" s="10" t="s">
        <v>527</v>
      </c>
      <c r="G97" s="11" t="s">
        <v>754</v>
      </c>
    </row>
    <row r="98" spans="1:7">
      <c r="A98" s="10">
        <v>93</v>
      </c>
      <c r="B98" s="10" t="s">
        <v>750</v>
      </c>
      <c r="C98" s="10" t="s">
        <v>751</v>
      </c>
      <c r="D98" s="10">
        <v>2002</v>
      </c>
      <c r="E98" s="10" t="s">
        <v>719</v>
      </c>
      <c r="F98" s="10" t="s">
        <v>576</v>
      </c>
      <c r="G98" s="10" t="s">
        <v>752</v>
      </c>
    </row>
    <row r="99" spans="1:7">
      <c r="A99" s="10">
        <v>94</v>
      </c>
      <c r="B99" s="10" t="s">
        <v>702</v>
      </c>
      <c r="C99" s="10" t="s">
        <v>701</v>
      </c>
      <c r="E99" s="10" t="s">
        <v>699</v>
      </c>
      <c r="F99" s="10" t="s">
        <v>700</v>
      </c>
      <c r="G99" s="10" t="s">
        <v>703</v>
      </c>
    </row>
    <row r="100" spans="1:7" ht="28.5">
      <c r="A100" s="10">
        <v>95</v>
      </c>
      <c r="B100" s="10" t="s">
        <v>569</v>
      </c>
      <c r="C100" s="10" t="s">
        <v>570</v>
      </c>
      <c r="D100" s="10">
        <v>2003</v>
      </c>
      <c r="E100" s="11" t="s">
        <v>571</v>
      </c>
      <c r="F100" s="10" t="s">
        <v>263</v>
      </c>
      <c r="G100" s="10" t="s">
        <v>572</v>
      </c>
    </row>
    <row r="101" spans="1:7">
      <c r="A101" s="10">
        <v>96</v>
      </c>
      <c r="B101" s="10" t="s">
        <v>673</v>
      </c>
      <c r="C101" s="10" t="s">
        <v>302</v>
      </c>
      <c r="D101" s="10">
        <v>2007</v>
      </c>
      <c r="E101" s="10" t="s">
        <v>303</v>
      </c>
      <c r="F101" s="10" t="s">
        <v>674</v>
      </c>
      <c r="G101" s="10">
        <v>73</v>
      </c>
    </row>
    <row r="102" spans="1:7">
      <c r="A102" s="10">
        <v>97</v>
      </c>
      <c r="B102" s="10" t="s">
        <v>459</v>
      </c>
      <c r="C102" s="10" t="s">
        <v>460</v>
      </c>
      <c r="D102" s="10">
        <v>1999</v>
      </c>
      <c r="E102" s="10" t="s">
        <v>461</v>
      </c>
      <c r="F102" s="10" t="s">
        <v>263</v>
      </c>
    </row>
    <row r="103" spans="1:7" ht="28.5">
      <c r="A103" s="9">
        <v>98</v>
      </c>
      <c r="B103" s="10" t="s">
        <v>212</v>
      </c>
      <c r="C103" s="11" t="s">
        <v>213</v>
      </c>
      <c r="D103" s="10">
        <v>1995</v>
      </c>
      <c r="E103" s="10" t="s">
        <v>214</v>
      </c>
      <c r="F103" s="10" t="s">
        <v>415</v>
      </c>
      <c r="G103" s="10" t="s">
        <v>215</v>
      </c>
    </row>
    <row r="104" spans="1:7" ht="28.5">
      <c r="A104" s="10">
        <v>99</v>
      </c>
      <c r="B104" s="11" t="s">
        <v>663</v>
      </c>
      <c r="C104" s="11" t="s">
        <v>664</v>
      </c>
      <c r="D104" s="10">
        <v>2009</v>
      </c>
      <c r="E104" s="10" t="s">
        <v>665</v>
      </c>
      <c r="F104" s="10" t="s">
        <v>666</v>
      </c>
      <c r="G104" s="10" t="s">
        <v>667</v>
      </c>
    </row>
    <row r="105" spans="1:7" ht="28.5">
      <c r="A105" s="10">
        <v>100</v>
      </c>
      <c r="B105" s="10" t="s">
        <v>11</v>
      </c>
      <c r="C105" s="11" t="s">
        <v>12</v>
      </c>
      <c r="D105" s="10">
        <v>1984</v>
      </c>
      <c r="E105" s="10" t="s">
        <v>7</v>
      </c>
      <c r="F105" s="10" t="s">
        <v>8</v>
      </c>
      <c r="G105" s="11" t="s">
        <v>13</v>
      </c>
    </row>
    <row r="106" spans="1:7" ht="42.75">
      <c r="A106" s="10">
        <v>101</v>
      </c>
      <c r="B106" s="10" t="s">
        <v>433</v>
      </c>
      <c r="C106" s="10" t="s">
        <v>434</v>
      </c>
      <c r="D106" s="10">
        <v>1976</v>
      </c>
      <c r="E106" s="10" t="s">
        <v>262</v>
      </c>
      <c r="F106" s="10" t="s">
        <v>8</v>
      </c>
      <c r="G106" s="11" t="s">
        <v>435</v>
      </c>
    </row>
    <row r="107" spans="1:7">
      <c r="A107" s="10">
        <v>102</v>
      </c>
      <c r="B107" s="10" t="s">
        <v>286</v>
      </c>
      <c r="C107" s="10" t="s">
        <v>287</v>
      </c>
      <c r="D107" s="10">
        <v>1984</v>
      </c>
      <c r="E107" s="10" t="s">
        <v>288</v>
      </c>
      <c r="F107" s="10" t="s">
        <v>289</v>
      </c>
      <c r="G107" s="10" t="s">
        <v>291</v>
      </c>
    </row>
    <row r="108" spans="1:7">
      <c r="A108" s="10">
        <v>103</v>
      </c>
      <c r="B108" s="10" t="s">
        <v>321</v>
      </c>
      <c r="C108" s="10" t="s">
        <v>322</v>
      </c>
      <c r="D108" s="10">
        <v>2004</v>
      </c>
      <c r="E108" s="10" t="s">
        <v>31</v>
      </c>
      <c r="F108" s="10" t="s">
        <v>267</v>
      </c>
      <c r="G108" s="10" t="s">
        <v>323</v>
      </c>
    </row>
    <row r="109" spans="1:7" ht="28.5">
      <c r="A109" s="10">
        <v>104</v>
      </c>
      <c r="B109" s="11" t="s">
        <v>9</v>
      </c>
      <c r="C109" s="11" t="s">
        <v>6</v>
      </c>
      <c r="D109" s="10">
        <v>1985</v>
      </c>
      <c r="E109" s="10" t="s">
        <v>7</v>
      </c>
      <c r="F109" s="10" t="s">
        <v>8</v>
      </c>
      <c r="G109" s="10" t="s">
        <v>10</v>
      </c>
    </row>
    <row r="110" spans="1:7" ht="42.75">
      <c r="A110" s="10">
        <v>105</v>
      </c>
      <c r="B110" s="11" t="s">
        <v>280</v>
      </c>
      <c r="C110" s="10" t="s">
        <v>281</v>
      </c>
      <c r="D110" s="10">
        <v>1992</v>
      </c>
      <c r="E110" s="11" t="s">
        <v>282</v>
      </c>
      <c r="F110" s="10" t="s">
        <v>283</v>
      </c>
      <c r="G110" s="10" t="s">
        <v>284</v>
      </c>
    </row>
    <row r="111" spans="1:7" ht="71.25">
      <c r="A111" s="10">
        <v>106</v>
      </c>
      <c r="B111" s="10" t="s">
        <v>384</v>
      </c>
      <c r="C111" s="10" t="s">
        <v>385</v>
      </c>
      <c r="D111" s="10">
        <v>1996</v>
      </c>
      <c r="E111" s="10" t="s">
        <v>262</v>
      </c>
      <c r="F111" s="10" t="s">
        <v>263</v>
      </c>
      <c r="G111" s="11" t="s">
        <v>386</v>
      </c>
    </row>
    <row r="112" spans="1:7">
      <c r="A112" s="9">
        <v>107</v>
      </c>
      <c r="B112" s="10" t="s">
        <v>229</v>
      </c>
      <c r="C112" s="10" t="s">
        <v>230</v>
      </c>
      <c r="D112" s="10">
        <v>1978</v>
      </c>
      <c r="E112" s="10" t="s">
        <v>231</v>
      </c>
      <c r="F112" s="10" t="s">
        <v>8</v>
      </c>
      <c r="G112" s="10" t="s">
        <v>232</v>
      </c>
    </row>
    <row r="113" spans="1:7" ht="28.5">
      <c r="A113" s="10">
        <v>108</v>
      </c>
      <c r="B113" s="10" t="s">
        <v>396</v>
      </c>
      <c r="C113" s="10" t="s">
        <v>397</v>
      </c>
      <c r="D113" s="10">
        <v>1979</v>
      </c>
      <c r="E113" s="10" t="s">
        <v>398</v>
      </c>
      <c r="F113" s="10" t="s">
        <v>399</v>
      </c>
      <c r="G113" s="11" t="s">
        <v>400</v>
      </c>
    </row>
    <row r="114" spans="1:7" ht="28.5">
      <c r="A114" s="10">
        <v>109</v>
      </c>
      <c r="B114" s="11" t="s">
        <v>541</v>
      </c>
      <c r="C114" s="10" t="s">
        <v>542</v>
      </c>
      <c r="D114" s="10">
        <v>2006</v>
      </c>
      <c r="E114" s="10" t="s">
        <v>543</v>
      </c>
      <c r="F114" s="10" t="s">
        <v>544</v>
      </c>
      <c r="G114" s="10" t="s">
        <v>545</v>
      </c>
    </row>
    <row r="115" spans="1:7" ht="28.5">
      <c r="A115" s="9">
        <v>110</v>
      </c>
      <c r="B115" s="10" t="s">
        <v>216</v>
      </c>
      <c r="C115" s="10" t="s">
        <v>217</v>
      </c>
      <c r="D115" s="10">
        <v>2007</v>
      </c>
      <c r="E115" s="11" t="s">
        <v>218</v>
      </c>
      <c r="F115" s="10" t="s">
        <v>219</v>
      </c>
      <c r="G115" s="11" t="s">
        <v>220</v>
      </c>
    </row>
    <row r="116" spans="1:7">
      <c r="A116" s="10">
        <v>111</v>
      </c>
      <c r="B116" s="10" t="s">
        <v>548</v>
      </c>
      <c r="C116" s="10" t="s">
        <v>549</v>
      </c>
      <c r="D116" s="10">
        <v>1987</v>
      </c>
      <c r="E116" s="10" t="s">
        <v>262</v>
      </c>
      <c r="F116" s="10" t="s">
        <v>263</v>
      </c>
      <c r="G116" s="10" t="s">
        <v>550</v>
      </c>
    </row>
    <row r="117" spans="1:7">
      <c r="A117" s="9">
        <v>112</v>
      </c>
      <c r="B117" s="10" t="s">
        <v>29</v>
      </c>
      <c r="C117" s="10" t="s">
        <v>30</v>
      </c>
      <c r="D117" s="10">
        <v>1984</v>
      </c>
      <c r="E117" s="10" t="s">
        <v>31</v>
      </c>
      <c r="F117" s="11" t="s">
        <v>32</v>
      </c>
      <c r="G117" s="10" t="s">
        <v>202</v>
      </c>
    </row>
    <row r="118" spans="1:7" ht="28.5">
      <c r="A118" s="10">
        <v>113</v>
      </c>
      <c r="B118" s="10" t="s">
        <v>424</v>
      </c>
      <c r="C118" s="11" t="s">
        <v>425</v>
      </c>
      <c r="D118" s="10">
        <v>1980</v>
      </c>
      <c r="E118" s="11" t="s">
        <v>426</v>
      </c>
      <c r="F118" s="10" t="s">
        <v>427</v>
      </c>
      <c r="G118" s="11" t="s">
        <v>681</v>
      </c>
    </row>
    <row r="119" spans="1:7">
      <c r="A119" s="10">
        <v>114</v>
      </c>
      <c r="B119" s="10" t="s">
        <v>619</v>
      </c>
      <c r="C119" s="10" t="s">
        <v>620</v>
      </c>
      <c r="D119" s="10">
        <v>1987</v>
      </c>
      <c r="E119" s="10" t="s">
        <v>621</v>
      </c>
      <c r="F119" s="10" t="s">
        <v>622</v>
      </c>
      <c r="G119" s="10" t="s">
        <v>623</v>
      </c>
    </row>
    <row r="120" spans="1:7" ht="42.75">
      <c r="A120" s="10">
        <v>115</v>
      </c>
      <c r="B120" s="10" t="s">
        <v>624</v>
      </c>
      <c r="C120" s="10" t="s">
        <v>620</v>
      </c>
      <c r="D120" s="10">
        <v>1987</v>
      </c>
      <c r="E120" s="10" t="s">
        <v>621</v>
      </c>
      <c r="F120" s="10" t="s">
        <v>622</v>
      </c>
      <c r="G120" s="11" t="s">
        <v>626</v>
      </c>
    </row>
    <row r="121" spans="1:7">
      <c r="A121" s="10">
        <v>116</v>
      </c>
      <c r="B121" s="10" t="s">
        <v>625</v>
      </c>
      <c r="C121" s="10" t="s">
        <v>620</v>
      </c>
      <c r="D121" s="10">
        <v>1987</v>
      </c>
      <c r="E121" s="10" t="s">
        <v>621</v>
      </c>
      <c r="F121" s="10" t="s">
        <v>622</v>
      </c>
      <c r="G121" s="11" t="s">
        <v>627</v>
      </c>
    </row>
    <row r="122" spans="1:7" ht="28.5">
      <c r="A122" s="10">
        <v>117</v>
      </c>
      <c r="B122" s="11" t="s">
        <v>330</v>
      </c>
      <c r="C122" s="10" t="s">
        <v>331</v>
      </c>
      <c r="D122" s="10">
        <v>1998</v>
      </c>
      <c r="E122" s="10" t="s">
        <v>31</v>
      </c>
      <c r="F122" s="10" t="s">
        <v>267</v>
      </c>
      <c r="G122" s="10" t="s">
        <v>332</v>
      </c>
    </row>
    <row r="123" spans="1:7" ht="42.75">
      <c r="A123" s="10">
        <v>118</v>
      </c>
      <c r="B123" s="10" t="s">
        <v>605</v>
      </c>
      <c r="C123" s="10" t="s">
        <v>606</v>
      </c>
      <c r="D123" s="10">
        <v>1978</v>
      </c>
      <c r="E123" s="11" t="s">
        <v>607</v>
      </c>
      <c r="F123" s="10" t="s">
        <v>263</v>
      </c>
      <c r="G123" s="11" t="s">
        <v>608</v>
      </c>
    </row>
    <row r="124" spans="1:7" ht="28.5">
      <c r="A124" s="10">
        <v>119</v>
      </c>
      <c r="B124" s="11" t="s">
        <v>360</v>
      </c>
      <c r="C124" s="10" t="s">
        <v>361</v>
      </c>
      <c r="D124" s="10">
        <v>1995</v>
      </c>
      <c r="E124" s="10" t="s">
        <v>31</v>
      </c>
      <c r="F124" s="10" t="s">
        <v>267</v>
      </c>
      <c r="G124" s="11" t="s">
        <v>362</v>
      </c>
    </row>
    <row r="125" spans="1:7" ht="42.75">
      <c r="A125" s="10">
        <v>120</v>
      </c>
      <c r="B125" s="10" t="s">
        <v>109</v>
      </c>
      <c r="C125" s="10" t="s">
        <v>468</v>
      </c>
      <c r="D125" s="10">
        <v>2003</v>
      </c>
      <c r="E125" s="11" t="s">
        <v>686</v>
      </c>
      <c r="F125" s="10" t="s">
        <v>687</v>
      </c>
      <c r="G125" s="10" t="s">
        <v>737</v>
      </c>
    </row>
    <row r="126" spans="1:7">
      <c r="A126" s="10">
        <v>121</v>
      </c>
      <c r="B126" s="10" t="s">
        <v>381</v>
      </c>
      <c r="C126" s="10" t="s">
        <v>382</v>
      </c>
      <c r="D126" s="10">
        <v>1987</v>
      </c>
      <c r="E126" s="10" t="s">
        <v>383</v>
      </c>
      <c r="F126" s="10" t="s">
        <v>263</v>
      </c>
      <c r="G126" s="10" t="s">
        <v>4685</v>
      </c>
    </row>
    <row r="127" spans="1:7">
      <c r="A127" s="10">
        <v>122</v>
      </c>
      <c r="B127" s="10" t="s">
        <v>745</v>
      </c>
      <c r="C127" s="10" t="s">
        <v>746</v>
      </c>
      <c r="D127" s="10">
        <v>1987</v>
      </c>
      <c r="E127" s="10" t="s">
        <v>747</v>
      </c>
      <c r="F127" s="10" t="s">
        <v>748</v>
      </c>
      <c r="G127" s="10">
        <v>28</v>
      </c>
    </row>
    <row r="128" spans="1:7">
      <c r="A128" s="9">
        <v>123</v>
      </c>
      <c r="B128" s="10" t="s">
        <v>265</v>
      </c>
      <c r="C128" s="10" t="s">
        <v>266</v>
      </c>
      <c r="D128" s="10">
        <v>2001</v>
      </c>
      <c r="E128" s="10" t="s">
        <v>31</v>
      </c>
      <c r="F128" s="10" t="s">
        <v>267</v>
      </c>
    </row>
    <row r="129" spans="1:7">
      <c r="A129" s="10">
        <v>124</v>
      </c>
      <c r="B129" s="10" t="s">
        <v>717</v>
      </c>
      <c r="C129" s="10" t="s">
        <v>718</v>
      </c>
      <c r="D129" s="10">
        <v>1998</v>
      </c>
      <c r="E129" s="10" t="s">
        <v>719</v>
      </c>
      <c r="F129" s="10" t="s">
        <v>576</v>
      </c>
      <c r="G129" s="10" t="s">
        <v>720</v>
      </c>
    </row>
    <row r="130" spans="1:7" ht="42.75">
      <c r="A130" s="10">
        <v>125</v>
      </c>
      <c r="B130" s="10" t="s">
        <v>708</v>
      </c>
      <c r="C130" s="10" t="s">
        <v>709</v>
      </c>
      <c r="D130" s="10">
        <v>1992</v>
      </c>
      <c r="E130" s="11" t="s">
        <v>710</v>
      </c>
      <c r="F130" s="10" t="s">
        <v>283</v>
      </c>
      <c r="G130" s="11" t="s">
        <v>711</v>
      </c>
    </row>
    <row r="131" spans="1:7">
      <c r="A131" s="10">
        <v>126</v>
      </c>
      <c r="B131" s="10" t="s">
        <v>324</v>
      </c>
      <c r="C131" s="10" t="s">
        <v>325</v>
      </c>
      <c r="D131" s="10">
        <v>1995</v>
      </c>
      <c r="E131" s="10" t="s">
        <v>31</v>
      </c>
      <c r="F131" s="10" t="s">
        <v>267</v>
      </c>
      <c r="G131" s="10" t="s">
        <v>326</v>
      </c>
    </row>
    <row r="132" spans="1:7">
      <c r="A132" s="10">
        <v>127</v>
      </c>
      <c r="B132" s="10" t="s">
        <v>401</v>
      </c>
      <c r="C132" s="10" t="s">
        <v>402</v>
      </c>
      <c r="D132" s="10">
        <v>1996</v>
      </c>
      <c r="E132" s="10" t="s">
        <v>403</v>
      </c>
      <c r="F132" s="10" t="s">
        <v>404</v>
      </c>
      <c r="G132" s="10" t="s">
        <v>405</v>
      </c>
    </row>
    <row r="133" spans="1:7">
      <c r="A133" s="10">
        <v>128</v>
      </c>
      <c r="B133" s="10" t="s">
        <v>590</v>
      </c>
      <c r="C133" s="10" t="s">
        <v>587</v>
      </c>
      <c r="D133" s="10">
        <v>1975</v>
      </c>
      <c r="E133" s="10" t="s">
        <v>591</v>
      </c>
      <c r="F133" s="10" t="s">
        <v>263</v>
      </c>
      <c r="G133" s="10">
        <v>2</v>
      </c>
    </row>
    <row r="134" spans="1:7">
      <c r="A134" s="10">
        <v>129</v>
      </c>
      <c r="B134" s="10" t="s">
        <v>724</v>
      </c>
      <c r="D134" s="10">
        <v>1988</v>
      </c>
      <c r="E134" s="10" t="s">
        <v>262</v>
      </c>
      <c r="F134" s="10" t="s">
        <v>263</v>
      </c>
      <c r="G134" s="10">
        <v>65</v>
      </c>
    </row>
    <row r="135" spans="1:7" ht="71.25">
      <c r="A135" s="10">
        <v>130</v>
      </c>
      <c r="B135" s="10" t="s">
        <v>353</v>
      </c>
      <c r="D135" s="10">
        <v>1995</v>
      </c>
      <c r="E135" s="10" t="s">
        <v>355</v>
      </c>
      <c r="F135" s="11" t="s">
        <v>354</v>
      </c>
      <c r="G135" s="11" t="s">
        <v>356</v>
      </c>
    </row>
    <row r="136" spans="1:7">
      <c r="A136" s="10">
        <v>131</v>
      </c>
      <c r="B136" s="10" t="s">
        <v>462</v>
      </c>
      <c r="C136" s="10" t="s">
        <v>463</v>
      </c>
      <c r="D136" s="10">
        <v>2007</v>
      </c>
      <c r="E136" s="10" t="s">
        <v>464</v>
      </c>
      <c r="F136" s="10" t="s">
        <v>465</v>
      </c>
      <c r="G136" s="10" t="s">
        <v>466</v>
      </c>
    </row>
    <row r="137" spans="1:7" ht="42.75">
      <c r="A137" s="10">
        <v>132</v>
      </c>
      <c r="B137" s="10" t="s">
        <v>573</v>
      </c>
      <c r="C137" s="11" t="s">
        <v>574</v>
      </c>
      <c r="D137" s="10">
        <v>1999</v>
      </c>
      <c r="E137" s="11" t="s">
        <v>575</v>
      </c>
      <c r="F137" s="10" t="s">
        <v>576</v>
      </c>
      <c r="G137" s="11" t="s">
        <v>577</v>
      </c>
    </row>
    <row r="138" spans="1:7" ht="28.5">
      <c r="A138" s="10">
        <v>133</v>
      </c>
      <c r="B138" s="10" t="s">
        <v>642</v>
      </c>
      <c r="C138" s="10" t="s">
        <v>637</v>
      </c>
      <c r="D138" s="10">
        <v>1985</v>
      </c>
      <c r="E138" s="10" t="s">
        <v>638</v>
      </c>
      <c r="F138" s="11" t="s">
        <v>640</v>
      </c>
      <c r="G138" s="10" t="s">
        <v>643</v>
      </c>
    </row>
    <row r="139" spans="1:7" ht="28.5">
      <c r="A139" s="10">
        <v>134</v>
      </c>
      <c r="B139" s="10" t="s">
        <v>639</v>
      </c>
      <c r="C139" s="10" t="s">
        <v>637</v>
      </c>
      <c r="D139" s="10">
        <v>1985</v>
      </c>
      <c r="E139" s="10" t="s">
        <v>638</v>
      </c>
      <c r="F139" s="11" t="s">
        <v>640</v>
      </c>
      <c r="G139" s="10" t="s">
        <v>641</v>
      </c>
    </row>
    <row r="140" spans="1:7" ht="28.5">
      <c r="A140" s="9">
        <v>135</v>
      </c>
      <c r="B140" s="10" t="s">
        <v>242</v>
      </c>
      <c r="C140" s="10" t="s">
        <v>238</v>
      </c>
      <c r="D140" s="10">
        <v>1988</v>
      </c>
      <c r="E140" s="11" t="s">
        <v>240</v>
      </c>
      <c r="F140" s="10" t="s">
        <v>239</v>
      </c>
      <c r="G140" s="10">
        <v>21</v>
      </c>
    </row>
    <row r="141" spans="1:7" ht="28.5">
      <c r="A141" s="9">
        <v>136</v>
      </c>
      <c r="B141" s="10" t="s">
        <v>243</v>
      </c>
      <c r="C141" s="10" t="s">
        <v>238</v>
      </c>
      <c r="D141" s="10">
        <v>1988</v>
      </c>
      <c r="E141" s="11" t="s">
        <v>240</v>
      </c>
      <c r="F141" s="10" t="s">
        <v>239</v>
      </c>
      <c r="G141" s="10" t="s">
        <v>390</v>
      </c>
    </row>
    <row r="142" spans="1:7" ht="28.5">
      <c r="A142" s="9">
        <v>137</v>
      </c>
      <c r="B142" s="10" t="s">
        <v>237</v>
      </c>
      <c r="C142" s="10" t="s">
        <v>238</v>
      </c>
      <c r="D142" s="10">
        <v>1988</v>
      </c>
      <c r="E142" s="11" t="s">
        <v>240</v>
      </c>
      <c r="F142" s="10" t="s">
        <v>239</v>
      </c>
      <c r="G142" s="10" t="s">
        <v>241</v>
      </c>
    </row>
    <row r="143" spans="1:7" ht="28.5">
      <c r="A143" s="10">
        <v>138</v>
      </c>
      <c r="B143" s="10" t="s">
        <v>301</v>
      </c>
      <c r="C143" s="10" t="s">
        <v>302</v>
      </c>
      <c r="D143" s="10">
        <v>2001</v>
      </c>
      <c r="E143" s="10" t="s">
        <v>303</v>
      </c>
      <c r="F143" s="10" t="s">
        <v>308</v>
      </c>
      <c r="G143" s="11" t="s">
        <v>304</v>
      </c>
    </row>
  </sheetData>
  <sortState xmlns:xlrd2="http://schemas.microsoft.com/office/spreadsheetml/2017/richdata2" ref="A2:H143">
    <sortCondition ref="B1:B143"/>
  </sortStat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79"/>
  <sheetViews>
    <sheetView zoomScale="80" zoomScaleNormal="80" workbookViewId="0">
      <pane ySplit="1" topLeftCell="A2" activePane="bottomLeft" state="frozen"/>
      <selection pane="bottomLeft" activeCell="B179" sqref="B179"/>
    </sheetView>
  </sheetViews>
  <sheetFormatPr defaultRowHeight="14.25"/>
  <cols>
    <col min="1" max="1" width="11.33203125" customWidth="1"/>
    <col min="2" max="2" width="18.59765625" customWidth="1"/>
    <col min="3" max="3" width="35" customWidth="1"/>
    <col min="4" max="4" width="21.1328125" customWidth="1"/>
    <col min="5" max="5" width="18.33203125" customWidth="1"/>
    <col min="6" max="6" width="9.1328125" customWidth="1"/>
    <col min="8" max="8" width="20" customWidth="1"/>
    <col min="9" max="9" width="55.265625" customWidth="1"/>
    <col min="10" max="10" width="22.3984375" customWidth="1"/>
    <col min="11" max="11" width="16.59765625" customWidth="1"/>
  </cols>
  <sheetData>
    <row r="1" spans="1:11" ht="28.5">
      <c r="A1" s="16" t="s">
        <v>444</v>
      </c>
      <c r="B1" s="5" t="s">
        <v>436</v>
      </c>
      <c r="C1" s="5" t="s">
        <v>437</v>
      </c>
      <c r="D1" s="4" t="s">
        <v>769</v>
      </c>
      <c r="E1" s="4" t="s">
        <v>768</v>
      </c>
      <c r="F1" s="5" t="s">
        <v>438</v>
      </c>
      <c r="G1" s="5" t="s">
        <v>439</v>
      </c>
      <c r="H1" s="4" t="s">
        <v>440</v>
      </c>
      <c r="I1" s="4" t="s">
        <v>441</v>
      </c>
      <c r="J1" s="4" t="s">
        <v>442</v>
      </c>
      <c r="K1" s="4" t="s">
        <v>443</v>
      </c>
    </row>
    <row r="2" spans="1:11">
      <c r="A2" t="s">
        <v>5568</v>
      </c>
      <c r="B2" t="s">
        <v>5569</v>
      </c>
      <c r="E2" s="66" t="s">
        <v>4854</v>
      </c>
    </row>
    <row r="3" spans="1:11" ht="28.5">
      <c r="A3" t="s">
        <v>5356</v>
      </c>
      <c r="B3" s="6" t="s">
        <v>5357</v>
      </c>
      <c r="E3" s="66" t="s">
        <v>416</v>
      </c>
    </row>
    <row r="4" spans="1:11">
      <c r="A4" t="s">
        <v>5712</v>
      </c>
      <c r="B4" t="s">
        <v>5712</v>
      </c>
      <c r="E4" s="66" t="s">
        <v>770</v>
      </c>
    </row>
    <row r="5" spans="1:11" ht="42.75">
      <c r="A5" t="s">
        <v>6350</v>
      </c>
      <c r="B5" t="s">
        <v>6351</v>
      </c>
      <c r="C5" s="6" t="s">
        <v>6352</v>
      </c>
      <c r="D5" t="s">
        <v>6353</v>
      </c>
      <c r="E5" s="66" t="s">
        <v>534</v>
      </c>
    </row>
    <row r="6" spans="1:11">
      <c r="A6" t="s">
        <v>127</v>
      </c>
      <c r="B6" t="s">
        <v>127</v>
      </c>
      <c r="C6" t="s">
        <v>180</v>
      </c>
      <c r="E6" t="s">
        <v>770</v>
      </c>
      <c r="I6" t="s">
        <v>4747</v>
      </c>
    </row>
    <row r="7" spans="1:11">
      <c r="A7" t="s">
        <v>6487</v>
      </c>
      <c r="B7" t="s">
        <v>6487</v>
      </c>
      <c r="C7" t="s">
        <v>6496</v>
      </c>
      <c r="E7" t="s">
        <v>534</v>
      </c>
    </row>
    <row r="8" spans="1:11">
      <c r="A8" t="s">
        <v>33</v>
      </c>
      <c r="B8" t="s">
        <v>33</v>
      </c>
      <c r="C8" t="s">
        <v>64</v>
      </c>
    </row>
    <row r="9" spans="1:11">
      <c r="A9" t="s">
        <v>128</v>
      </c>
      <c r="B9" t="s">
        <v>129</v>
      </c>
      <c r="C9" t="s">
        <v>181</v>
      </c>
    </row>
    <row r="10" spans="1:11">
      <c r="A10" t="s">
        <v>1012</v>
      </c>
      <c r="B10" t="s">
        <v>1013</v>
      </c>
      <c r="C10" t="s">
        <v>1014</v>
      </c>
    </row>
    <row r="11" spans="1:11" ht="14.65" customHeight="1">
      <c r="A11" t="s">
        <v>52</v>
      </c>
      <c r="B11" t="s">
        <v>5409</v>
      </c>
      <c r="C11" s="66" t="s">
        <v>5410</v>
      </c>
      <c r="D11" s="66" t="s">
        <v>5411</v>
      </c>
    </row>
    <row r="12" spans="1:11" ht="16.149999999999999" customHeight="1">
      <c r="A12" t="s">
        <v>130</v>
      </c>
      <c r="B12" t="s">
        <v>131</v>
      </c>
      <c r="C12" t="s">
        <v>131</v>
      </c>
    </row>
    <row r="13" spans="1:11">
      <c r="A13" t="s">
        <v>6545</v>
      </c>
      <c r="B13" t="s">
        <v>6545</v>
      </c>
      <c r="C13" s="66" t="s">
        <v>6546</v>
      </c>
      <c r="E13" s="66" t="s">
        <v>534</v>
      </c>
    </row>
    <row r="14" spans="1:11">
      <c r="A14" t="s">
        <v>52</v>
      </c>
      <c r="B14" t="s">
        <v>2896</v>
      </c>
      <c r="C14" t="s">
        <v>2897</v>
      </c>
      <c r="D14" t="s">
        <v>2898</v>
      </c>
      <c r="E14" t="s">
        <v>2899</v>
      </c>
      <c r="F14">
        <v>1919</v>
      </c>
      <c r="G14">
        <v>1980</v>
      </c>
      <c r="H14" t="s">
        <v>2897</v>
      </c>
      <c r="I14" t="s">
        <v>2900</v>
      </c>
      <c r="J14" t="s">
        <v>2901</v>
      </c>
      <c r="K14">
        <v>48</v>
      </c>
    </row>
    <row r="15" spans="1:11">
      <c r="A15" t="s">
        <v>52</v>
      </c>
      <c r="B15" t="s">
        <v>36</v>
      </c>
      <c r="C15" t="s">
        <v>37</v>
      </c>
    </row>
    <row r="16" spans="1:11" ht="28.5">
      <c r="A16" s="58" t="s">
        <v>2962</v>
      </c>
      <c r="B16" s="58" t="s">
        <v>2962</v>
      </c>
      <c r="E16" t="s">
        <v>308</v>
      </c>
    </row>
    <row r="17" spans="1:11">
      <c r="A17" t="s">
        <v>134</v>
      </c>
      <c r="B17" t="s">
        <v>132</v>
      </c>
      <c r="C17" t="s">
        <v>133</v>
      </c>
    </row>
    <row r="18" spans="1:11">
      <c r="A18" t="s">
        <v>38</v>
      </c>
      <c r="B18" t="s">
        <v>39</v>
      </c>
      <c r="C18" t="s">
        <v>39</v>
      </c>
    </row>
    <row r="19" spans="1:11">
      <c r="A19" t="s">
        <v>40</v>
      </c>
      <c r="B19" t="s">
        <v>135</v>
      </c>
      <c r="C19" t="s">
        <v>57</v>
      </c>
      <c r="D19" s="6"/>
      <c r="E19" s="6"/>
    </row>
    <row r="20" spans="1:11" ht="42.75">
      <c r="A20" t="s">
        <v>4413</v>
      </c>
      <c r="B20" t="s">
        <v>4413</v>
      </c>
      <c r="C20" s="70" t="s">
        <v>4416</v>
      </c>
      <c r="D20" s="72" t="s">
        <v>4418</v>
      </c>
      <c r="E20" s="71" t="s">
        <v>416</v>
      </c>
      <c r="F20" s="71">
        <v>1926</v>
      </c>
      <c r="G20" s="71" t="s">
        <v>4414</v>
      </c>
      <c r="H20" s="71"/>
      <c r="I20" s="70" t="s">
        <v>4415</v>
      </c>
      <c r="J20" s="70" t="s">
        <v>4417</v>
      </c>
      <c r="K20" s="71"/>
    </row>
    <row r="21" spans="1:11">
      <c r="A21" t="s">
        <v>34</v>
      </c>
      <c r="B21" t="s">
        <v>34</v>
      </c>
      <c r="C21" t="s">
        <v>35</v>
      </c>
    </row>
    <row r="22" spans="1:11">
      <c r="A22" t="s">
        <v>41</v>
      </c>
      <c r="B22" t="s">
        <v>59</v>
      </c>
      <c r="C22" t="s">
        <v>42</v>
      </c>
    </row>
    <row r="23" spans="1:11">
      <c r="A23" t="s">
        <v>4350</v>
      </c>
      <c r="B23" t="s">
        <v>4349</v>
      </c>
    </row>
    <row r="24" spans="1:11">
      <c r="A24" t="s">
        <v>3353</v>
      </c>
      <c r="B24" t="s">
        <v>3353</v>
      </c>
      <c r="C24" s="61" t="s">
        <v>3355</v>
      </c>
      <c r="E24" t="s">
        <v>2598</v>
      </c>
      <c r="F24">
        <v>1959</v>
      </c>
      <c r="G24">
        <v>1970</v>
      </c>
    </row>
    <row r="25" spans="1:11">
      <c r="A25" t="s">
        <v>820</v>
      </c>
      <c r="B25" t="s">
        <v>819</v>
      </c>
    </row>
    <row r="26" spans="1:11">
      <c r="A26" t="s">
        <v>6136</v>
      </c>
      <c r="B26" t="s">
        <v>6136</v>
      </c>
      <c r="C26" s="66" t="s">
        <v>6137</v>
      </c>
      <c r="D26" s="66" t="s">
        <v>6140</v>
      </c>
      <c r="E26" s="66" t="s">
        <v>308</v>
      </c>
      <c r="F26">
        <v>1920</v>
      </c>
      <c r="G26">
        <v>1964</v>
      </c>
      <c r="H26" s="92" t="s">
        <v>6139</v>
      </c>
      <c r="I26" t="s">
        <v>6141</v>
      </c>
      <c r="J26" t="s">
        <v>6138</v>
      </c>
    </row>
    <row r="27" spans="1:11" ht="28.5">
      <c r="A27" t="s">
        <v>4362</v>
      </c>
      <c r="B27" t="s">
        <v>4362</v>
      </c>
      <c r="C27" s="53" t="s">
        <v>4363</v>
      </c>
      <c r="D27" s="52" t="s">
        <v>4364</v>
      </c>
      <c r="E27" s="66" t="s">
        <v>227</v>
      </c>
    </row>
    <row r="28" spans="1:11" ht="28.5">
      <c r="A28" s="6" t="s">
        <v>6125</v>
      </c>
      <c r="B28" t="s">
        <v>6126</v>
      </c>
      <c r="C28" s="66" t="s">
        <v>6127</v>
      </c>
      <c r="D28" t="s">
        <v>6128</v>
      </c>
      <c r="E28" s="66" t="s">
        <v>534</v>
      </c>
      <c r="F28">
        <v>1920</v>
      </c>
      <c r="G28">
        <v>1950</v>
      </c>
      <c r="H28" t="s">
        <v>6126</v>
      </c>
      <c r="J28" s="91" t="s">
        <v>6129</v>
      </c>
    </row>
    <row r="29" spans="1:11" ht="93.75">
      <c r="A29" s="1" t="s">
        <v>136</v>
      </c>
      <c r="B29" s="1" t="s">
        <v>136</v>
      </c>
      <c r="C29" s="1" t="s">
        <v>271</v>
      </c>
      <c r="D29" s="13" t="s">
        <v>273</v>
      </c>
      <c r="E29" s="13"/>
      <c r="F29" s="1" t="s">
        <v>272</v>
      </c>
      <c r="H29" s="14" t="s">
        <v>275</v>
      </c>
      <c r="I29" s="12" t="s">
        <v>274</v>
      </c>
    </row>
    <row r="30" spans="1:11">
      <c r="A30" t="s">
        <v>1288</v>
      </c>
      <c r="B30" t="s">
        <v>1288</v>
      </c>
    </row>
    <row r="31" spans="1:11" ht="28.5">
      <c r="A31" t="s">
        <v>3795</v>
      </c>
      <c r="B31" t="s">
        <v>3796</v>
      </c>
      <c r="C31" t="s">
        <v>3797</v>
      </c>
      <c r="D31" s="6" t="s">
        <v>3798</v>
      </c>
      <c r="E31" t="s">
        <v>770</v>
      </c>
    </row>
    <row r="32" spans="1:11">
      <c r="A32" t="s">
        <v>185</v>
      </c>
      <c r="B32" t="s">
        <v>186</v>
      </c>
      <c r="C32" t="s">
        <v>187</v>
      </c>
    </row>
    <row r="33" spans="1:10">
      <c r="A33" t="s">
        <v>43</v>
      </c>
      <c r="B33" t="s">
        <v>43</v>
      </c>
      <c r="C33" t="s">
        <v>44</v>
      </c>
    </row>
    <row r="34" spans="1:10">
      <c r="A34" t="s">
        <v>45</v>
      </c>
      <c r="B34" t="s">
        <v>60</v>
      </c>
      <c r="C34" t="s">
        <v>46</v>
      </c>
    </row>
    <row r="35" spans="1:10">
      <c r="A35" t="s">
        <v>138</v>
      </c>
      <c r="B35" t="s">
        <v>138</v>
      </c>
      <c r="C35" t="s">
        <v>139</v>
      </c>
    </row>
    <row r="36" spans="1:10">
      <c r="A36" t="s">
        <v>5748</v>
      </c>
      <c r="B36" t="s">
        <v>5748</v>
      </c>
      <c r="E36" s="66" t="s">
        <v>2529</v>
      </c>
      <c r="F36">
        <v>1953</v>
      </c>
      <c r="J36" s="81" t="s">
        <v>5749</v>
      </c>
    </row>
    <row r="37" spans="1:10">
      <c r="A37" t="s">
        <v>141</v>
      </c>
      <c r="B37" t="s">
        <v>140</v>
      </c>
      <c r="C37" t="s">
        <v>142</v>
      </c>
    </row>
    <row r="38" spans="1:10">
      <c r="A38" t="s">
        <v>775</v>
      </c>
      <c r="B38" t="s">
        <v>775</v>
      </c>
      <c r="D38" t="s">
        <v>776</v>
      </c>
      <c r="E38" t="s">
        <v>730</v>
      </c>
      <c r="F38">
        <v>1963</v>
      </c>
      <c r="G38">
        <v>1985</v>
      </c>
    </row>
    <row r="39" spans="1:10">
      <c r="A39" t="s">
        <v>2037</v>
      </c>
      <c r="B39" t="s">
        <v>1236</v>
      </c>
      <c r="C39" t="s">
        <v>107</v>
      </c>
      <c r="I39" t="s">
        <v>2038</v>
      </c>
    </row>
    <row r="40" spans="1:10">
      <c r="A40" t="s">
        <v>47</v>
      </c>
      <c r="B40" t="s">
        <v>47</v>
      </c>
      <c r="C40" t="s">
        <v>48</v>
      </c>
    </row>
    <row r="41" spans="1:10">
      <c r="A41" t="s">
        <v>143</v>
      </c>
      <c r="B41" t="s">
        <v>143</v>
      </c>
    </row>
    <row r="42" spans="1:10" ht="85.5">
      <c r="A42" t="s">
        <v>2834</v>
      </c>
      <c r="B42" t="s">
        <v>2835</v>
      </c>
      <c r="C42" t="s">
        <v>2835</v>
      </c>
      <c r="I42" s="6" t="s">
        <v>4718</v>
      </c>
    </row>
    <row r="43" spans="1:10">
      <c r="A43" t="s">
        <v>49</v>
      </c>
      <c r="B43" t="s">
        <v>61</v>
      </c>
      <c r="C43" t="s">
        <v>50</v>
      </c>
    </row>
    <row r="44" spans="1:10">
      <c r="B44" t="s">
        <v>3201</v>
      </c>
      <c r="C44" t="s">
        <v>3202</v>
      </c>
      <c r="E44" t="s">
        <v>416</v>
      </c>
    </row>
    <row r="45" spans="1:10">
      <c r="A45" t="s">
        <v>111</v>
      </c>
      <c r="B45" t="s">
        <v>112</v>
      </c>
      <c r="C45" t="s">
        <v>113</v>
      </c>
    </row>
    <row r="46" spans="1:10" ht="28.5">
      <c r="A46" s="6" t="s">
        <v>2483</v>
      </c>
      <c r="B46" t="s">
        <v>2484</v>
      </c>
      <c r="C46" t="s">
        <v>2485</v>
      </c>
      <c r="E46" t="s">
        <v>770</v>
      </c>
    </row>
    <row r="47" spans="1:10">
      <c r="A47" t="s">
        <v>51</v>
      </c>
      <c r="B47" t="s">
        <v>51</v>
      </c>
      <c r="C47" t="s">
        <v>53</v>
      </c>
    </row>
    <row r="48" spans="1:10">
      <c r="A48" t="s">
        <v>54</v>
      </c>
      <c r="B48" t="s">
        <v>77</v>
      </c>
      <c r="C48" t="s">
        <v>55</v>
      </c>
    </row>
    <row r="49" spans="1:9">
      <c r="A49" t="s">
        <v>158</v>
      </c>
      <c r="B49" t="s">
        <v>158</v>
      </c>
      <c r="C49" t="s">
        <v>5231</v>
      </c>
    </row>
    <row r="50" spans="1:9">
      <c r="A50" t="s">
        <v>56</v>
      </c>
      <c r="B50" t="s">
        <v>56</v>
      </c>
      <c r="C50" t="s">
        <v>58</v>
      </c>
    </row>
    <row r="51" spans="1:9">
      <c r="A51" t="s">
        <v>145</v>
      </c>
      <c r="B51" t="s">
        <v>145</v>
      </c>
      <c r="C51" t="s">
        <v>146</v>
      </c>
    </row>
    <row r="52" spans="1:9">
      <c r="A52" t="s">
        <v>62</v>
      </c>
      <c r="B52" t="s">
        <v>62</v>
      </c>
      <c r="C52" t="s">
        <v>63</v>
      </c>
    </row>
    <row r="53" spans="1:9" ht="57">
      <c r="A53" t="s">
        <v>6131</v>
      </c>
      <c r="B53" t="s">
        <v>6130</v>
      </c>
      <c r="C53" t="s">
        <v>6132</v>
      </c>
      <c r="D53" t="s">
        <v>6133</v>
      </c>
      <c r="E53" s="66" t="s">
        <v>534</v>
      </c>
      <c r="I53" s="6" t="s">
        <v>6134</v>
      </c>
    </row>
    <row r="54" spans="1:9" ht="28.5">
      <c r="A54" s="6" t="s">
        <v>4402</v>
      </c>
      <c r="B54" t="s">
        <v>4402</v>
      </c>
      <c r="C54" t="s">
        <v>4402</v>
      </c>
      <c r="D54" t="s">
        <v>4403</v>
      </c>
      <c r="E54" s="67"/>
      <c r="F54">
        <v>1946</v>
      </c>
    </row>
    <row r="55" spans="1:9">
      <c r="A55" t="s">
        <v>2921</v>
      </c>
      <c r="B55" t="s">
        <v>2922</v>
      </c>
      <c r="C55" t="s">
        <v>2923</v>
      </c>
      <c r="D55" t="s">
        <v>2924</v>
      </c>
      <c r="E55" t="s">
        <v>416</v>
      </c>
    </row>
    <row r="56" spans="1:9">
      <c r="A56" t="s">
        <v>65</v>
      </c>
      <c r="B56" t="s">
        <v>66</v>
      </c>
      <c r="C56" t="s">
        <v>67</v>
      </c>
    </row>
    <row r="57" spans="1:9">
      <c r="A57" t="s">
        <v>2497</v>
      </c>
      <c r="B57" t="s">
        <v>2497</v>
      </c>
      <c r="C57" t="s">
        <v>2497</v>
      </c>
      <c r="D57" t="s">
        <v>2499</v>
      </c>
      <c r="E57" t="s">
        <v>2498</v>
      </c>
    </row>
    <row r="58" spans="1:9">
      <c r="A58" t="s">
        <v>1335</v>
      </c>
      <c r="B58" t="s">
        <v>1335</v>
      </c>
    </row>
    <row r="59" spans="1:9">
      <c r="A59" t="s">
        <v>68</v>
      </c>
      <c r="B59" t="s">
        <v>69</v>
      </c>
      <c r="C59" t="s">
        <v>70</v>
      </c>
    </row>
    <row r="60" spans="1:9">
      <c r="A60" t="s">
        <v>270</v>
      </c>
      <c r="B60" t="s">
        <v>126</v>
      </c>
    </row>
    <row r="61" spans="1:9" ht="57">
      <c r="A61" s="6" t="s">
        <v>3459</v>
      </c>
      <c r="B61" t="s">
        <v>3328</v>
      </c>
      <c r="C61" t="s">
        <v>3458</v>
      </c>
      <c r="D61" s="6" t="s">
        <v>3329</v>
      </c>
      <c r="E61" t="s">
        <v>2498</v>
      </c>
    </row>
    <row r="62" spans="1:9">
      <c r="A62" t="s">
        <v>1166</v>
      </c>
      <c r="B62" t="s">
        <v>1166</v>
      </c>
      <c r="C62" t="s">
        <v>1167</v>
      </c>
    </row>
    <row r="63" spans="1:9">
      <c r="A63" t="s">
        <v>5062</v>
      </c>
      <c r="B63" t="s">
        <v>5063</v>
      </c>
      <c r="C63" s="66" t="s">
        <v>5064</v>
      </c>
      <c r="E63" s="66" t="s">
        <v>770</v>
      </c>
    </row>
    <row r="64" spans="1:9">
      <c r="A64" t="s">
        <v>73</v>
      </c>
      <c r="B64" t="s">
        <v>148</v>
      </c>
      <c r="C64" t="s">
        <v>74</v>
      </c>
    </row>
    <row r="65" spans="1:9">
      <c r="A65" t="s">
        <v>4491</v>
      </c>
      <c r="B65" t="s">
        <v>4492</v>
      </c>
      <c r="C65" s="66" t="s">
        <v>4492</v>
      </c>
      <c r="E65" t="s">
        <v>3427</v>
      </c>
    </row>
    <row r="66" spans="1:9">
      <c r="A66" t="s">
        <v>149</v>
      </c>
      <c r="B66" t="s">
        <v>150</v>
      </c>
      <c r="C66" t="s">
        <v>151</v>
      </c>
    </row>
    <row r="67" spans="1:9">
      <c r="A67" t="s">
        <v>71</v>
      </c>
      <c r="B67" t="s">
        <v>72</v>
      </c>
      <c r="C67" t="s">
        <v>72</v>
      </c>
    </row>
    <row r="68" spans="1:9">
      <c r="A68" t="s">
        <v>122</v>
      </c>
      <c r="B68" t="s">
        <v>122</v>
      </c>
      <c r="C68" t="s">
        <v>123</v>
      </c>
    </row>
    <row r="69" spans="1:9">
      <c r="A69" t="s">
        <v>75</v>
      </c>
      <c r="B69" t="s">
        <v>75</v>
      </c>
      <c r="C69" t="s">
        <v>76</v>
      </c>
    </row>
    <row r="70" spans="1:9" ht="28.5">
      <c r="A70" s="11" t="s">
        <v>1964</v>
      </c>
      <c r="B70" t="s">
        <v>1962</v>
      </c>
      <c r="C70" t="s">
        <v>1963</v>
      </c>
      <c r="E70" t="s">
        <v>1961</v>
      </c>
    </row>
    <row r="71" spans="1:9" ht="28.5">
      <c r="A71" s="6" t="s">
        <v>2587</v>
      </c>
      <c r="B71" t="s">
        <v>2586</v>
      </c>
      <c r="C71" t="s">
        <v>2588</v>
      </c>
    </row>
    <row r="72" spans="1:9" ht="28.5">
      <c r="A72" s="6" t="s">
        <v>5700</v>
      </c>
      <c r="B72" t="s">
        <v>5698</v>
      </c>
      <c r="C72" t="s">
        <v>5699</v>
      </c>
      <c r="E72" s="66" t="s">
        <v>770</v>
      </c>
    </row>
    <row r="73" spans="1:9">
      <c r="A73" t="s">
        <v>5707</v>
      </c>
      <c r="B73" t="s">
        <v>5707</v>
      </c>
      <c r="C73" s="66" t="s">
        <v>5708</v>
      </c>
      <c r="E73" s="66" t="s">
        <v>770</v>
      </c>
    </row>
    <row r="74" spans="1:9">
      <c r="A74" t="s">
        <v>5471</v>
      </c>
      <c r="B74" t="s">
        <v>5472</v>
      </c>
      <c r="C74" s="66" t="s">
        <v>5473</v>
      </c>
      <c r="E74" t="s">
        <v>770</v>
      </c>
    </row>
    <row r="75" spans="1:9">
      <c r="A75" t="s">
        <v>152</v>
      </c>
      <c r="B75" t="s">
        <v>153</v>
      </c>
    </row>
    <row r="76" spans="1:9">
      <c r="A76" t="s">
        <v>2000</v>
      </c>
      <c r="B76" t="s">
        <v>2001</v>
      </c>
      <c r="C76" t="s">
        <v>2000</v>
      </c>
    </row>
    <row r="77" spans="1:9" ht="185.25">
      <c r="A77" t="s">
        <v>6120</v>
      </c>
      <c r="B77" t="s">
        <v>6124</v>
      </c>
      <c r="D77" t="s">
        <v>6122</v>
      </c>
      <c r="H77" s="90" t="s">
        <v>6121</v>
      </c>
      <c r="I77" s="6" t="s">
        <v>6123</v>
      </c>
    </row>
    <row r="78" spans="1:9" ht="28.5">
      <c r="A78" s="6" t="s">
        <v>5754</v>
      </c>
      <c r="B78" t="s">
        <v>5755</v>
      </c>
      <c r="E78" s="66" t="s">
        <v>3338</v>
      </c>
    </row>
    <row r="79" spans="1:9">
      <c r="A79" t="s">
        <v>78</v>
      </c>
      <c r="B79" t="s">
        <v>78</v>
      </c>
      <c r="C79" t="s">
        <v>79</v>
      </c>
    </row>
    <row r="80" spans="1:9">
      <c r="A80" t="s">
        <v>5280</v>
      </c>
      <c r="B80" t="s">
        <v>5280</v>
      </c>
      <c r="E80" s="66" t="s">
        <v>770</v>
      </c>
    </row>
    <row r="81" spans="1:10" ht="15.4">
      <c r="A81" t="s">
        <v>1375</v>
      </c>
      <c r="B81" t="s">
        <v>1378</v>
      </c>
      <c r="C81" t="s">
        <v>1376</v>
      </c>
      <c r="D81" s="40" t="s">
        <v>1377</v>
      </c>
      <c r="J81" s="40" t="s">
        <v>1379</v>
      </c>
    </row>
    <row r="82" spans="1:10">
      <c r="A82" t="s">
        <v>4657</v>
      </c>
      <c r="B82" t="s">
        <v>4658</v>
      </c>
      <c r="F82">
        <v>1920</v>
      </c>
      <c r="G82">
        <v>1965</v>
      </c>
    </row>
    <row r="83" spans="1:10">
      <c r="A83" t="s">
        <v>154</v>
      </c>
      <c r="B83" t="s">
        <v>154</v>
      </c>
      <c r="C83" t="s">
        <v>155</v>
      </c>
    </row>
    <row r="84" spans="1:10">
      <c r="A84" t="s">
        <v>3336</v>
      </c>
      <c r="B84" t="s">
        <v>3337</v>
      </c>
      <c r="D84" t="s">
        <v>3338</v>
      </c>
    </row>
    <row r="85" spans="1:10" ht="28.5">
      <c r="A85" s="6" t="s">
        <v>2099</v>
      </c>
      <c r="B85" t="s">
        <v>2100</v>
      </c>
      <c r="C85" t="s">
        <v>2101</v>
      </c>
    </row>
    <row r="86" spans="1:10">
      <c r="A86" t="s">
        <v>156</v>
      </c>
      <c r="B86" t="s">
        <v>156</v>
      </c>
      <c r="C86" t="s">
        <v>188</v>
      </c>
    </row>
    <row r="87" spans="1:10">
      <c r="A87" t="s">
        <v>96</v>
      </c>
      <c r="B87" t="s">
        <v>1369</v>
      </c>
    </row>
    <row r="88" spans="1:10">
      <c r="A88" t="s">
        <v>1229</v>
      </c>
      <c r="B88" t="s">
        <v>1230</v>
      </c>
      <c r="C88" t="s">
        <v>1231</v>
      </c>
      <c r="E88" t="s">
        <v>770</v>
      </c>
    </row>
    <row r="89" spans="1:10">
      <c r="A89" t="s">
        <v>80</v>
      </c>
      <c r="B89" t="s">
        <v>80</v>
      </c>
      <c r="C89" t="s">
        <v>81</v>
      </c>
    </row>
    <row r="90" spans="1:10">
      <c r="A90" t="s">
        <v>82</v>
      </c>
      <c r="B90" t="s">
        <v>83</v>
      </c>
      <c r="C90" t="s">
        <v>84</v>
      </c>
    </row>
    <row r="91" spans="1:10">
      <c r="A91" t="s">
        <v>5309</v>
      </c>
      <c r="B91" t="s">
        <v>5311</v>
      </c>
      <c r="E91" s="66" t="s">
        <v>416</v>
      </c>
      <c r="I91" t="s">
        <v>5310</v>
      </c>
    </row>
    <row r="92" spans="1:10">
      <c r="A92" t="s">
        <v>157</v>
      </c>
      <c r="B92" t="s">
        <v>2665</v>
      </c>
      <c r="C92" t="s">
        <v>2666</v>
      </c>
    </row>
    <row r="93" spans="1:10" ht="28.5">
      <c r="A93" s="6" t="s">
        <v>4375</v>
      </c>
      <c r="B93" t="s">
        <v>4376</v>
      </c>
      <c r="C93" s="66" t="s">
        <v>4377</v>
      </c>
      <c r="D93" s="56"/>
    </row>
    <row r="94" spans="1:10" ht="15.75">
      <c r="A94" t="s">
        <v>3137</v>
      </c>
      <c r="B94" t="s">
        <v>3138</v>
      </c>
      <c r="C94" t="s">
        <v>3139</v>
      </c>
      <c r="D94" s="60" t="s">
        <v>3140</v>
      </c>
      <c r="E94" s="60" t="s">
        <v>3141</v>
      </c>
      <c r="F94">
        <v>1946</v>
      </c>
      <c r="G94" t="s">
        <v>3142</v>
      </c>
      <c r="H94" s="60" t="s">
        <v>3143</v>
      </c>
    </row>
    <row r="95" spans="1:10" ht="28.5">
      <c r="A95" s="6" t="s">
        <v>4481</v>
      </c>
      <c r="B95" t="s">
        <v>4482</v>
      </c>
      <c r="C95" t="s">
        <v>4482</v>
      </c>
      <c r="D95" t="s">
        <v>4483</v>
      </c>
      <c r="E95" t="s">
        <v>3427</v>
      </c>
    </row>
    <row r="96" spans="1:10" ht="57">
      <c r="A96" t="s">
        <v>182</v>
      </c>
      <c r="B96" t="s">
        <v>183</v>
      </c>
      <c r="C96" t="s">
        <v>184</v>
      </c>
      <c r="E96" t="s">
        <v>770</v>
      </c>
      <c r="F96">
        <v>1920</v>
      </c>
      <c r="G96" t="s">
        <v>4748</v>
      </c>
      <c r="I96" s="6" t="s">
        <v>4746</v>
      </c>
    </row>
    <row r="97" spans="1:11">
      <c r="A97" t="s">
        <v>85</v>
      </c>
      <c r="B97" t="s">
        <v>86</v>
      </c>
      <c r="C97" t="s">
        <v>87</v>
      </c>
    </row>
    <row r="98" spans="1:11">
      <c r="A98" t="s">
        <v>4514</v>
      </c>
      <c r="B98" t="s">
        <v>4515</v>
      </c>
      <c r="C98" t="s">
        <v>4515</v>
      </c>
      <c r="D98" s="66" t="s">
        <v>4516</v>
      </c>
      <c r="E98" t="s">
        <v>2529</v>
      </c>
    </row>
    <row r="99" spans="1:11" ht="28.5">
      <c r="A99" s="6" t="s">
        <v>5805</v>
      </c>
      <c r="B99" s="82" t="s">
        <v>5809</v>
      </c>
      <c r="C99" t="s">
        <v>5806</v>
      </c>
      <c r="D99" t="s">
        <v>5807</v>
      </c>
      <c r="E99" s="66" t="s">
        <v>5808</v>
      </c>
    </row>
    <row r="100" spans="1:11" ht="28.5">
      <c r="A100" t="s">
        <v>6548</v>
      </c>
      <c r="B100" t="s">
        <v>6548</v>
      </c>
      <c r="C100" s="101" t="s">
        <v>6549</v>
      </c>
      <c r="D100" s="66" t="s">
        <v>6550</v>
      </c>
      <c r="E100" s="66" t="s">
        <v>534</v>
      </c>
    </row>
    <row r="101" spans="1:11">
      <c r="A101" t="s">
        <v>159</v>
      </c>
      <c r="B101" t="s">
        <v>159</v>
      </c>
      <c r="C101" t="s">
        <v>160</v>
      </c>
    </row>
    <row r="102" spans="1:11">
      <c r="A102" t="s">
        <v>5978</v>
      </c>
      <c r="B102" t="s">
        <v>5979</v>
      </c>
      <c r="C102" s="66" t="s">
        <v>5980</v>
      </c>
      <c r="D102" s="66" t="s">
        <v>5981</v>
      </c>
      <c r="E102" s="66" t="s">
        <v>2899</v>
      </c>
      <c r="F102">
        <v>1946</v>
      </c>
    </row>
    <row r="103" spans="1:11">
      <c r="A103" t="s">
        <v>144</v>
      </c>
      <c r="B103" t="s">
        <v>269</v>
      </c>
      <c r="C103" t="s">
        <v>269</v>
      </c>
    </row>
    <row r="104" spans="1:11">
      <c r="A104" t="s">
        <v>195</v>
      </c>
      <c r="B104" t="s">
        <v>196</v>
      </c>
      <c r="C104" t="s">
        <v>197</v>
      </c>
    </row>
    <row r="105" spans="1:11">
      <c r="A105" t="s">
        <v>921</v>
      </c>
      <c r="B105" t="s">
        <v>922</v>
      </c>
      <c r="C105" t="s">
        <v>923</v>
      </c>
      <c r="K105" t="s">
        <v>924</v>
      </c>
    </row>
    <row r="106" spans="1:11">
      <c r="A106" t="s">
        <v>137</v>
      </c>
      <c r="B106" t="s">
        <v>137</v>
      </c>
    </row>
    <row r="107" spans="1:11" ht="28.5">
      <c r="A107" s="6" t="s">
        <v>3305</v>
      </c>
      <c r="B107" t="s">
        <v>3304</v>
      </c>
      <c r="C107" t="s">
        <v>3306</v>
      </c>
      <c r="E107" t="s">
        <v>770</v>
      </c>
    </row>
    <row r="108" spans="1:11">
      <c r="A108" t="s">
        <v>163</v>
      </c>
      <c r="B108" t="s">
        <v>163</v>
      </c>
    </row>
    <row r="109" spans="1:11">
      <c r="A109" t="s">
        <v>5881</v>
      </c>
      <c r="B109" t="s">
        <v>5881</v>
      </c>
      <c r="C109" s="84" t="s">
        <v>5882</v>
      </c>
      <c r="E109" s="66" t="s">
        <v>3338</v>
      </c>
      <c r="I109" s="85" t="s">
        <v>5883</v>
      </c>
    </row>
    <row r="110" spans="1:11" ht="42.75">
      <c r="A110" t="s">
        <v>1798</v>
      </c>
      <c r="B110" t="s">
        <v>1803</v>
      </c>
      <c r="C110" t="s">
        <v>1799</v>
      </c>
      <c r="D110" s="6" t="s">
        <v>1800</v>
      </c>
      <c r="E110" t="s">
        <v>308</v>
      </c>
      <c r="F110">
        <v>1897</v>
      </c>
      <c r="G110">
        <v>1922</v>
      </c>
      <c r="H110" t="s">
        <v>1801</v>
      </c>
      <c r="I110" s="6" t="s">
        <v>1802</v>
      </c>
    </row>
    <row r="111" spans="1:11">
      <c r="A111" t="s">
        <v>189</v>
      </c>
      <c r="B111" t="s">
        <v>189</v>
      </c>
      <c r="C111" t="s">
        <v>190</v>
      </c>
    </row>
    <row r="112" spans="1:11" ht="28.5">
      <c r="A112" s="6" t="s">
        <v>1757</v>
      </c>
      <c r="B112" t="s">
        <v>1758</v>
      </c>
      <c r="C112" t="s">
        <v>1759</v>
      </c>
      <c r="D112" t="s">
        <v>1761</v>
      </c>
    </row>
    <row r="113" spans="1:10">
      <c r="A113" t="s">
        <v>124</v>
      </c>
      <c r="B113" t="s">
        <v>124</v>
      </c>
      <c r="C113" t="s">
        <v>125</v>
      </c>
    </row>
    <row r="114" spans="1:10">
      <c r="A114" t="s">
        <v>90</v>
      </c>
      <c r="B114" t="s">
        <v>91</v>
      </c>
      <c r="C114" t="s">
        <v>191</v>
      </c>
    </row>
    <row r="115" spans="1:10" ht="28.5">
      <c r="A115" s="6" t="s">
        <v>2879</v>
      </c>
      <c r="B115" t="s">
        <v>2878</v>
      </c>
      <c r="C115" t="s">
        <v>2879</v>
      </c>
    </row>
    <row r="116" spans="1:10">
      <c r="A116" t="s">
        <v>88</v>
      </c>
      <c r="B116" t="s">
        <v>88</v>
      </c>
      <c r="C116" t="s">
        <v>89</v>
      </c>
    </row>
    <row r="117" spans="1:10" ht="28.5">
      <c r="A117" s="6" t="s">
        <v>5480</v>
      </c>
      <c r="B117" t="s">
        <v>5481</v>
      </c>
      <c r="E117" s="66" t="s">
        <v>5479</v>
      </c>
    </row>
    <row r="118" spans="1:10">
      <c r="A118" t="s">
        <v>5468</v>
      </c>
      <c r="B118" t="s">
        <v>5469</v>
      </c>
      <c r="C118" s="66" t="s">
        <v>5470</v>
      </c>
      <c r="E118" t="s">
        <v>770</v>
      </c>
    </row>
    <row r="119" spans="1:10">
      <c r="A119" s="1" t="s">
        <v>92</v>
      </c>
      <c r="B119" s="1" t="s">
        <v>92</v>
      </c>
      <c r="C119" s="6" t="s">
        <v>93</v>
      </c>
    </row>
    <row r="120" spans="1:10" ht="114">
      <c r="A120" t="s">
        <v>4766</v>
      </c>
      <c r="B120" t="s">
        <v>4767</v>
      </c>
      <c r="I120" s="41" t="s">
        <v>4768</v>
      </c>
    </row>
    <row r="121" spans="1:10">
      <c r="A121" t="s">
        <v>173</v>
      </c>
      <c r="B121" t="s">
        <v>174</v>
      </c>
      <c r="C121" s="6" t="s">
        <v>199</v>
      </c>
      <c r="I121" t="s">
        <v>4747</v>
      </c>
    </row>
    <row r="122" spans="1:10">
      <c r="A122" t="s">
        <v>124</v>
      </c>
      <c r="B122" t="s">
        <v>4105</v>
      </c>
      <c r="C122" t="s">
        <v>125</v>
      </c>
    </row>
    <row r="123" spans="1:10" ht="28.5">
      <c r="A123" s="6" t="s">
        <v>5216</v>
      </c>
      <c r="B123" t="s">
        <v>5217</v>
      </c>
      <c r="C123" s="66" t="s">
        <v>5218</v>
      </c>
      <c r="E123" s="66" t="s">
        <v>770</v>
      </c>
    </row>
    <row r="124" spans="1:10" ht="328.15">
      <c r="A124" t="s">
        <v>6115</v>
      </c>
      <c r="B124" t="s">
        <v>6115</v>
      </c>
      <c r="C124" s="66" t="s">
        <v>6135</v>
      </c>
      <c r="D124" s="66" t="s">
        <v>6116</v>
      </c>
      <c r="E124" s="66" t="s">
        <v>534</v>
      </c>
      <c r="F124">
        <v>1931</v>
      </c>
      <c r="G124">
        <v>1989</v>
      </c>
      <c r="H124" s="88" t="s">
        <v>6117</v>
      </c>
      <c r="I124" s="89" t="s">
        <v>6118</v>
      </c>
      <c r="J124" s="6" t="s">
        <v>6119</v>
      </c>
    </row>
    <row r="125" spans="1:10">
      <c r="A125" t="s">
        <v>164</v>
      </c>
      <c r="B125" t="s">
        <v>165</v>
      </c>
    </row>
    <row r="126" spans="1:10">
      <c r="A126" t="s">
        <v>1766</v>
      </c>
      <c r="B126" t="s">
        <v>1767</v>
      </c>
      <c r="C126" t="s">
        <v>1767</v>
      </c>
      <c r="D126" t="s">
        <v>1768</v>
      </c>
    </row>
    <row r="127" spans="1:10">
      <c r="A127" t="s">
        <v>94</v>
      </c>
      <c r="B127" t="s">
        <v>94</v>
      </c>
      <c r="C127" t="s">
        <v>95</v>
      </c>
    </row>
    <row r="128" spans="1:10">
      <c r="B128" t="s">
        <v>4851</v>
      </c>
      <c r="C128" t="s">
        <v>4852</v>
      </c>
      <c r="D128" s="78" t="s">
        <v>4853</v>
      </c>
      <c r="E128" s="66" t="s">
        <v>4854</v>
      </c>
      <c r="J128" s="78" t="s">
        <v>4855</v>
      </c>
    </row>
    <row r="129" spans="1:12">
      <c r="B129" t="s">
        <v>5299</v>
      </c>
      <c r="E129" s="66" t="s">
        <v>2113</v>
      </c>
    </row>
    <row r="130" spans="1:12" ht="42.75">
      <c r="A130" t="s">
        <v>4182</v>
      </c>
      <c r="B130" t="s">
        <v>4182</v>
      </c>
      <c r="D130" s="6" t="s">
        <v>4183</v>
      </c>
      <c r="E130" t="s">
        <v>2899</v>
      </c>
      <c r="F130">
        <v>1983</v>
      </c>
      <c r="J130" s="6" t="s">
        <v>4184</v>
      </c>
    </row>
    <row r="131" spans="1:12">
      <c r="A131" t="s">
        <v>6481</v>
      </c>
      <c r="B131" t="s">
        <v>6481</v>
      </c>
      <c r="C131" s="66" t="s">
        <v>6482</v>
      </c>
      <c r="D131" s="66" t="s">
        <v>6483</v>
      </c>
      <c r="E131" s="66" t="s">
        <v>534</v>
      </c>
    </row>
    <row r="132" spans="1:12">
      <c r="A132" t="s">
        <v>147</v>
      </c>
      <c r="B132" t="s">
        <v>147</v>
      </c>
    </row>
    <row r="133" spans="1:12" ht="28.5">
      <c r="A133" s="6" t="s">
        <v>2319</v>
      </c>
      <c r="B133" t="s">
        <v>2318</v>
      </c>
      <c r="E133" t="s">
        <v>770</v>
      </c>
    </row>
    <row r="134" spans="1:12">
      <c r="A134" t="s">
        <v>3425</v>
      </c>
      <c r="B134" t="s">
        <v>3426</v>
      </c>
      <c r="E134" t="s">
        <v>3427</v>
      </c>
    </row>
    <row r="135" spans="1:12">
      <c r="A135" t="s">
        <v>119</v>
      </c>
      <c r="B135" t="s">
        <v>120</v>
      </c>
      <c r="C135" t="s">
        <v>121</v>
      </c>
    </row>
    <row r="136" spans="1:12" ht="409.5">
      <c r="A136" s="31" t="s">
        <v>4711</v>
      </c>
      <c r="B136" s="31" t="s">
        <v>4706</v>
      </c>
      <c r="C136" s="31" t="s">
        <v>4707</v>
      </c>
      <c r="D136" s="31" t="s">
        <v>4708</v>
      </c>
      <c r="E136" s="35" t="s">
        <v>308</v>
      </c>
      <c r="F136" s="31">
        <v>1909</v>
      </c>
      <c r="G136" s="31" t="s">
        <v>4709</v>
      </c>
      <c r="H136" s="31" t="s">
        <v>4710</v>
      </c>
      <c r="I136" s="31" t="s">
        <v>4712</v>
      </c>
    </row>
    <row r="137" spans="1:12">
      <c r="A137" t="s">
        <v>3336</v>
      </c>
      <c r="B137" t="s">
        <v>5386</v>
      </c>
      <c r="C137" s="66" t="s">
        <v>5387</v>
      </c>
      <c r="E137" s="66" t="s">
        <v>770</v>
      </c>
    </row>
    <row r="138" spans="1:12">
      <c r="A138" t="s">
        <v>5657</v>
      </c>
      <c r="B138" t="s">
        <v>5658</v>
      </c>
      <c r="C138" s="66" t="s">
        <v>5659</v>
      </c>
      <c r="E138" s="66" t="s">
        <v>770</v>
      </c>
      <c r="L138" s="71"/>
    </row>
    <row r="139" spans="1:12">
      <c r="A139" t="s">
        <v>3497</v>
      </c>
      <c r="B139" t="s">
        <v>97</v>
      </c>
      <c r="C139" t="s">
        <v>98</v>
      </c>
    </row>
    <row r="140" spans="1:12">
      <c r="A140" t="s">
        <v>99</v>
      </c>
      <c r="B140" t="s">
        <v>99</v>
      </c>
      <c r="C140" t="s">
        <v>100</v>
      </c>
    </row>
    <row r="141" spans="1:12">
      <c r="A141" t="s">
        <v>101</v>
      </c>
      <c r="B141" t="s">
        <v>102</v>
      </c>
      <c r="C141" t="s">
        <v>103</v>
      </c>
    </row>
    <row r="142" spans="1:12">
      <c r="A142" t="s">
        <v>166</v>
      </c>
      <c r="B142" t="s">
        <v>166</v>
      </c>
      <c r="C142" t="s">
        <v>167</v>
      </c>
    </row>
    <row r="143" spans="1:12">
      <c r="A143" t="s">
        <v>1747</v>
      </c>
      <c r="B143" t="s">
        <v>1749</v>
      </c>
      <c r="C143" t="s">
        <v>1748</v>
      </c>
      <c r="D143" t="s">
        <v>1750</v>
      </c>
    </row>
    <row r="144" spans="1:12">
      <c r="A144" t="s">
        <v>1834</v>
      </c>
      <c r="B144" t="s">
        <v>1833</v>
      </c>
      <c r="E144" t="s">
        <v>770</v>
      </c>
    </row>
    <row r="145" spans="1:11">
      <c r="A145" t="s">
        <v>168</v>
      </c>
      <c r="B145" t="s">
        <v>168</v>
      </c>
      <c r="C145" t="s">
        <v>169</v>
      </c>
    </row>
    <row r="146" spans="1:11">
      <c r="A146" t="s">
        <v>2750</v>
      </c>
      <c r="B146" t="s">
        <v>2750</v>
      </c>
      <c r="C146" t="s">
        <v>2751</v>
      </c>
      <c r="D146" t="s">
        <v>2752</v>
      </c>
    </row>
    <row r="147" spans="1:11">
      <c r="A147" t="s">
        <v>104</v>
      </c>
      <c r="B147" t="s">
        <v>104</v>
      </c>
      <c r="C147" t="s">
        <v>105</v>
      </c>
    </row>
    <row r="148" spans="1:11">
      <c r="A148" t="s">
        <v>192</v>
      </c>
      <c r="B148" t="s">
        <v>193</v>
      </c>
      <c r="C148" t="s">
        <v>194</v>
      </c>
    </row>
    <row r="149" spans="1:11">
      <c r="A149" t="s">
        <v>170</v>
      </c>
      <c r="B149" t="s">
        <v>170</v>
      </c>
      <c r="C149" t="s">
        <v>171</v>
      </c>
    </row>
    <row r="150" spans="1:11">
      <c r="A150" t="s">
        <v>172</v>
      </c>
      <c r="B150" t="s">
        <v>172</v>
      </c>
      <c r="C150" t="s">
        <v>198</v>
      </c>
    </row>
    <row r="151" spans="1:11" ht="28.5">
      <c r="A151" s="6" t="s">
        <v>4068</v>
      </c>
      <c r="B151" t="s">
        <v>4069</v>
      </c>
      <c r="C151" t="s">
        <v>4070</v>
      </c>
    </row>
    <row r="152" spans="1:11" ht="28.5">
      <c r="A152" s="6" t="s">
        <v>3050</v>
      </c>
      <c r="B152" t="s">
        <v>3051</v>
      </c>
      <c r="C152" t="s">
        <v>3052</v>
      </c>
      <c r="D152" t="s">
        <v>1750</v>
      </c>
      <c r="E152" t="s">
        <v>770</v>
      </c>
      <c r="K152">
        <v>103</v>
      </c>
    </row>
    <row r="153" spans="1:11">
      <c r="A153" t="s">
        <v>106</v>
      </c>
      <c r="B153" t="s">
        <v>106</v>
      </c>
      <c r="C153" t="s">
        <v>107</v>
      </c>
      <c r="I153" t="s">
        <v>2036</v>
      </c>
    </row>
    <row r="154" spans="1:11">
      <c r="A154" t="s">
        <v>4501</v>
      </c>
      <c r="B154" t="s">
        <v>4501</v>
      </c>
      <c r="C154" s="66" t="s">
        <v>4501</v>
      </c>
      <c r="E154" s="66" t="s">
        <v>4502</v>
      </c>
    </row>
    <row r="155" spans="1:11">
      <c r="A155" t="s">
        <v>108</v>
      </c>
      <c r="B155" t="s">
        <v>110</v>
      </c>
      <c r="C155" t="s">
        <v>109</v>
      </c>
    </row>
    <row r="156" spans="1:11" ht="42.75">
      <c r="A156" t="s">
        <v>1818</v>
      </c>
      <c r="B156" t="s">
        <v>1819</v>
      </c>
      <c r="C156" s="53" t="s">
        <v>637</v>
      </c>
      <c r="I156" s="52" t="s">
        <v>1821</v>
      </c>
    </row>
    <row r="157" spans="1:11">
      <c r="A157" t="s">
        <v>268</v>
      </c>
      <c r="B157" t="s">
        <v>268</v>
      </c>
    </row>
    <row r="158" spans="1:11">
      <c r="A158" t="s">
        <v>1224</v>
      </c>
      <c r="B158" t="s">
        <v>1225</v>
      </c>
      <c r="C158" t="s">
        <v>1151</v>
      </c>
    </row>
    <row r="159" spans="1:11" ht="83.25" customHeight="1">
      <c r="A159" t="s">
        <v>1142</v>
      </c>
      <c r="B159" t="s">
        <v>1140</v>
      </c>
      <c r="C159" t="s">
        <v>1141</v>
      </c>
    </row>
    <row r="160" spans="1:11">
      <c r="A160" t="s">
        <v>175</v>
      </c>
      <c r="B160" t="s">
        <v>175</v>
      </c>
      <c r="C160" t="s">
        <v>200</v>
      </c>
    </row>
    <row r="161" spans="1:9">
      <c r="A161" t="s">
        <v>161</v>
      </c>
      <c r="B161" t="s">
        <v>5492</v>
      </c>
      <c r="C161" t="s">
        <v>162</v>
      </c>
    </row>
    <row r="162" spans="1:9">
      <c r="A162" t="s">
        <v>2006</v>
      </c>
      <c r="B162" t="s">
        <v>2006</v>
      </c>
      <c r="E162" t="s">
        <v>770</v>
      </c>
    </row>
    <row r="163" spans="1:9">
      <c r="A163" t="s">
        <v>371</v>
      </c>
      <c r="B163" t="s">
        <v>372</v>
      </c>
      <c r="C163" t="s">
        <v>373</v>
      </c>
    </row>
    <row r="164" spans="1:9" ht="103.15">
      <c r="A164" s="6" t="s">
        <v>6335</v>
      </c>
      <c r="B164" s="103" t="s">
        <v>6336</v>
      </c>
      <c r="C164" s="66" t="s">
        <v>6336</v>
      </c>
      <c r="D164" t="s">
        <v>6339</v>
      </c>
      <c r="E164" s="66" t="s">
        <v>6337</v>
      </c>
      <c r="F164">
        <v>1945</v>
      </c>
      <c r="G164">
        <v>2009</v>
      </c>
      <c r="I164" s="102" t="s">
        <v>6338</v>
      </c>
    </row>
    <row r="165" spans="1:9">
      <c r="A165" t="s">
        <v>4962</v>
      </c>
      <c r="B165" t="s">
        <v>4963</v>
      </c>
      <c r="C165" s="66" t="s">
        <v>4964</v>
      </c>
    </row>
    <row r="166" spans="1:9">
      <c r="A166" t="s">
        <v>2597</v>
      </c>
      <c r="B166" t="s">
        <v>2596</v>
      </c>
      <c r="E166" t="s">
        <v>2598</v>
      </c>
      <c r="I166" t="s">
        <v>2599</v>
      </c>
    </row>
    <row r="167" spans="1:9">
      <c r="A167" t="s">
        <v>111</v>
      </c>
      <c r="B167" t="s">
        <v>1194</v>
      </c>
      <c r="C167" t="s">
        <v>113</v>
      </c>
    </row>
    <row r="168" spans="1:9" ht="28.5">
      <c r="A168" s="6" t="s">
        <v>2199</v>
      </c>
      <c r="B168" t="s">
        <v>2200</v>
      </c>
      <c r="C168" t="s">
        <v>2201</v>
      </c>
      <c r="E168" t="s">
        <v>770</v>
      </c>
    </row>
    <row r="169" spans="1:9">
      <c r="B169" t="s">
        <v>1042</v>
      </c>
      <c r="E169" t="s">
        <v>1043</v>
      </c>
    </row>
    <row r="170" spans="1:9" ht="85.5">
      <c r="A170" t="s">
        <v>2563</v>
      </c>
      <c r="B170" t="s">
        <v>2563</v>
      </c>
      <c r="C170" s="53" t="s">
        <v>2564</v>
      </c>
      <c r="D170" s="52" t="s">
        <v>2566</v>
      </c>
      <c r="F170">
        <v>1949</v>
      </c>
      <c r="G170">
        <v>1971</v>
      </c>
      <c r="I170" s="52" t="s">
        <v>2565</v>
      </c>
    </row>
    <row r="171" spans="1:9" ht="28.5">
      <c r="A171" t="s">
        <v>3187</v>
      </c>
      <c r="B171" t="s">
        <v>3187</v>
      </c>
      <c r="C171" t="s">
        <v>3188</v>
      </c>
      <c r="D171" s="6" t="s">
        <v>3189</v>
      </c>
      <c r="E171" t="s">
        <v>1961</v>
      </c>
    </row>
    <row r="172" spans="1:9">
      <c r="A172" t="s">
        <v>201</v>
      </c>
      <c r="B172" t="s">
        <v>614</v>
      </c>
      <c r="C172" t="s">
        <v>614</v>
      </c>
    </row>
    <row r="173" spans="1:9">
      <c r="A173" t="s">
        <v>114</v>
      </c>
      <c r="B173" t="s">
        <v>115</v>
      </c>
      <c r="C173" t="s">
        <v>116</v>
      </c>
    </row>
    <row r="174" spans="1:9" ht="86.25" customHeight="1">
      <c r="A174" t="s">
        <v>2110</v>
      </c>
      <c r="B174" t="s">
        <v>2110</v>
      </c>
      <c r="C174" t="s">
        <v>2111</v>
      </c>
      <c r="D174" t="s">
        <v>2112</v>
      </c>
      <c r="E174" t="s">
        <v>2113</v>
      </c>
    </row>
    <row r="175" spans="1:9">
      <c r="A175" t="s">
        <v>117</v>
      </c>
      <c r="B175" t="s">
        <v>117</v>
      </c>
      <c r="C175" t="s">
        <v>118</v>
      </c>
    </row>
    <row r="176" spans="1:9">
      <c r="A176" t="s">
        <v>1055</v>
      </c>
      <c r="B176" t="s">
        <v>1081</v>
      </c>
      <c r="C176" t="s">
        <v>1058</v>
      </c>
      <c r="E176" t="s">
        <v>770</v>
      </c>
    </row>
    <row r="177" spans="1:9">
      <c r="A177" t="s">
        <v>3879</v>
      </c>
      <c r="B177" t="s">
        <v>178</v>
      </c>
      <c r="C177" t="s">
        <v>179</v>
      </c>
      <c r="I177" t="s">
        <v>3880</v>
      </c>
    </row>
    <row r="178" spans="1:9" ht="28.5">
      <c r="A178" t="s">
        <v>176</v>
      </c>
      <c r="B178" t="s">
        <v>177</v>
      </c>
      <c r="C178" t="s">
        <v>3224</v>
      </c>
      <c r="D178" s="6" t="s">
        <v>3225</v>
      </c>
      <c r="E178" t="s">
        <v>770</v>
      </c>
    </row>
    <row r="179" spans="1:9" ht="28.5">
      <c r="A179" s="6" t="s">
        <v>2234</v>
      </c>
      <c r="B179" t="s">
        <v>2235</v>
      </c>
      <c r="C179" s="66" t="s">
        <v>2235</v>
      </c>
      <c r="D179" s="66"/>
      <c r="E179" s="66" t="s">
        <v>770</v>
      </c>
    </row>
  </sheetData>
  <autoFilter ref="A1:K158" xr:uid="{00000000-0001-0000-0200-000000000000}">
    <sortState xmlns:xlrd2="http://schemas.microsoft.com/office/spreadsheetml/2017/richdata2" ref="A2:K179">
      <sortCondition ref="B1:B158"/>
    </sortState>
  </autoFilter>
  <sortState xmlns:xlrd2="http://schemas.microsoft.com/office/spreadsheetml/2017/richdata2" ref="A2:K144">
    <sortCondition ref="B1:B144"/>
  </sortState>
  <hyperlinks>
    <hyperlink ref="I120" r:id="rId1" display="https://toyrarities.com/blogs/wikitoys/toy-makers-a-z" xr:uid="{859F3804-7979-42DA-8A6F-D8F6D7D3857E}"/>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8A7CE-91BB-41A2-A1C2-F389684E39D9}">
  <dimension ref="A2:H23"/>
  <sheetViews>
    <sheetView zoomScaleNormal="100" workbookViewId="0">
      <selection activeCell="E21" sqref="E21"/>
    </sheetView>
  </sheetViews>
  <sheetFormatPr defaultRowHeight="14.25"/>
  <cols>
    <col min="1" max="1" width="49.19921875" style="10" customWidth="1"/>
    <col min="2" max="2" width="5.86328125" style="22" customWidth="1"/>
    <col min="3" max="3" width="19.59765625" style="22" customWidth="1"/>
    <col min="7" max="7" width="31.19921875" customWidth="1"/>
    <col min="8" max="8" width="21.1328125" style="22" customWidth="1"/>
    <col min="10" max="10" width="19.86328125" customWidth="1"/>
    <col min="11" max="11" width="19.265625" customWidth="1"/>
  </cols>
  <sheetData>
    <row r="2" spans="1:8">
      <c r="A2" s="10" t="s">
        <v>759</v>
      </c>
      <c r="B2" s="22">
        <f>COUNT(brinquedos!A2:A5004)</f>
        <v>666</v>
      </c>
      <c r="G2" s="27" t="s">
        <v>487</v>
      </c>
      <c r="H2" s="27" t="s">
        <v>488</v>
      </c>
    </row>
    <row r="3" spans="1:8">
      <c r="A3" s="10" t="s">
        <v>760</v>
      </c>
      <c r="B3" s="22">
        <f>COUNT(livros!A2:A1000)</f>
        <v>142</v>
      </c>
      <c r="G3" s="87" t="s">
        <v>496</v>
      </c>
      <c r="H3" s="86" t="s">
        <v>492</v>
      </c>
    </row>
    <row r="4" spans="1:8">
      <c r="A4" s="11" t="s">
        <v>766</v>
      </c>
      <c r="B4" s="22">
        <f>COUNTA(livros!G2:G1000)</f>
        <v>129</v>
      </c>
      <c r="G4" s="87" t="s">
        <v>492</v>
      </c>
      <c r="H4" s="86" t="s">
        <v>520</v>
      </c>
    </row>
    <row r="5" spans="1:8" ht="17.25" customHeight="1" thickBot="1">
      <c r="A5" s="11" t="s">
        <v>761</v>
      </c>
      <c r="B5" s="22">
        <f>COUNTIF(fabricantes!B2:B999,"*")</f>
        <v>178</v>
      </c>
      <c r="G5" s="87" t="s">
        <v>502</v>
      </c>
      <c r="H5" s="86" t="s">
        <v>517</v>
      </c>
    </row>
    <row r="6" spans="1:8" ht="14.65" thickBot="1">
      <c r="A6" s="11" t="s">
        <v>762</v>
      </c>
      <c r="B6" s="22">
        <f>COUNTIF(brinquedos!K2:K5004,Estatísticas!C6)</f>
        <v>46</v>
      </c>
      <c r="C6" s="28" t="s">
        <v>6115</v>
      </c>
      <c r="G6" s="87" t="s">
        <v>497</v>
      </c>
      <c r="H6" s="86" t="s">
        <v>508</v>
      </c>
    </row>
    <row r="7" spans="1:8" ht="14.65" thickBot="1">
      <c r="A7" s="10" t="s">
        <v>771</v>
      </c>
      <c r="B7" s="22">
        <f>COUNTIF(fabricantes!E2:E498,Estatísticas!C7)</f>
        <v>8</v>
      </c>
      <c r="C7" s="28" t="s">
        <v>534</v>
      </c>
      <c r="G7" s="87" t="s">
        <v>490</v>
      </c>
      <c r="H7" s="86" t="s">
        <v>509</v>
      </c>
    </row>
    <row r="8" spans="1:8">
      <c r="G8" s="87" t="s">
        <v>489</v>
      </c>
      <c r="H8" s="86" t="s">
        <v>518</v>
      </c>
    </row>
    <row r="9" spans="1:8">
      <c r="A9" s="23" t="s">
        <v>764</v>
      </c>
      <c r="B9" s="22">
        <f>COUNTIF(brinquedos!G2:G5004,Estatísticas!C9)</f>
        <v>373</v>
      </c>
      <c r="C9" s="29" t="s">
        <v>755</v>
      </c>
      <c r="G9" s="87" t="s">
        <v>504</v>
      </c>
      <c r="H9" s="86" t="s">
        <v>513</v>
      </c>
    </row>
    <row r="10" spans="1:8">
      <c r="A10" s="23" t="s">
        <v>763</v>
      </c>
      <c r="B10" s="22">
        <f>COUNTIF(brinquedos!G2:G5004,Estatísticas!C10)</f>
        <v>63</v>
      </c>
      <c r="C10" s="29" t="s">
        <v>756</v>
      </c>
      <c r="G10" s="87" t="s">
        <v>501</v>
      </c>
      <c r="H10" s="86" t="s">
        <v>504</v>
      </c>
    </row>
    <row r="11" spans="1:8" ht="14.65" thickBot="1">
      <c r="A11" s="23" t="s">
        <v>765</v>
      </c>
      <c r="B11" s="22">
        <f>COUNTIF(brinquedos!G2:G5004,Estatísticas!C11)</f>
        <v>160</v>
      </c>
      <c r="C11" s="29" t="s">
        <v>757</v>
      </c>
      <c r="G11" s="87" t="s">
        <v>491</v>
      </c>
      <c r="H11" s="86" t="s">
        <v>515</v>
      </c>
    </row>
    <row r="12" spans="1:8" ht="14.65" thickBot="1">
      <c r="A12" s="24" t="s">
        <v>6468</v>
      </c>
      <c r="B12" s="22">
        <f>COUNTIF(brinquedos!M2:M5004,Estatísticas!C12)</f>
        <v>156</v>
      </c>
      <c r="C12" s="28">
        <v>1955</v>
      </c>
      <c r="G12" s="87" t="s">
        <v>507</v>
      </c>
      <c r="H12" s="86" t="s">
        <v>512</v>
      </c>
    </row>
    <row r="13" spans="1:8" ht="14.65" thickBot="1">
      <c r="A13" s="23" t="s">
        <v>767</v>
      </c>
      <c r="B13" s="22">
        <f>COUNTA(brinquedos!O2:O5004)</f>
        <v>263</v>
      </c>
      <c r="G13" s="87" t="s">
        <v>505</v>
      </c>
      <c r="H13" s="86" t="s">
        <v>522</v>
      </c>
    </row>
    <row r="14" spans="1:8" ht="30.75" customHeight="1" thickBot="1">
      <c r="A14" s="24" t="s">
        <v>774</v>
      </c>
      <c r="B14" s="22">
        <f>COUNTIF(brinquedos!L2:L5004,Estatísticas!C14)</f>
        <v>321</v>
      </c>
      <c r="C14" s="28" t="s">
        <v>758</v>
      </c>
      <c r="G14" s="26" t="s">
        <v>493</v>
      </c>
      <c r="H14" s="86" t="s">
        <v>519</v>
      </c>
    </row>
    <row r="15" spans="1:8" ht="14.65" thickBot="1">
      <c r="A15" s="10" t="s">
        <v>773</v>
      </c>
      <c r="B15" s="22">
        <f>COUNTIF(brinquedos!D2:D5004,Estatísticas!C15)</f>
        <v>173</v>
      </c>
      <c r="C15" s="30" t="s">
        <v>493</v>
      </c>
      <c r="G15" s="87" t="s">
        <v>494</v>
      </c>
      <c r="H15" s="86" t="s">
        <v>514</v>
      </c>
    </row>
    <row r="16" spans="1:8" ht="14.65" thickBot="1">
      <c r="A16" s="10" t="s">
        <v>772</v>
      </c>
      <c r="B16" s="22">
        <f>COUNTIF(brinquedos!E2:E5004,Estatísticas!C16)</f>
        <v>70</v>
      </c>
      <c r="C16" s="28" t="s">
        <v>510</v>
      </c>
      <c r="G16" s="87" t="s">
        <v>495</v>
      </c>
      <c r="H16" s="86" t="s">
        <v>510</v>
      </c>
    </row>
    <row r="17" spans="1:8">
      <c r="A17" s="24" t="s">
        <v>5450</v>
      </c>
      <c r="B17" s="22">
        <f>COUNTIF(brinquedos!V:V, "*Zone Germany*")</f>
        <v>31</v>
      </c>
      <c r="G17" s="87" t="s">
        <v>503</v>
      </c>
      <c r="H17" s="86" t="s">
        <v>516</v>
      </c>
    </row>
    <row r="18" spans="1:8">
      <c r="A18" s="23" t="s">
        <v>5451</v>
      </c>
      <c r="B18" s="22">
        <f>COUNTIF(brinquedos!V:V, "*Occupied*")</f>
        <v>8</v>
      </c>
      <c r="G18" s="87" t="s">
        <v>499</v>
      </c>
      <c r="H18" s="86" t="s">
        <v>511</v>
      </c>
    </row>
    <row r="19" spans="1:8">
      <c r="A19" s="10" t="s">
        <v>5452</v>
      </c>
      <c r="B19" s="22">
        <f>COUNTIF(brinquedos!V:V, "*China*")</f>
        <v>18</v>
      </c>
      <c r="G19" s="87" t="s">
        <v>498</v>
      </c>
      <c r="H19" s="86" t="s">
        <v>521</v>
      </c>
    </row>
    <row r="20" spans="1:8">
      <c r="G20" s="87" t="s">
        <v>500</v>
      </c>
      <c r="H20" s="86" t="s">
        <v>506</v>
      </c>
    </row>
    <row r="21" spans="1:8">
      <c r="A21" s="23" t="s">
        <v>5331</v>
      </c>
      <c r="B21" s="22">
        <f>SUM(brinquedos!P:P)</f>
        <v>30906.399999999998</v>
      </c>
    </row>
    <row r="22" spans="1:8" ht="14.65" thickBot="1">
      <c r="A22" s="23" t="s">
        <v>5596</v>
      </c>
      <c r="B22" s="22">
        <f>AVERAGE(brinquedos!P:P)</f>
        <v>216.12867132867132</v>
      </c>
    </row>
    <row r="23" spans="1:8" ht="14.65" thickBot="1">
      <c r="A23" s="10" t="s">
        <v>5332</v>
      </c>
      <c r="B23" s="22">
        <f>COUNTIF(brinquedos!P:P, "&gt;="&amp;C23)</f>
        <v>13</v>
      </c>
      <c r="C23" s="79">
        <v>700</v>
      </c>
    </row>
  </sheetData>
  <dataValidations count="2">
    <dataValidation type="list" allowBlank="1" showInputMessage="1" showErrorMessage="1" sqref="C15" xr:uid="{AC09FF1F-FDEE-436E-BC7E-FCA10FCF9E55}">
      <formula1>$G$3:$G$20</formula1>
    </dataValidation>
    <dataValidation type="list" allowBlank="1" showInputMessage="1" showErrorMessage="1" sqref="C16" xr:uid="{14D4819F-D0B8-456A-A352-6EFE4E4ADC29}">
      <formula1>$H$3:$H$20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CE71EAF-F1C4-48A8-8742-8567D7E2CE48}">
          <x14:formula1>
            <xm:f>fabricantes!$B$2:$B$999</xm:f>
          </x14:formula1>
          <xm:sqref>C6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55042B-CB2B-4519-9B61-A9D36BC2FA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brinquedos</vt:lpstr>
      <vt:lpstr>livros</vt:lpstr>
      <vt:lpstr>fabricantes</vt:lpstr>
      <vt:lpstr>Estatísticas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2026-06-06T09:19:14Z</dcterms:modified>
</cp:coreProperties>
</file>